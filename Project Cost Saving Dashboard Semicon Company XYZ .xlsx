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ml.chartshapes+xml"/>
  <Override PartName="/xl/tables/table1.xml" ContentType="application/vnd.openxmlformats-officedocument.spreadsheetml.table+xml"/>
  <Override PartName="/xl/comments1.xml" ContentType="application/vnd.openxmlformats-officedocument.spreadsheetml.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Mewo\Downloads\"/>
    </mc:Choice>
  </mc:AlternateContent>
  <bookViews>
    <workbookView xWindow="0" yWindow="0" windowWidth="23040" windowHeight="9072"/>
  </bookViews>
  <sheets>
    <sheet name="Dashboard" sheetId="11" r:id="rId1"/>
    <sheet name="Quaterly_DB" sheetId="9" r:id="rId2"/>
    <sheet name="Proj_Reg" sheetId="1" r:id="rId3"/>
    <sheet name="Data_Model" sheetId="2" r:id="rId4"/>
    <sheet name="DataTrans" sheetId="6" r:id="rId5"/>
    <sheet name="A_Type_Volume" sheetId="3" r:id="rId6"/>
    <sheet name="C_Type_Volume" sheetId="4" r:id="rId7"/>
  </sheets>
  <definedNames>
    <definedName name="_xlnm._FilterDatabase" localSheetId="5" hidden="1">A_Type_Volume!$A$1:$M$197</definedName>
    <definedName name="_xlnm._FilterDatabase" localSheetId="6" hidden="1">C_Type_Volume!$A$1:$M$27</definedName>
    <definedName name="_xlnm._FilterDatabase" localSheetId="3" hidden="1">Data_Model!$C$2:$CB$319</definedName>
    <definedName name="_xlnm._FilterDatabase" localSheetId="2" hidden="1">Proj_Reg!$B$2:$H$85</definedName>
    <definedName name="Slicer_Category">#N/A</definedName>
    <definedName name="Slicer_VC_Project">#N/A</definedName>
  </definedNames>
  <calcPr calcId="162913"/>
  <pivotCaches>
    <pivotCache cacheId="3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Y14" i="6" l="1"/>
  <c r="AZ14" i="6"/>
  <c r="BA14" i="6"/>
  <c r="BB14" i="6"/>
  <c r="BC14" i="6"/>
  <c r="BD14" i="6"/>
  <c r="BE14" i="6"/>
  <c r="AY15" i="6"/>
  <c r="AZ15" i="6"/>
  <c r="BA15" i="6"/>
  <c r="BB15" i="6"/>
  <c r="BC15" i="6"/>
  <c r="BD15" i="6"/>
  <c r="BE15" i="6"/>
  <c r="AY16" i="6"/>
  <c r="AZ16" i="6"/>
  <c r="BA16" i="6"/>
  <c r="BB16" i="6"/>
  <c r="BC16" i="6"/>
  <c r="BD16" i="6"/>
  <c r="BE16" i="6"/>
  <c r="AX15" i="6"/>
  <c r="AX16" i="6"/>
  <c r="AX14" i="6"/>
  <c r="AX17" i="6" l="1"/>
  <c r="BC17" i="6"/>
  <c r="BB17" i="6"/>
  <c r="BA17" i="6"/>
  <c r="BE17" i="6"/>
  <c r="AZ17" i="6"/>
  <c r="BD17" i="6"/>
  <c r="AY17" i="6"/>
  <c r="E7" i="9"/>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I3" i="2" l="1"/>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B204" i="2" l="1"/>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F300" i="2"/>
  <c r="F301" i="2"/>
  <c r="F302" i="2"/>
  <c r="F303" i="2"/>
  <c r="F304" i="2"/>
  <c r="F305" i="2"/>
  <c r="F306" i="2"/>
  <c r="F307" i="2"/>
  <c r="F308" i="2"/>
  <c r="F309" i="2"/>
  <c r="F310" i="2"/>
  <c r="F311" i="2"/>
  <c r="F312" i="2"/>
  <c r="F313" i="2"/>
  <c r="F314" i="2"/>
  <c r="F315" i="2"/>
  <c r="F316" i="2"/>
  <c r="F317" i="2"/>
  <c r="F318" i="2"/>
  <c r="F319" i="2"/>
  <c r="J300" i="2"/>
  <c r="A300" i="2" s="1"/>
  <c r="J301" i="2"/>
  <c r="A301" i="2" s="1"/>
  <c r="J302" i="2"/>
  <c r="A302" i="2" s="1"/>
  <c r="J303" i="2"/>
  <c r="A303" i="2" s="1"/>
  <c r="J304" i="2"/>
  <c r="A304" i="2" s="1"/>
  <c r="J305" i="2"/>
  <c r="A305" i="2" s="1"/>
  <c r="J306" i="2"/>
  <c r="A306" i="2" s="1"/>
  <c r="J307" i="2"/>
  <c r="A307" i="2" s="1"/>
  <c r="J308" i="2"/>
  <c r="A308" i="2" s="1"/>
  <c r="J309" i="2"/>
  <c r="A309" i="2" s="1"/>
  <c r="J310" i="2"/>
  <c r="A310" i="2" s="1"/>
  <c r="J311" i="2"/>
  <c r="A311" i="2" s="1"/>
  <c r="J312" i="2"/>
  <c r="A312" i="2" s="1"/>
  <c r="J313" i="2"/>
  <c r="A313" i="2" s="1"/>
  <c r="J314" i="2"/>
  <c r="A314" i="2" s="1"/>
  <c r="J315" i="2"/>
  <c r="A315" i="2" s="1"/>
  <c r="J316" i="2"/>
  <c r="A316" i="2" s="1"/>
  <c r="J317" i="2"/>
  <c r="A317" i="2" s="1"/>
  <c r="J318" i="2"/>
  <c r="A318" i="2" s="1"/>
  <c r="J319" i="2"/>
  <c r="A319" i="2" s="1"/>
  <c r="AZ300" i="2"/>
  <c r="AZ301" i="2"/>
  <c r="AZ302" i="2"/>
  <c r="AZ303" i="2"/>
  <c r="AZ304" i="2"/>
  <c r="AZ305" i="2"/>
  <c r="AZ306" i="2"/>
  <c r="AZ307" i="2"/>
  <c r="AZ308" i="2"/>
  <c r="AZ309" i="2"/>
  <c r="AZ310" i="2"/>
  <c r="AZ311" i="2"/>
  <c r="AZ312" i="2"/>
  <c r="AZ313" i="2"/>
  <c r="AZ314" i="2"/>
  <c r="AZ315" i="2"/>
  <c r="AZ316" i="2"/>
  <c r="AZ317" i="2"/>
  <c r="AZ318" i="2"/>
  <c r="AZ319" i="2"/>
  <c r="BA300" i="2"/>
  <c r="BA301" i="2"/>
  <c r="BA302" i="2"/>
  <c r="BA303" i="2"/>
  <c r="BA304" i="2"/>
  <c r="BA305" i="2"/>
  <c r="BA306" i="2"/>
  <c r="BA307" i="2"/>
  <c r="BA308" i="2"/>
  <c r="BA309" i="2"/>
  <c r="BA310" i="2"/>
  <c r="BA311" i="2"/>
  <c r="BA312" i="2"/>
  <c r="BA313" i="2"/>
  <c r="BA314" i="2"/>
  <c r="BA315" i="2"/>
  <c r="BA316" i="2"/>
  <c r="BA317" i="2"/>
  <c r="BA318" i="2"/>
  <c r="BA319" i="2"/>
  <c r="BB300" i="2"/>
  <c r="BB301" i="2"/>
  <c r="BB302" i="2"/>
  <c r="BB303" i="2"/>
  <c r="BB304" i="2"/>
  <c r="BB305" i="2"/>
  <c r="BB306" i="2"/>
  <c r="BB307" i="2"/>
  <c r="BB308" i="2"/>
  <c r="BB309" i="2"/>
  <c r="BB310" i="2"/>
  <c r="BB311" i="2"/>
  <c r="BB312" i="2"/>
  <c r="BB313" i="2"/>
  <c r="BB314" i="2"/>
  <c r="BB315" i="2"/>
  <c r="BB316" i="2"/>
  <c r="BB317" i="2"/>
  <c r="BB318" i="2"/>
  <c r="BB319" i="2"/>
  <c r="BC300" i="2"/>
  <c r="BC301" i="2"/>
  <c r="BC302" i="2"/>
  <c r="BC303" i="2"/>
  <c r="BC304" i="2"/>
  <c r="BC305" i="2"/>
  <c r="BC306" i="2"/>
  <c r="BC307" i="2"/>
  <c r="BC308" i="2"/>
  <c r="BC309" i="2"/>
  <c r="BC310" i="2"/>
  <c r="BC311" i="2"/>
  <c r="BC312" i="2"/>
  <c r="BC313" i="2"/>
  <c r="BC314" i="2"/>
  <c r="BC315" i="2"/>
  <c r="BC316" i="2"/>
  <c r="BC317" i="2"/>
  <c r="BC318" i="2"/>
  <c r="BC319" i="2"/>
  <c r="BD300" i="2"/>
  <c r="BD301" i="2"/>
  <c r="BD302" i="2"/>
  <c r="BD303" i="2"/>
  <c r="BD304" i="2"/>
  <c r="BD305" i="2"/>
  <c r="BD306" i="2"/>
  <c r="BD307" i="2"/>
  <c r="BD308" i="2"/>
  <c r="BD309" i="2"/>
  <c r="BD310" i="2"/>
  <c r="BD311" i="2"/>
  <c r="BD312" i="2"/>
  <c r="BD313" i="2"/>
  <c r="BD314" i="2"/>
  <c r="BD315" i="2"/>
  <c r="BD316" i="2"/>
  <c r="BD317" i="2"/>
  <c r="BD318" i="2"/>
  <c r="BD319" i="2"/>
  <c r="BE300" i="2"/>
  <c r="BE301" i="2"/>
  <c r="BE302" i="2"/>
  <c r="BE303" i="2"/>
  <c r="BE304" i="2"/>
  <c r="BE305" i="2"/>
  <c r="BE306" i="2"/>
  <c r="BE307" i="2"/>
  <c r="BE308" i="2"/>
  <c r="BE309" i="2"/>
  <c r="BE310" i="2"/>
  <c r="BE311" i="2"/>
  <c r="BE312" i="2"/>
  <c r="BE313" i="2"/>
  <c r="BE314" i="2"/>
  <c r="BE315" i="2"/>
  <c r="BE316" i="2"/>
  <c r="BE317" i="2"/>
  <c r="BE318" i="2"/>
  <c r="BE319" i="2"/>
  <c r="BF300" i="2"/>
  <c r="BF301" i="2"/>
  <c r="BF302" i="2"/>
  <c r="BF303" i="2"/>
  <c r="BF304" i="2"/>
  <c r="BF305" i="2"/>
  <c r="BF306" i="2"/>
  <c r="BF307" i="2"/>
  <c r="BF308" i="2"/>
  <c r="BF309" i="2"/>
  <c r="BF310" i="2"/>
  <c r="BF311" i="2"/>
  <c r="BF312" i="2"/>
  <c r="BF313" i="2"/>
  <c r="BF314" i="2"/>
  <c r="BF315" i="2"/>
  <c r="BF316" i="2"/>
  <c r="BF317" i="2"/>
  <c r="BF318" i="2"/>
  <c r="BF319" i="2"/>
  <c r="BG300" i="2"/>
  <c r="BG301" i="2"/>
  <c r="BG302" i="2"/>
  <c r="BG303" i="2"/>
  <c r="BG304" i="2"/>
  <c r="BG305" i="2"/>
  <c r="BG306" i="2"/>
  <c r="BG307" i="2"/>
  <c r="BG308" i="2"/>
  <c r="BG309" i="2"/>
  <c r="BG310" i="2"/>
  <c r="BG311" i="2"/>
  <c r="BG312" i="2"/>
  <c r="BG313" i="2"/>
  <c r="BG314" i="2"/>
  <c r="BG315" i="2"/>
  <c r="BG316" i="2"/>
  <c r="BG317" i="2"/>
  <c r="BG318" i="2"/>
  <c r="BG319" i="2"/>
  <c r="BH300" i="2"/>
  <c r="BH301" i="2"/>
  <c r="BH302" i="2"/>
  <c r="BH303" i="2"/>
  <c r="BH304" i="2"/>
  <c r="BH305" i="2"/>
  <c r="BH306" i="2"/>
  <c r="BH307" i="2"/>
  <c r="BH308" i="2"/>
  <c r="BH309" i="2"/>
  <c r="BH310" i="2"/>
  <c r="BH311" i="2"/>
  <c r="BH312" i="2"/>
  <c r="BH313" i="2"/>
  <c r="BH314" i="2"/>
  <c r="BH315" i="2"/>
  <c r="BH316" i="2"/>
  <c r="BH317" i="2"/>
  <c r="BH318" i="2"/>
  <c r="BH319" i="2"/>
  <c r="BI300" i="2"/>
  <c r="BI301" i="2"/>
  <c r="BI302" i="2"/>
  <c r="BI303" i="2"/>
  <c r="BI304" i="2"/>
  <c r="BI305" i="2"/>
  <c r="BI306" i="2"/>
  <c r="BI307" i="2"/>
  <c r="BI308" i="2"/>
  <c r="BI309" i="2"/>
  <c r="BI310" i="2"/>
  <c r="BI311" i="2"/>
  <c r="BI312" i="2"/>
  <c r="BI313" i="2"/>
  <c r="BI314" i="2"/>
  <c r="BI315" i="2"/>
  <c r="BI316" i="2"/>
  <c r="BI317" i="2"/>
  <c r="BI318" i="2"/>
  <c r="BI319" i="2"/>
  <c r="BJ300" i="2"/>
  <c r="BJ301" i="2"/>
  <c r="BJ302" i="2"/>
  <c r="BJ303" i="2"/>
  <c r="BJ304" i="2"/>
  <c r="BJ305" i="2"/>
  <c r="BJ306" i="2"/>
  <c r="BJ307" i="2"/>
  <c r="BJ308" i="2"/>
  <c r="BJ309" i="2"/>
  <c r="BJ310" i="2"/>
  <c r="BJ311" i="2"/>
  <c r="BJ312" i="2"/>
  <c r="BJ313" i="2"/>
  <c r="BJ314" i="2"/>
  <c r="BJ315" i="2"/>
  <c r="BJ316" i="2"/>
  <c r="BJ317" i="2"/>
  <c r="BJ318" i="2"/>
  <c r="BJ319" i="2"/>
  <c r="BK300" i="2"/>
  <c r="BK301" i="2"/>
  <c r="BK302" i="2"/>
  <c r="BK303" i="2"/>
  <c r="BK304" i="2"/>
  <c r="BK305" i="2"/>
  <c r="BK306" i="2"/>
  <c r="BK307" i="2"/>
  <c r="BK308" i="2"/>
  <c r="BK309" i="2"/>
  <c r="BK310" i="2"/>
  <c r="BK311" i="2"/>
  <c r="BK312" i="2"/>
  <c r="BK313" i="2"/>
  <c r="BK314" i="2"/>
  <c r="BK315" i="2"/>
  <c r="BK316" i="2"/>
  <c r="BK317" i="2"/>
  <c r="BK318" i="2"/>
  <c r="BK319" i="2"/>
  <c r="F299" i="2"/>
  <c r="J299" i="2"/>
  <c r="A299" i="2" s="1"/>
  <c r="AZ299" i="2"/>
  <c r="BA299" i="2"/>
  <c r="BB299" i="2"/>
  <c r="BC299" i="2"/>
  <c r="BD299" i="2"/>
  <c r="BE299" i="2"/>
  <c r="BF299" i="2"/>
  <c r="BG299" i="2"/>
  <c r="BH299" i="2"/>
  <c r="BI299" i="2"/>
  <c r="BJ299" i="2"/>
  <c r="BK299" i="2"/>
  <c r="F298" i="2"/>
  <c r="J298" i="2"/>
  <c r="A298" i="2" s="1"/>
  <c r="AZ298" i="2"/>
  <c r="BA298" i="2"/>
  <c r="BB298" i="2"/>
  <c r="BC298" i="2"/>
  <c r="BD298" i="2"/>
  <c r="BE298" i="2"/>
  <c r="BF298" i="2"/>
  <c r="BG298" i="2"/>
  <c r="BH298" i="2"/>
  <c r="BI298" i="2"/>
  <c r="BJ298" i="2"/>
  <c r="BK298" i="2"/>
  <c r="Y319" i="2" l="1"/>
  <c r="AL319" i="2" s="1"/>
  <c r="Y311" i="2"/>
  <c r="AL311" i="2" s="1"/>
  <c r="Y303" i="2"/>
  <c r="AL303" i="2" s="1"/>
  <c r="Y317" i="2"/>
  <c r="Y309" i="2"/>
  <c r="AL309" i="2" s="1"/>
  <c r="Y301" i="2"/>
  <c r="AL301" i="2" s="1"/>
  <c r="Y299" i="2"/>
  <c r="AL299" i="2" s="1"/>
  <c r="Y312" i="2"/>
  <c r="AL312" i="2" s="1"/>
  <c r="Y304" i="2"/>
  <c r="AL304" i="2" s="1"/>
  <c r="Y314" i="2"/>
  <c r="AL314" i="2" s="1"/>
  <c r="Y306" i="2"/>
  <c r="AL306" i="2" s="1"/>
  <c r="Y313" i="2"/>
  <c r="AL313" i="2" s="1"/>
  <c r="Y305" i="2"/>
  <c r="AL305" i="2" s="1"/>
  <c r="Y318" i="2"/>
  <c r="AL318" i="2" s="1"/>
  <c r="Y310" i="2"/>
  <c r="AL310" i="2" s="1"/>
  <c r="Y302" i="2"/>
  <c r="AL302" i="2" s="1"/>
  <c r="Y316" i="2"/>
  <c r="AL316" i="2" s="1"/>
  <c r="Y308" i="2"/>
  <c r="AL308" i="2" s="1"/>
  <c r="Y300" i="2"/>
  <c r="AL300" i="2" s="1"/>
  <c r="Y298" i="2"/>
  <c r="AL298" i="2" s="1"/>
  <c r="Y315" i="2"/>
  <c r="AL315" i="2" s="1"/>
  <c r="Y307" i="2"/>
  <c r="AL307" i="2" s="1"/>
  <c r="BV303" i="2"/>
  <c r="BO316" i="2"/>
  <c r="BS300" i="2"/>
  <c r="BO315" i="2"/>
  <c r="BV318" i="2"/>
  <c r="BQ302" i="2"/>
  <c r="BX316" i="2"/>
  <c r="BW315" i="2"/>
  <c r="BW307" i="2"/>
  <c r="BS315" i="2"/>
  <c r="BS307" i="2"/>
  <c r="BO307" i="2"/>
  <c r="BT307" i="2"/>
  <c r="BP315" i="2"/>
  <c r="BP307" i="2"/>
  <c r="BX300" i="2"/>
  <c r="BX315" i="2"/>
  <c r="BX308" i="2"/>
  <c r="BT308" i="2"/>
  <c r="BP316" i="2"/>
  <c r="BP300" i="2"/>
  <c r="BX307" i="2"/>
  <c r="BS299" i="2"/>
  <c r="BM318" i="2"/>
  <c r="BS314" i="2"/>
  <c r="BS306" i="2"/>
  <c r="BT315" i="2"/>
  <c r="BU302" i="2"/>
  <c r="BU318" i="2"/>
  <c r="BS305" i="2"/>
  <c r="BR319" i="2"/>
  <c r="BQ311" i="2"/>
  <c r="BP308" i="2"/>
  <c r="BQ310" i="2"/>
  <c r="BT300" i="2"/>
  <c r="BR299" i="2"/>
  <c r="BQ299" i="2"/>
  <c r="AL317" i="2"/>
  <c r="BX299" i="2"/>
  <c r="BW299" i="2"/>
  <c r="BV309" i="2"/>
  <c r="BU315" i="2"/>
  <c r="BR317" i="2"/>
  <c r="BQ307" i="2"/>
  <c r="BM315" i="2"/>
  <c r="BV299" i="2"/>
  <c r="BN299" i="2"/>
  <c r="BV316" i="2"/>
  <c r="BV308" i="2"/>
  <c r="BM307" i="2"/>
  <c r="BU299" i="2"/>
  <c r="BM299" i="2"/>
  <c r="BW317" i="2"/>
  <c r="BW309" i="2"/>
  <c r="BW301" i="2"/>
  <c r="BV315" i="2"/>
  <c r="BV307" i="2"/>
  <c r="BS317" i="2"/>
  <c r="BS309" i="2"/>
  <c r="BS301" i="2"/>
  <c r="BR315" i="2"/>
  <c r="BR307" i="2"/>
  <c r="BO317" i="2"/>
  <c r="BO309" i="2"/>
  <c r="BO301" i="2"/>
  <c r="BN315" i="2"/>
  <c r="BN307" i="2"/>
  <c r="BQ317" i="2"/>
  <c r="BQ309" i="2"/>
  <c r="BQ301" i="2"/>
  <c r="BM317" i="2"/>
  <c r="BM309" i="2"/>
  <c r="BM301" i="2"/>
  <c r="BP299" i="2"/>
  <c r="BQ316" i="2"/>
  <c r="BQ308" i="2"/>
  <c r="BQ300" i="2"/>
  <c r="BM316" i="2"/>
  <c r="BM308" i="2"/>
  <c r="BV298" i="2"/>
  <c r="BO299" i="2"/>
  <c r="BV301" i="2"/>
  <c r="BU307" i="2"/>
  <c r="BR309" i="2"/>
  <c r="BQ315" i="2"/>
  <c r="BT299" i="2"/>
  <c r="BT316" i="2"/>
  <c r="BW316" i="2"/>
  <c r="BW308" i="2"/>
  <c r="BW300" i="2"/>
  <c r="BS316" i="2"/>
  <c r="BS308" i="2"/>
  <c r="BO308" i="2"/>
  <c r="BO300" i="2"/>
  <c r="BN298" i="2"/>
  <c r="BM298" i="2"/>
  <c r="BU298" i="2"/>
  <c r="BS298" i="2"/>
  <c r="BT298" i="2"/>
  <c r="BQ298" i="2"/>
  <c r="BN304" i="2"/>
  <c r="BW298" i="2"/>
  <c r="BO298" i="2"/>
  <c r="BN312" i="2"/>
  <c r="BN319" i="2"/>
  <c r="BM310" i="2"/>
  <c r="BU319" i="2"/>
  <c r="BM302" i="2"/>
  <c r="BR310" i="2"/>
  <c r="BU310" i="2"/>
  <c r="BW306" i="2"/>
  <c r="BW305" i="2"/>
  <c r="BO304" i="2"/>
  <c r="BO314" i="2"/>
  <c r="BW303" i="2"/>
  <c r="BW314" i="2"/>
  <c r="BW313" i="2"/>
  <c r="BO313" i="2"/>
  <c r="BO312" i="2"/>
  <c r="BV319" i="2"/>
  <c r="BS313" i="2"/>
  <c r="BO305" i="2"/>
  <c r="BW312" i="2"/>
  <c r="BS312" i="2"/>
  <c r="BO306" i="2"/>
  <c r="BX314" i="2"/>
  <c r="BX306" i="2"/>
  <c r="BT314" i="2"/>
  <c r="BT306" i="2"/>
  <c r="BP314" i="2"/>
  <c r="BP306" i="2"/>
  <c r="BV314" i="2"/>
  <c r="BX313" i="2"/>
  <c r="BX305" i="2"/>
  <c r="BT313" i="2"/>
  <c r="BT305" i="2"/>
  <c r="BP313" i="2"/>
  <c r="BP305" i="2"/>
  <c r="BR312" i="2"/>
  <c r="BX312" i="2"/>
  <c r="BX304" i="2"/>
  <c r="BU314" i="2"/>
  <c r="BU306" i="2"/>
  <c r="BT312" i="2"/>
  <c r="BT304" i="2"/>
  <c r="BQ314" i="2"/>
  <c r="BQ306" i="2"/>
  <c r="BP312" i="2"/>
  <c r="BP304" i="2"/>
  <c r="BR304" i="2"/>
  <c r="BX311" i="2"/>
  <c r="BU313" i="2"/>
  <c r="BU305" i="2"/>
  <c r="BQ313" i="2"/>
  <c r="BQ305" i="2"/>
  <c r="BM313" i="2"/>
  <c r="BM305" i="2"/>
  <c r="BQ318" i="2"/>
  <c r="BX318" i="2"/>
  <c r="BX310" i="2"/>
  <c r="BX302" i="2"/>
  <c r="BV306" i="2"/>
  <c r="BU312" i="2"/>
  <c r="BU304" i="2"/>
  <c r="BT318" i="2"/>
  <c r="BT310" i="2"/>
  <c r="BT302" i="2"/>
  <c r="BR314" i="2"/>
  <c r="BR306" i="2"/>
  <c r="BQ312" i="2"/>
  <c r="BQ304" i="2"/>
  <c r="BP318" i="2"/>
  <c r="BP310" i="2"/>
  <c r="BP302" i="2"/>
  <c r="BN314" i="2"/>
  <c r="BN306" i="2"/>
  <c r="BM312" i="2"/>
  <c r="BM304" i="2"/>
  <c r="BX317" i="2"/>
  <c r="BX309" i="2"/>
  <c r="BX301" i="2"/>
  <c r="BV313" i="2"/>
  <c r="BV305" i="2"/>
  <c r="BT317" i="2"/>
  <c r="BT309" i="2"/>
  <c r="BT301" i="2"/>
  <c r="BR313" i="2"/>
  <c r="BR305" i="2"/>
  <c r="BP309" i="2"/>
  <c r="BP301" i="2"/>
  <c r="BN313" i="2"/>
  <c r="BN305" i="2"/>
  <c r="BP311" i="2"/>
  <c r="BM311" i="2"/>
  <c r="BQ319" i="2"/>
  <c r="BT319" i="2"/>
  <c r="BL319" i="2"/>
  <c r="CF319" i="2" s="1"/>
  <c r="BM303" i="2"/>
  <c r="BT311" i="2"/>
  <c r="BV304" i="2"/>
  <c r="BP319" i="2"/>
  <c r="BP303" i="2"/>
  <c r="BM319" i="2"/>
  <c r="BX319" i="2"/>
  <c r="BV312" i="2"/>
  <c r="BU303" i="2"/>
  <c r="BU308" i="2"/>
  <c r="BS311" i="2"/>
  <c r="BR318" i="2"/>
  <c r="BS304" i="2"/>
  <c r="BO319" i="2"/>
  <c r="BM300" i="2"/>
  <c r="BX303" i="2"/>
  <c r="BW304" i="2"/>
  <c r="BN310" i="2"/>
  <c r="BU317" i="2"/>
  <c r="BT303" i="2"/>
  <c r="BN303" i="2"/>
  <c r="BN311" i="2"/>
  <c r="BL317" i="2"/>
  <c r="CD317" i="2" s="1"/>
  <c r="BV311" i="2"/>
  <c r="BU316" i="2"/>
  <c r="BN302" i="2"/>
  <c r="BV302" i="2"/>
  <c r="BV310" i="2"/>
  <c r="BU311" i="2"/>
  <c r="BP317" i="2"/>
  <c r="BQ303" i="2"/>
  <c r="BV300" i="2"/>
  <c r="BR316" i="2"/>
  <c r="BR300" i="2"/>
  <c r="BO310" i="2"/>
  <c r="BL310" i="2"/>
  <c r="BN300" i="2"/>
  <c r="BL300" i="2"/>
  <c r="BS303" i="2"/>
  <c r="BL309" i="2"/>
  <c r="BW310" i="2"/>
  <c r="BS318" i="2"/>
  <c r="BN308" i="2"/>
  <c r="BL308" i="2"/>
  <c r="BW318" i="2"/>
  <c r="BW302" i="2"/>
  <c r="BS302" i="2"/>
  <c r="BO302" i="2"/>
  <c r="BM306" i="2"/>
  <c r="BL306" i="2"/>
  <c r="BL307" i="2"/>
  <c r="BS310" i="2"/>
  <c r="BR308" i="2"/>
  <c r="BO318" i="2"/>
  <c r="BN316" i="2"/>
  <c r="BL316" i="2"/>
  <c r="BM314" i="2"/>
  <c r="BL314" i="2"/>
  <c r="BL318" i="2"/>
  <c r="BW319" i="2"/>
  <c r="BW311" i="2"/>
  <c r="BV317" i="2"/>
  <c r="BS319" i="2"/>
  <c r="BR301" i="2"/>
  <c r="BO311" i="2"/>
  <c r="BL311" i="2"/>
  <c r="BO303" i="2"/>
  <c r="BN317" i="2"/>
  <c r="BN309" i="2"/>
  <c r="BL301" i="2"/>
  <c r="BN301" i="2"/>
  <c r="BL315" i="2"/>
  <c r="BU301" i="2"/>
  <c r="BR303" i="2"/>
  <c r="BN318" i="2"/>
  <c r="BL303" i="2"/>
  <c r="BL313" i="2"/>
  <c r="BU309" i="2"/>
  <c r="BU300" i="2"/>
  <c r="BR311" i="2"/>
  <c r="BR302" i="2"/>
  <c r="BL302" i="2"/>
  <c r="BL312" i="2"/>
  <c r="BL304" i="2"/>
  <c r="BL305" i="2"/>
  <c r="BL299" i="2"/>
  <c r="BR298" i="2"/>
  <c r="BL298" i="2"/>
  <c r="BX298" i="2"/>
  <c r="BP298" i="2"/>
  <c r="BZ316" i="2" l="1"/>
  <c r="CA315" i="2"/>
  <c r="CB315" i="2"/>
  <c r="CA299" i="2"/>
  <c r="CB307" i="2"/>
  <c r="CB317" i="2"/>
  <c r="CA298" i="2"/>
  <c r="BY307" i="2"/>
  <c r="CA300" i="2"/>
  <c r="CA307" i="2"/>
  <c r="CB299" i="2"/>
  <c r="CB309" i="2"/>
  <c r="CB308" i="2"/>
  <c r="CB300" i="2"/>
  <c r="CA306" i="2"/>
  <c r="CA313" i="2"/>
  <c r="CB316" i="2"/>
  <c r="CB303" i="2"/>
  <c r="BZ301" i="2"/>
  <c r="BZ312" i="2"/>
  <c r="BY298" i="2"/>
  <c r="BZ299" i="2"/>
  <c r="BY299" i="2"/>
  <c r="BY315" i="2"/>
  <c r="BY317" i="2"/>
  <c r="BZ308" i="2"/>
  <c r="BZ307" i="2"/>
  <c r="BY309" i="2"/>
  <c r="CB298" i="2"/>
  <c r="CB301" i="2"/>
  <c r="BY305" i="2"/>
  <c r="BZ315" i="2"/>
  <c r="CA309" i="2"/>
  <c r="BY308" i="2"/>
  <c r="CA316" i="2"/>
  <c r="BY301" i="2"/>
  <c r="BZ317" i="2"/>
  <c r="CA308" i="2"/>
  <c r="BZ309" i="2"/>
  <c r="BY312" i="2"/>
  <c r="BY316" i="2"/>
  <c r="BZ300" i="2"/>
  <c r="BZ304" i="2"/>
  <c r="CB306" i="2"/>
  <c r="BZ305" i="2"/>
  <c r="BY313" i="2"/>
  <c r="BZ310" i="2"/>
  <c r="BY319" i="2"/>
  <c r="CB305" i="2"/>
  <c r="CB314" i="2"/>
  <c r="CB313" i="2"/>
  <c r="BZ306" i="2"/>
  <c r="BZ313" i="2"/>
  <c r="BZ314" i="2"/>
  <c r="CB319" i="2"/>
  <c r="BY306" i="2"/>
  <c r="BZ318" i="2"/>
  <c r="CB312" i="2"/>
  <c r="CA312" i="2"/>
  <c r="CA305" i="2"/>
  <c r="CA314" i="2"/>
  <c r="BY304" i="2"/>
  <c r="CA318" i="2"/>
  <c r="BY314" i="2"/>
  <c r="CA310" i="2"/>
  <c r="CA304" i="2"/>
  <c r="BZ302" i="2"/>
  <c r="CB318" i="2"/>
  <c r="BZ311" i="2"/>
  <c r="CA317" i="2"/>
  <c r="CA301" i="2"/>
  <c r="CA302" i="2"/>
  <c r="CB304" i="2"/>
  <c r="CE317" i="2"/>
  <c r="BZ319" i="2"/>
  <c r="BY318" i="2"/>
  <c r="CA319" i="2"/>
  <c r="CD319" i="2"/>
  <c r="CE319" i="2"/>
  <c r="CC319" i="2"/>
  <c r="BZ303" i="2"/>
  <c r="CB310" i="2"/>
  <c r="BY302" i="2"/>
  <c r="CA303" i="2"/>
  <c r="CA311" i="2"/>
  <c r="BY311" i="2"/>
  <c r="BY310" i="2"/>
  <c r="CC317" i="2"/>
  <c r="BY303" i="2"/>
  <c r="BY300" i="2"/>
  <c r="CB302" i="2"/>
  <c r="CF317" i="2"/>
  <c r="CB311" i="2"/>
  <c r="BZ298" i="2"/>
  <c r="CD316" i="2"/>
  <c r="CE316" i="2"/>
  <c r="CC316" i="2"/>
  <c r="CF316" i="2"/>
  <c r="CF304" i="2"/>
  <c r="CC304" i="2"/>
  <c r="CD304" i="2"/>
  <c r="CE304" i="2"/>
  <c r="CF312" i="2"/>
  <c r="CD312" i="2"/>
  <c r="CC312" i="2"/>
  <c r="CE312" i="2"/>
  <c r="CE307" i="2"/>
  <c r="CC307" i="2"/>
  <c r="CF307" i="2"/>
  <c r="CD307" i="2"/>
  <c r="CE310" i="2"/>
  <c r="CD310" i="2"/>
  <c r="CF310" i="2"/>
  <c r="CC310" i="2"/>
  <c r="CD301" i="2"/>
  <c r="CE301" i="2"/>
  <c r="CF301" i="2"/>
  <c r="CC301" i="2"/>
  <c r="CF311" i="2"/>
  <c r="CD311" i="2"/>
  <c r="CE311" i="2"/>
  <c r="CC311" i="2"/>
  <c r="CF303" i="2"/>
  <c r="CD303" i="2"/>
  <c r="CC303" i="2"/>
  <c r="CE303" i="2"/>
  <c r="CE318" i="2"/>
  <c r="CC318" i="2"/>
  <c r="CD318" i="2"/>
  <c r="CF318" i="2"/>
  <c r="CC306" i="2"/>
  <c r="CE306" i="2"/>
  <c r="CF306" i="2"/>
  <c r="CD306" i="2"/>
  <c r="CE302" i="2"/>
  <c r="CF302" i="2"/>
  <c r="CD302" i="2"/>
  <c r="CC302" i="2"/>
  <c r="CC313" i="2"/>
  <c r="CF313" i="2"/>
  <c r="CD313" i="2"/>
  <c r="CE313" i="2"/>
  <c r="CE315" i="2"/>
  <c r="CC315" i="2"/>
  <c r="CF315" i="2"/>
  <c r="CD315" i="2"/>
  <c r="CC314" i="2"/>
  <c r="CD314" i="2"/>
  <c r="CF314" i="2"/>
  <c r="CE314" i="2"/>
  <c r="CD308" i="2"/>
  <c r="CE308" i="2"/>
  <c r="CC308" i="2"/>
  <c r="CF308" i="2"/>
  <c r="CC309" i="2"/>
  <c r="CE309" i="2"/>
  <c r="CD309" i="2"/>
  <c r="CF309" i="2"/>
  <c r="CC305" i="2"/>
  <c r="CF305" i="2"/>
  <c r="CD305" i="2"/>
  <c r="CE305" i="2"/>
  <c r="CD300" i="2"/>
  <c r="CE300" i="2"/>
  <c r="CC300" i="2"/>
  <c r="CF300" i="2"/>
  <c r="CC299" i="2"/>
  <c r="CE299" i="2"/>
  <c r="CF299" i="2"/>
  <c r="CD299" i="2"/>
  <c r="CF298" i="2"/>
  <c r="CC298" i="2"/>
  <c r="CD298" i="2"/>
  <c r="CE298" i="2"/>
  <c r="CG319" i="2" l="1"/>
  <c r="CG317" i="2"/>
  <c r="CG302" i="2"/>
  <c r="CG307" i="2"/>
  <c r="CG301" i="2"/>
  <c r="CG311" i="2"/>
  <c r="CG303" i="2"/>
  <c r="CG305" i="2"/>
  <c r="CG306" i="2"/>
  <c r="CG315" i="2"/>
  <c r="CG310" i="2"/>
  <c r="CG313" i="2"/>
  <c r="CG309" i="2"/>
  <c r="CG318" i="2"/>
  <c r="CG314" i="2"/>
  <c r="CG312" i="2"/>
  <c r="CG316" i="2"/>
  <c r="CG300" i="2"/>
  <c r="CG308" i="2"/>
  <c r="CG304" i="2"/>
  <c r="CG299" i="2"/>
  <c r="CG298" i="2"/>
  <c r="H84" i="1" l="1"/>
  <c r="G293" i="2" s="1"/>
  <c r="F297" i="2"/>
  <c r="J297" i="2"/>
  <c r="A297" i="2" s="1"/>
  <c r="AZ297" i="2"/>
  <c r="BM297" i="2" s="1"/>
  <c r="BA297" i="2"/>
  <c r="BB297" i="2"/>
  <c r="BO297" i="2" s="1"/>
  <c r="BC297" i="2"/>
  <c r="BP297" i="2" s="1"/>
  <c r="BD297" i="2"/>
  <c r="BQ297" i="2" s="1"/>
  <c r="BE297" i="2"/>
  <c r="BF297" i="2"/>
  <c r="BS297" i="2" s="1"/>
  <c r="BG297" i="2"/>
  <c r="BH297" i="2"/>
  <c r="BU297" i="2" s="1"/>
  <c r="BI297" i="2"/>
  <c r="BV297" i="2" s="1"/>
  <c r="BJ297" i="2"/>
  <c r="BW297" i="2" s="1"/>
  <c r="BK297" i="2"/>
  <c r="BX297" i="2" s="1"/>
  <c r="F293" i="2"/>
  <c r="F294" i="2"/>
  <c r="F295" i="2"/>
  <c r="F296" i="2"/>
  <c r="G294" i="2"/>
  <c r="J293" i="2"/>
  <c r="A293" i="2" s="1"/>
  <c r="J294" i="2"/>
  <c r="A294" i="2" s="1"/>
  <c r="J295" i="2"/>
  <c r="A295" i="2" s="1"/>
  <c r="J296" i="2"/>
  <c r="A296" i="2" s="1"/>
  <c r="AZ293" i="2"/>
  <c r="BM293" i="2" s="1"/>
  <c r="AZ294" i="2"/>
  <c r="BM294" i="2" s="1"/>
  <c r="AZ295" i="2"/>
  <c r="AZ296" i="2"/>
  <c r="BM296" i="2" s="1"/>
  <c r="BA293" i="2"/>
  <c r="BN293" i="2" s="1"/>
  <c r="BA294" i="2"/>
  <c r="BA295" i="2"/>
  <c r="BN295" i="2" s="1"/>
  <c r="BA296" i="2"/>
  <c r="BB293" i="2"/>
  <c r="BO293" i="2" s="1"/>
  <c r="BB294" i="2"/>
  <c r="BO294" i="2" s="1"/>
  <c r="BB295" i="2"/>
  <c r="BB296" i="2"/>
  <c r="BO296" i="2" s="1"/>
  <c r="BC293" i="2"/>
  <c r="BP293" i="2" s="1"/>
  <c r="BC294" i="2"/>
  <c r="BC295" i="2"/>
  <c r="BP295" i="2" s="1"/>
  <c r="BC296" i="2"/>
  <c r="BD293" i="2"/>
  <c r="BQ293" i="2" s="1"/>
  <c r="BD294" i="2"/>
  <c r="BQ294" i="2" s="1"/>
  <c r="BD295" i="2"/>
  <c r="BD296" i="2"/>
  <c r="BQ296" i="2" s="1"/>
  <c r="BE293" i="2"/>
  <c r="BR293" i="2" s="1"/>
  <c r="BE294" i="2"/>
  <c r="BE295" i="2"/>
  <c r="BR295" i="2" s="1"/>
  <c r="BE296" i="2"/>
  <c r="BF293" i="2"/>
  <c r="BS293" i="2" s="1"/>
  <c r="BF294" i="2"/>
  <c r="BS294" i="2" s="1"/>
  <c r="BF295" i="2"/>
  <c r="BF296" i="2"/>
  <c r="BS296" i="2" s="1"/>
  <c r="BG293" i="2"/>
  <c r="BT293" i="2" s="1"/>
  <c r="BG294" i="2"/>
  <c r="BG295" i="2"/>
  <c r="BT295" i="2" s="1"/>
  <c r="BG296" i="2"/>
  <c r="BH293" i="2"/>
  <c r="BU293" i="2" s="1"/>
  <c r="BH294" i="2"/>
  <c r="BU294" i="2" s="1"/>
  <c r="BH295" i="2"/>
  <c r="BH296" i="2"/>
  <c r="BU296" i="2" s="1"/>
  <c r="BI293" i="2"/>
  <c r="BV293" i="2" s="1"/>
  <c r="BI294" i="2"/>
  <c r="BI295" i="2"/>
  <c r="BI296" i="2"/>
  <c r="BJ293" i="2"/>
  <c r="BW293" i="2" s="1"/>
  <c r="BJ294" i="2"/>
  <c r="BW294" i="2" s="1"/>
  <c r="BJ295" i="2"/>
  <c r="BJ296" i="2"/>
  <c r="BW296" i="2" s="1"/>
  <c r="BK293" i="2"/>
  <c r="BX293" i="2" s="1"/>
  <c r="BK294" i="2"/>
  <c r="BK295" i="2"/>
  <c r="BX295" i="2" s="1"/>
  <c r="BK296" i="2"/>
  <c r="F280" i="2"/>
  <c r="F281" i="2"/>
  <c r="F282" i="2"/>
  <c r="F283" i="2"/>
  <c r="F284" i="2"/>
  <c r="F285" i="2"/>
  <c r="F286" i="2"/>
  <c r="F287" i="2"/>
  <c r="F288" i="2"/>
  <c r="F289" i="2"/>
  <c r="F290" i="2"/>
  <c r="F291" i="2"/>
  <c r="F292" i="2"/>
  <c r="G280" i="2"/>
  <c r="G281" i="2"/>
  <c r="G282" i="2"/>
  <c r="G283" i="2"/>
  <c r="G284" i="2"/>
  <c r="G285" i="2"/>
  <c r="G286" i="2"/>
  <c r="G287" i="2"/>
  <c r="G288" i="2"/>
  <c r="G289" i="2"/>
  <c r="G290" i="2"/>
  <c r="G291" i="2"/>
  <c r="G292" i="2"/>
  <c r="J280" i="2"/>
  <c r="A280" i="2" s="1"/>
  <c r="J281" i="2"/>
  <c r="A281" i="2" s="1"/>
  <c r="J282" i="2"/>
  <c r="A282" i="2" s="1"/>
  <c r="J283" i="2"/>
  <c r="A283" i="2" s="1"/>
  <c r="J284" i="2"/>
  <c r="A284" i="2" s="1"/>
  <c r="J285" i="2"/>
  <c r="A285" i="2" s="1"/>
  <c r="J286" i="2"/>
  <c r="A286" i="2" s="1"/>
  <c r="J287" i="2"/>
  <c r="A287" i="2" s="1"/>
  <c r="J288" i="2"/>
  <c r="A288" i="2" s="1"/>
  <c r="J289" i="2"/>
  <c r="A289" i="2" s="1"/>
  <c r="J290" i="2"/>
  <c r="A290" i="2" s="1"/>
  <c r="J291" i="2"/>
  <c r="A291" i="2" s="1"/>
  <c r="J292" i="2"/>
  <c r="A292" i="2" s="1"/>
  <c r="AZ280" i="2"/>
  <c r="AZ281" i="2"/>
  <c r="AZ282" i="2"/>
  <c r="BM282" i="2" s="1"/>
  <c r="AZ283" i="2"/>
  <c r="BM283" i="2" s="1"/>
  <c r="AZ284" i="2"/>
  <c r="BM284" i="2" s="1"/>
  <c r="AZ285" i="2"/>
  <c r="BM285" i="2" s="1"/>
  <c r="AZ286" i="2"/>
  <c r="BM286" i="2" s="1"/>
  <c r="AZ287" i="2"/>
  <c r="AZ288" i="2"/>
  <c r="BM288" i="2" s="1"/>
  <c r="AZ289" i="2"/>
  <c r="AZ290" i="2"/>
  <c r="BM290" i="2" s="1"/>
  <c r="AZ291" i="2"/>
  <c r="BM291" i="2" s="1"/>
  <c r="AZ292" i="2"/>
  <c r="BM292" i="2" s="1"/>
  <c r="BA280" i="2"/>
  <c r="BN280" i="2" s="1"/>
  <c r="BA281" i="2"/>
  <c r="BN281" i="2" s="1"/>
  <c r="BA282" i="2"/>
  <c r="BA283" i="2"/>
  <c r="BA284" i="2"/>
  <c r="BN284" i="2" s="1"/>
  <c r="BA285" i="2"/>
  <c r="BN285" i="2" s="1"/>
  <c r="BA286" i="2"/>
  <c r="BN286" i="2" s="1"/>
  <c r="BA287" i="2"/>
  <c r="BN287" i="2" s="1"/>
  <c r="BA288" i="2"/>
  <c r="BN288" i="2" s="1"/>
  <c r="BA289" i="2"/>
  <c r="BA290" i="2"/>
  <c r="BA291" i="2"/>
  <c r="BA292" i="2"/>
  <c r="BN292" i="2" s="1"/>
  <c r="BB280" i="2"/>
  <c r="BB281" i="2"/>
  <c r="BB282" i="2"/>
  <c r="BO282" i="2" s="1"/>
  <c r="BB283" i="2"/>
  <c r="BO283" i="2" s="1"/>
  <c r="BB284" i="2"/>
  <c r="BB285" i="2"/>
  <c r="BO285" i="2" s="1"/>
  <c r="BB286" i="2"/>
  <c r="BO286" i="2" s="1"/>
  <c r="BB287" i="2"/>
  <c r="BO287" i="2" s="1"/>
  <c r="BB288" i="2"/>
  <c r="BB289" i="2"/>
  <c r="BB290" i="2"/>
  <c r="BO290" i="2" s="1"/>
  <c r="BB291" i="2"/>
  <c r="BO291" i="2" s="1"/>
  <c r="BB292" i="2"/>
  <c r="BC280" i="2"/>
  <c r="BC281" i="2"/>
  <c r="BC282" i="2"/>
  <c r="BP282" i="2" s="1"/>
  <c r="BC283" i="2"/>
  <c r="BC284" i="2"/>
  <c r="BC285" i="2"/>
  <c r="BP285" i="2" s="1"/>
  <c r="BC286" i="2"/>
  <c r="BP286" i="2" s="1"/>
  <c r="BC287" i="2"/>
  <c r="BP287" i="2" s="1"/>
  <c r="BC288" i="2"/>
  <c r="BC289" i="2"/>
  <c r="BC290" i="2"/>
  <c r="BP290" i="2" s="1"/>
  <c r="BC291" i="2"/>
  <c r="BC292" i="2"/>
  <c r="BD280" i="2"/>
  <c r="BQ280" i="2" s="1"/>
  <c r="BD281" i="2"/>
  <c r="BQ281" i="2" s="1"/>
  <c r="BD282" i="2"/>
  <c r="BQ282" i="2" s="1"/>
  <c r="BD283" i="2"/>
  <c r="BD284" i="2"/>
  <c r="BD285" i="2"/>
  <c r="BQ285" i="2" s="1"/>
  <c r="BD286" i="2"/>
  <c r="BQ286" i="2" s="1"/>
  <c r="BD287" i="2"/>
  <c r="BQ287" i="2" s="1"/>
  <c r="BD288" i="2"/>
  <c r="BQ288" i="2" s="1"/>
  <c r="BD289" i="2"/>
  <c r="BQ289" i="2" s="1"/>
  <c r="BD290" i="2"/>
  <c r="BQ290" i="2" s="1"/>
  <c r="BD291" i="2"/>
  <c r="BD292" i="2"/>
  <c r="BE280" i="2"/>
  <c r="BR280" i="2" s="1"/>
  <c r="BE281" i="2"/>
  <c r="BE282" i="2"/>
  <c r="BR282" i="2" s="1"/>
  <c r="BE283" i="2"/>
  <c r="BR283" i="2" s="1"/>
  <c r="BE284" i="2"/>
  <c r="BR284" i="2" s="1"/>
  <c r="BE285" i="2"/>
  <c r="BR285" i="2" s="1"/>
  <c r="BE286" i="2"/>
  <c r="BR286" i="2" s="1"/>
  <c r="BE287" i="2"/>
  <c r="BR287" i="2" s="1"/>
  <c r="BE288" i="2"/>
  <c r="BR288" i="2" s="1"/>
  <c r="BE289" i="2"/>
  <c r="BE290" i="2"/>
  <c r="BR290" i="2" s="1"/>
  <c r="BE291" i="2"/>
  <c r="BE292" i="2"/>
  <c r="BR292" i="2" s="1"/>
  <c r="BF280" i="2"/>
  <c r="BF281" i="2"/>
  <c r="BF282" i="2"/>
  <c r="BS282" i="2" s="1"/>
  <c r="BF283" i="2"/>
  <c r="BS283" i="2" s="1"/>
  <c r="BF284" i="2"/>
  <c r="BF285" i="2"/>
  <c r="BS285" i="2" s="1"/>
  <c r="BF286" i="2"/>
  <c r="BS286" i="2" s="1"/>
  <c r="BF287" i="2"/>
  <c r="BS287" i="2" s="1"/>
  <c r="BF288" i="2"/>
  <c r="BS288" i="2" s="1"/>
  <c r="BF289" i="2"/>
  <c r="BF290" i="2"/>
  <c r="BS290" i="2" s="1"/>
  <c r="BF291" i="2"/>
  <c r="BS291" i="2" s="1"/>
  <c r="BF292" i="2"/>
  <c r="BG280" i="2"/>
  <c r="BT280" i="2" s="1"/>
  <c r="BG281" i="2"/>
  <c r="BG282" i="2"/>
  <c r="BT282" i="2" s="1"/>
  <c r="BG283" i="2"/>
  <c r="BT283" i="2" s="1"/>
  <c r="BG284" i="2"/>
  <c r="BG285" i="2"/>
  <c r="BT285" i="2" s="1"/>
  <c r="BG286" i="2"/>
  <c r="BT286" i="2" s="1"/>
  <c r="BG287" i="2"/>
  <c r="BT287" i="2" s="1"/>
  <c r="BG288" i="2"/>
  <c r="BT288" i="2" s="1"/>
  <c r="BG289" i="2"/>
  <c r="BG290" i="2"/>
  <c r="BT290" i="2" s="1"/>
  <c r="BG291" i="2"/>
  <c r="BT291" i="2" s="1"/>
  <c r="BG292" i="2"/>
  <c r="BH280" i="2"/>
  <c r="BU280" i="2" s="1"/>
  <c r="BH281" i="2"/>
  <c r="BH282" i="2"/>
  <c r="BU282" i="2" s="1"/>
  <c r="BH283" i="2"/>
  <c r="BU283" i="2" s="1"/>
  <c r="BH284" i="2"/>
  <c r="BH285" i="2"/>
  <c r="BU285" i="2" s="1"/>
  <c r="BH286" i="2"/>
  <c r="BU286" i="2" s="1"/>
  <c r="BH287" i="2"/>
  <c r="BU287" i="2" s="1"/>
  <c r="BH288" i="2"/>
  <c r="BH289" i="2"/>
  <c r="BH290" i="2"/>
  <c r="BU290" i="2" s="1"/>
  <c r="BH291" i="2"/>
  <c r="BU291" i="2" s="1"/>
  <c r="BH292" i="2"/>
  <c r="BI280" i="2"/>
  <c r="BV280" i="2" s="1"/>
  <c r="BI281" i="2"/>
  <c r="BI282" i="2"/>
  <c r="BI283" i="2"/>
  <c r="BI284" i="2"/>
  <c r="BV284" i="2" s="1"/>
  <c r="BI285" i="2"/>
  <c r="BV285" i="2" s="1"/>
  <c r="BI286" i="2"/>
  <c r="BV286" i="2" s="1"/>
  <c r="BI287" i="2"/>
  <c r="BV287" i="2" s="1"/>
  <c r="BI288" i="2"/>
  <c r="BV288" i="2" s="1"/>
  <c r="BI289" i="2"/>
  <c r="BI290" i="2"/>
  <c r="BI291" i="2"/>
  <c r="BI292" i="2"/>
  <c r="BV292" i="2" s="1"/>
  <c r="BJ280" i="2"/>
  <c r="BJ281" i="2"/>
  <c r="BJ282" i="2"/>
  <c r="BW282" i="2" s="1"/>
  <c r="BJ283" i="2"/>
  <c r="BW283" i="2" s="1"/>
  <c r="BJ284" i="2"/>
  <c r="BJ285" i="2"/>
  <c r="BW285" i="2" s="1"/>
  <c r="BJ286" i="2"/>
  <c r="BW286" i="2" s="1"/>
  <c r="BJ287" i="2"/>
  <c r="BW287" i="2" s="1"/>
  <c r="BJ288" i="2"/>
  <c r="BJ289" i="2"/>
  <c r="BJ290" i="2"/>
  <c r="BW290" i="2" s="1"/>
  <c r="BJ291" i="2"/>
  <c r="BW291" i="2" s="1"/>
  <c r="BJ292" i="2"/>
  <c r="BW292" i="2" s="1"/>
  <c r="BK280" i="2"/>
  <c r="BK281" i="2"/>
  <c r="BK282" i="2"/>
  <c r="BX282" i="2" s="1"/>
  <c r="BK283" i="2"/>
  <c r="BK284" i="2"/>
  <c r="BK285" i="2"/>
  <c r="BX285" i="2" s="1"/>
  <c r="BK286" i="2"/>
  <c r="BX286" i="2" s="1"/>
  <c r="BK287" i="2"/>
  <c r="BX287" i="2" s="1"/>
  <c r="BK288" i="2"/>
  <c r="BK289" i="2"/>
  <c r="BK290" i="2"/>
  <c r="BX290" i="2" s="1"/>
  <c r="BK291" i="2"/>
  <c r="BK292" i="2"/>
  <c r="F279" i="2"/>
  <c r="G279" i="2"/>
  <c r="J279" i="2"/>
  <c r="A279" i="2" s="1"/>
  <c r="AZ279" i="2"/>
  <c r="BM279" i="2" s="1"/>
  <c r="BA279" i="2"/>
  <c r="BN279" i="2" s="1"/>
  <c r="BB279" i="2"/>
  <c r="BO279" i="2" s="1"/>
  <c r="BC279" i="2"/>
  <c r="BD279" i="2"/>
  <c r="BE279" i="2"/>
  <c r="BR279" i="2" s="1"/>
  <c r="BF279" i="2"/>
  <c r="BS279" i="2" s="1"/>
  <c r="BG279" i="2"/>
  <c r="BT279" i="2" s="1"/>
  <c r="BH279" i="2"/>
  <c r="BU279" i="2" s="1"/>
  <c r="BI279" i="2"/>
  <c r="BV279" i="2" s="1"/>
  <c r="BJ279" i="2"/>
  <c r="BW279" i="2" s="1"/>
  <c r="BK279" i="2"/>
  <c r="F278" i="2"/>
  <c r="G278" i="2"/>
  <c r="J278" i="2"/>
  <c r="A278" i="2" s="1"/>
  <c r="AZ278" i="2"/>
  <c r="BM278" i="2" s="1"/>
  <c r="BA278" i="2"/>
  <c r="BN278" i="2" s="1"/>
  <c r="BB278" i="2"/>
  <c r="BO278" i="2" s="1"/>
  <c r="BC278" i="2"/>
  <c r="BD278" i="2"/>
  <c r="BQ278" i="2" s="1"/>
  <c r="BE278" i="2"/>
  <c r="BF278" i="2"/>
  <c r="BG278" i="2"/>
  <c r="BH278" i="2"/>
  <c r="BU278" i="2" s="1"/>
  <c r="BI278" i="2"/>
  <c r="BV278" i="2" s="1"/>
  <c r="BJ278" i="2"/>
  <c r="BW278" i="2" s="1"/>
  <c r="BK278" i="2"/>
  <c r="Y293" i="2" l="1"/>
  <c r="AL293" i="2" s="1"/>
  <c r="G295" i="2"/>
  <c r="AA295" i="2" s="1"/>
  <c r="AN295" i="2" s="1"/>
  <c r="Y278" i="2"/>
  <c r="AL278" i="2" s="1"/>
  <c r="AB292" i="2"/>
  <c r="AO292" i="2" s="1"/>
  <c r="Y287" i="2"/>
  <c r="AL287" i="2" s="1"/>
  <c r="Y294" i="2"/>
  <c r="AL294" i="2" s="1"/>
  <c r="Y285" i="2"/>
  <c r="AL285" i="2" s="1"/>
  <c r="Y292" i="2"/>
  <c r="AL292" i="2" s="1"/>
  <c r="Y291" i="2"/>
  <c r="AL291" i="2" s="1"/>
  <c r="Y283" i="2"/>
  <c r="AL283" i="2" s="1"/>
  <c r="Y286" i="2"/>
  <c r="AL286" i="2" s="1"/>
  <c r="Y284" i="2"/>
  <c r="AL284" i="2" s="1"/>
  <c r="Y290" i="2"/>
  <c r="AL290" i="2" s="1"/>
  <c r="Y282" i="2"/>
  <c r="AL282" i="2" s="1"/>
  <c r="Y279" i="2"/>
  <c r="AL279" i="2" s="1"/>
  <c r="Y289" i="2"/>
  <c r="AL289" i="2" s="1"/>
  <c r="Y281" i="2"/>
  <c r="AL281" i="2" s="1"/>
  <c r="Y288" i="2"/>
  <c r="AL288" i="2" s="1"/>
  <c r="Y280" i="2"/>
  <c r="AL280" i="2" s="1"/>
  <c r="BZ286" i="2"/>
  <c r="Z283" i="2"/>
  <c r="AM283" i="2" s="1"/>
  <c r="Z291" i="2"/>
  <c r="AM291" i="2" s="1"/>
  <c r="Z295" i="2"/>
  <c r="AM295" i="2" s="1"/>
  <c r="CA290" i="2"/>
  <c r="AA289" i="2"/>
  <c r="AN289" i="2" s="1"/>
  <c r="AA281" i="2"/>
  <c r="AN281" i="2" s="1"/>
  <c r="T292" i="2"/>
  <c r="AG292" i="2" s="1"/>
  <c r="S289" i="2"/>
  <c r="AF289" i="2" s="1"/>
  <c r="S281" i="2"/>
  <c r="AF281" i="2" s="1"/>
  <c r="AB289" i="2"/>
  <c r="AO289" i="2" s="1"/>
  <c r="AB281" i="2"/>
  <c r="AO281" i="2" s="1"/>
  <c r="T289" i="2"/>
  <c r="AG289" i="2" s="1"/>
  <c r="T281" i="2"/>
  <c r="AG281" i="2" s="1"/>
  <c r="T284" i="2"/>
  <c r="AG284" i="2" s="1"/>
  <c r="W280" i="2"/>
  <c r="AJ280" i="2" s="1"/>
  <c r="V289" i="2"/>
  <c r="AI289" i="2" s="1"/>
  <c r="V281" i="2"/>
  <c r="AI281" i="2" s="1"/>
  <c r="Q289" i="2"/>
  <c r="AD289" i="2" s="1"/>
  <c r="Q281" i="2"/>
  <c r="AD281" i="2" s="1"/>
  <c r="AB284" i="2"/>
  <c r="AO284" i="2" s="1"/>
  <c r="CA285" i="2"/>
  <c r="BO281" i="2"/>
  <c r="BM289" i="2"/>
  <c r="Z294" i="2"/>
  <c r="AM294" i="2" s="1"/>
  <c r="BZ282" i="2"/>
  <c r="S284" i="2"/>
  <c r="AF284" i="2" s="1"/>
  <c r="R289" i="2"/>
  <c r="AE289" i="2" s="1"/>
  <c r="R281" i="2"/>
  <c r="AE281" i="2" s="1"/>
  <c r="BX284" i="2"/>
  <c r="AA284" i="2"/>
  <c r="AN284" i="2" s="1"/>
  <c r="Z281" i="2"/>
  <c r="AM281" i="2" s="1"/>
  <c r="BZ287" i="2"/>
  <c r="CA287" i="2"/>
  <c r="BY285" i="2"/>
  <c r="U289" i="2"/>
  <c r="AH289" i="2" s="1"/>
  <c r="U281" i="2"/>
  <c r="AH281" i="2" s="1"/>
  <c r="Z296" i="2"/>
  <c r="AM296" i="2" s="1"/>
  <c r="Z289" i="2"/>
  <c r="AM289" i="2" s="1"/>
  <c r="W279" i="2"/>
  <c r="AJ279" i="2" s="1"/>
  <c r="BP292" i="2"/>
  <c r="BM281" i="2"/>
  <c r="X289" i="2"/>
  <c r="AK289" i="2" s="1"/>
  <c r="X281" i="2"/>
  <c r="AK281" i="2" s="1"/>
  <c r="CB286" i="2"/>
  <c r="BZ293" i="2"/>
  <c r="BW289" i="2"/>
  <c r="BV281" i="2"/>
  <c r="BO284" i="2"/>
  <c r="BY284" i="2" s="1"/>
  <c r="CB287" i="2"/>
  <c r="CA286" i="2"/>
  <c r="BX292" i="2"/>
  <c r="CB292" i="2" s="1"/>
  <c r="BW281" i="2"/>
  <c r="BP284" i="2"/>
  <c r="BN289" i="2"/>
  <c r="BS280" i="2"/>
  <c r="CA280" i="2" s="1"/>
  <c r="BZ285" i="2"/>
  <c r="CA291" i="2"/>
  <c r="BU281" i="2"/>
  <c r="BO289" i="2"/>
  <c r="AB294" i="2"/>
  <c r="AO294" i="2" s="1"/>
  <c r="U292" i="2"/>
  <c r="AH292" i="2" s="1"/>
  <c r="U284" i="2"/>
  <c r="AH284" i="2" s="1"/>
  <c r="R291" i="2"/>
  <c r="AE291" i="2" s="1"/>
  <c r="R283" i="2"/>
  <c r="AE283" i="2" s="1"/>
  <c r="Q288" i="2"/>
  <c r="AD288" i="2" s="1"/>
  <c r="Q280" i="2"/>
  <c r="AD280" i="2" s="1"/>
  <c r="X295" i="2"/>
  <c r="AK295" i="2" s="1"/>
  <c r="V295" i="2"/>
  <c r="AI295" i="2" s="1"/>
  <c r="T295" i="2"/>
  <c r="AG295" i="2" s="1"/>
  <c r="X294" i="2"/>
  <c r="AK294" i="2" s="1"/>
  <c r="V294" i="2"/>
  <c r="AI294" i="2" s="1"/>
  <c r="T294" i="2"/>
  <c r="AG294" i="2" s="1"/>
  <c r="R294" i="2"/>
  <c r="AE294" i="2" s="1"/>
  <c r="Z288" i="2"/>
  <c r="AM288" i="2" s="1"/>
  <c r="V284" i="2"/>
  <c r="AI284" i="2" s="1"/>
  <c r="R280" i="2"/>
  <c r="AE280" i="2" s="1"/>
  <c r="G296" i="2"/>
  <c r="AB296" i="2" s="1"/>
  <c r="AO296" i="2" s="1"/>
  <c r="V291" i="2"/>
  <c r="AI291" i="2" s="1"/>
  <c r="G297" i="2"/>
  <c r="U297" i="2" s="1"/>
  <c r="AH297" i="2" s="1"/>
  <c r="AB291" i="2"/>
  <c r="AO291" i="2" s="1"/>
  <c r="AB283" i="2"/>
  <c r="AO283" i="2" s="1"/>
  <c r="AA288" i="2"/>
  <c r="AN288" i="2" s="1"/>
  <c r="AA280" i="2"/>
  <c r="AN280" i="2" s="1"/>
  <c r="W292" i="2"/>
  <c r="AJ292" i="2" s="1"/>
  <c r="W284" i="2"/>
  <c r="AJ284" i="2" s="1"/>
  <c r="T291" i="2"/>
  <c r="AG291" i="2" s="1"/>
  <c r="T283" i="2"/>
  <c r="AG283" i="2" s="1"/>
  <c r="S288" i="2"/>
  <c r="AF288" i="2" s="1"/>
  <c r="S280" i="2"/>
  <c r="AF280" i="2" s="1"/>
  <c r="Z292" i="2"/>
  <c r="AM292" i="2" s="1"/>
  <c r="Z284" i="2"/>
  <c r="AM284" i="2" s="1"/>
  <c r="R292" i="2"/>
  <c r="AE292" i="2" s="1"/>
  <c r="R284" i="2"/>
  <c r="AE284" i="2" s="1"/>
  <c r="BT281" i="2"/>
  <c r="BP294" i="2"/>
  <c r="CB297" i="2"/>
  <c r="BU284" i="2"/>
  <c r="BR291" i="2"/>
  <c r="BX294" i="2"/>
  <c r="CB285" i="2"/>
  <c r="BY279" i="2"/>
  <c r="CA283" i="2"/>
  <c r="CA282" i="2"/>
  <c r="CB293" i="2"/>
  <c r="CA279" i="2"/>
  <c r="BZ290" i="2"/>
  <c r="BY286" i="2"/>
  <c r="CA293" i="2"/>
  <c r="BY293" i="2"/>
  <c r="BY278" i="2"/>
  <c r="BM295" i="2"/>
  <c r="BW295" i="2"/>
  <c r="BS295" i="2"/>
  <c r="BL293" i="2"/>
  <c r="CE293" i="2" s="1"/>
  <c r="S292" i="2"/>
  <c r="AF292" i="2" s="1"/>
  <c r="BO295" i="2"/>
  <c r="R287" i="2"/>
  <c r="AE287" i="2" s="1"/>
  <c r="BQ295" i="2"/>
  <c r="BZ295" i="2" s="1"/>
  <c r="BL297" i="2"/>
  <c r="CF297" i="2" s="1"/>
  <c r="BV289" i="2"/>
  <c r="BU289" i="2"/>
  <c r="AA292" i="2"/>
  <c r="AN292" i="2" s="1"/>
  <c r="BU295" i="2"/>
  <c r="R293" i="2"/>
  <c r="AE293" i="2" s="1"/>
  <c r="BN297" i="2"/>
  <c r="BY297" i="2" s="1"/>
  <c r="Z297" i="2"/>
  <c r="AM297" i="2" s="1"/>
  <c r="U288" i="2"/>
  <c r="AH288" i="2" s="1"/>
  <c r="AB285" i="2"/>
  <c r="AO285" i="2" s="1"/>
  <c r="BR294" i="2"/>
  <c r="BL295" i="2"/>
  <c r="BT297" i="2"/>
  <c r="CA297" i="2" s="1"/>
  <c r="BX289" i="2"/>
  <c r="BQ284" i="2"/>
  <c r="BP281" i="2"/>
  <c r="W286" i="2"/>
  <c r="AJ286" i="2" s="1"/>
  <c r="X291" i="2"/>
  <c r="AK291" i="2" s="1"/>
  <c r="V283" i="2"/>
  <c r="AI283" i="2" s="1"/>
  <c r="BT294" i="2"/>
  <c r="CA294" i="2" s="1"/>
  <c r="BL294" i="2"/>
  <c r="AA294" i="2"/>
  <c r="AN294" i="2" s="1"/>
  <c r="W294" i="2"/>
  <c r="AJ294" i="2" s="1"/>
  <c r="U294" i="2"/>
  <c r="AH294" i="2" s="1"/>
  <c r="S294" i="2"/>
  <c r="AF294" i="2" s="1"/>
  <c r="Q294" i="2"/>
  <c r="BV295" i="2"/>
  <c r="BR297" i="2"/>
  <c r="BZ297" i="2" s="1"/>
  <c r="BL290" i="2"/>
  <c r="CD290" i="2" s="1"/>
  <c r="Q292" i="2"/>
  <c r="AD292" i="2" s="1"/>
  <c r="BV294" i="2"/>
  <c r="BN294" i="2"/>
  <c r="BY294" i="2" s="1"/>
  <c r="V293" i="2"/>
  <c r="AI293" i="2" s="1"/>
  <c r="AA293" i="2"/>
  <c r="AN293" i="2" s="1"/>
  <c r="W293" i="2"/>
  <c r="AJ293" i="2" s="1"/>
  <c r="U293" i="2"/>
  <c r="AH293" i="2" s="1"/>
  <c r="S293" i="2"/>
  <c r="AF293" i="2" s="1"/>
  <c r="Q293" i="2"/>
  <c r="Z293" i="2"/>
  <c r="AM293" i="2" s="1"/>
  <c r="T293" i="2"/>
  <c r="AG293" i="2" s="1"/>
  <c r="BX296" i="2"/>
  <c r="BV296" i="2"/>
  <c r="BT296" i="2"/>
  <c r="CA296" i="2" s="1"/>
  <c r="BR296" i="2"/>
  <c r="BP296" i="2"/>
  <c r="BN296" i="2"/>
  <c r="BY296" i="2" s="1"/>
  <c r="BL296" i="2"/>
  <c r="AB293" i="2"/>
  <c r="AO293" i="2" s="1"/>
  <c r="X293" i="2"/>
  <c r="AK293" i="2" s="1"/>
  <c r="BP283" i="2"/>
  <c r="AA290" i="2"/>
  <c r="AN290" i="2" s="1"/>
  <c r="AA282" i="2"/>
  <c r="AN282" i="2" s="1"/>
  <c r="BX291" i="2"/>
  <c r="BL282" i="2"/>
  <c r="X279" i="2"/>
  <c r="AK279" i="2" s="1"/>
  <c r="BX281" i="2"/>
  <c r="BW284" i="2"/>
  <c r="BU292" i="2"/>
  <c r="BP291" i="2"/>
  <c r="X288" i="2"/>
  <c r="AK288" i="2" s="1"/>
  <c r="X280" i="2"/>
  <c r="AK280" i="2" s="1"/>
  <c r="V290" i="2"/>
  <c r="AI290" i="2" s="1"/>
  <c r="V282" i="2"/>
  <c r="AI282" i="2" s="1"/>
  <c r="Q291" i="2"/>
  <c r="AD291" i="2" s="1"/>
  <c r="Q283" i="2"/>
  <c r="AD283" i="2" s="1"/>
  <c r="AA291" i="2"/>
  <c r="AN291" i="2" s="1"/>
  <c r="S291" i="2"/>
  <c r="AF291" i="2" s="1"/>
  <c r="V286" i="2"/>
  <c r="AI286" i="2" s="1"/>
  <c r="U280" i="2"/>
  <c r="AH280" i="2" s="1"/>
  <c r="BR281" i="2"/>
  <c r="BP289" i="2"/>
  <c r="BM280" i="2"/>
  <c r="W291" i="2"/>
  <c r="AJ291" i="2" s="1"/>
  <c r="W283" i="2"/>
  <c r="AJ283" i="2" s="1"/>
  <c r="V288" i="2"/>
  <c r="AI288" i="2" s="1"/>
  <c r="V280" i="2"/>
  <c r="AI280" i="2" s="1"/>
  <c r="V292" i="2"/>
  <c r="AI292" i="2" s="1"/>
  <c r="BO280" i="2"/>
  <c r="Q279" i="2"/>
  <c r="AD279" i="2" s="1"/>
  <c r="BW280" i="2"/>
  <c r="BU288" i="2"/>
  <c r="CA288" i="2" s="1"/>
  <c r="BS284" i="2"/>
  <c r="BQ292" i="2"/>
  <c r="BN283" i="2"/>
  <c r="BY283" i="2" s="1"/>
  <c r="U279" i="2"/>
  <c r="AH279" i="2" s="1"/>
  <c r="BW288" i="2"/>
  <c r="BV283" i="2"/>
  <c r="BT289" i="2"/>
  <c r="BS292" i="2"/>
  <c r="BO288" i="2"/>
  <c r="BY288" i="2" s="1"/>
  <c r="BN291" i="2"/>
  <c r="BY291" i="2" s="1"/>
  <c r="BL289" i="2"/>
  <c r="X283" i="2"/>
  <c r="AK283" i="2" s="1"/>
  <c r="W288" i="2"/>
  <c r="AJ288" i="2" s="1"/>
  <c r="U290" i="2"/>
  <c r="AH290" i="2" s="1"/>
  <c r="BL281" i="2"/>
  <c r="CE281" i="2" s="1"/>
  <c r="Q286" i="2"/>
  <c r="AD286" i="2" s="1"/>
  <c r="Q284" i="2"/>
  <c r="AD284" i="2" s="1"/>
  <c r="BR289" i="2"/>
  <c r="BL291" i="2"/>
  <c r="CD291" i="2" s="1"/>
  <c r="AB279" i="2"/>
  <c r="AO279" i="2" s="1"/>
  <c r="T279" i="2"/>
  <c r="AG279" i="2" s="1"/>
  <c r="BX283" i="2"/>
  <c r="BV291" i="2"/>
  <c r="BL283" i="2"/>
  <c r="AB286" i="2"/>
  <c r="AO286" i="2" s="1"/>
  <c r="AA283" i="2"/>
  <c r="AN283" i="2" s="1"/>
  <c r="Z280" i="2"/>
  <c r="AM280" i="2" s="1"/>
  <c r="T286" i="2"/>
  <c r="AG286" i="2" s="1"/>
  <c r="T290" i="2"/>
  <c r="AG290" i="2" s="1"/>
  <c r="U282" i="2"/>
  <c r="AH282" i="2" s="1"/>
  <c r="S290" i="2"/>
  <c r="AF290" i="2" s="1"/>
  <c r="S285" i="2"/>
  <c r="AF285" i="2" s="1"/>
  <c r="AA285" i="2"/>
  <c r="AN285" i="2" s="1"/>
  <c r="X285" i="2"/>
  <c r="AK285" i="2" s="1"/>
  <c r="U285" i="2"/>
  <c r="AH285" i="2" s="1"/>
  <c r="R285" i="2"/>
  <c r="AE285" i="2" s="1"/>
  <c r="Z285" i="2"/>
  <c r="AM285" i="2" s="1"/>
  <c r="W285" i="2"/>
  <c r="AJ285" i="2" s="1"/>
  <c r="Q282" i="2"/>
  <c r="X290" i="2"/>
  <c r="AK290" i="2" s="1"/>
  <c r="W290" i="2"/>
  <c r="AJ290" i="2" s="1"/>
  <c r="W282" i="2"/>
  <c r="AJ282" i="2" s="1"/>
  <c r="Q287" i="2"/>
  <c r="V287" i="2"/>
  <c r="AI287" i="2" s="1"/>
  <c r="S287" i="2"/>
  <c r="AF287" i="2" s="1"/>
  <c r="AA287" i="2"/>
  <c r="AN287" i="2" s="1"/>
  <c r="X287" i="2"/>
  <c r="AK287" i="2" s="1"/>
  <c r="U287" i="2"/>
  <c r="AH287" i="2" s="1"/>
  <c r="AB288" i="2"/>
  <c r="AO288" i="2" s="1"/>
  <c r="BX288" i="2"/>
  <c r="AB280" i="2"/>
  <c r="AO280" i="2" s="1"/>
  <c r="BX280" i="2"/>
  <c r="Z290" i="2"/>
  <c r="AM290" i="2" s="1"/>
  <c r="BV290" i="2"/>
  <c r="CB290" i="2" s="1"/>
  <c r="Z282" i="2"/>
  <c r="AM282" i="2" s="1"/>
  <c r="BV282" i="2"/>
  <c r="CB282" i="2" s="1"/>
  <c r="X292" i="2"/>
  <c r="AK292" i="2" s="1"/>
  <c r="BT292" i="2"/>
  <c r="X284" i="2"/>
  <c r="AK284" i="2" s="1"/>
  <c r="BT284" i="2"/>
  <c r="W289" i="2"/>
  <c r="AJ289" i="2" s="1"/>
  <c r="BS289" i="2"/>
  <c r="W281" i="2"/>
  <c r="AJ281" i="2" s="1"/>
  <c r="BS281" i="2"/>
  <c r="U291" i="2"/>
  <c r="AH291" i="2" s="1"/>
  <c r="BQ291" i="2"/>
  <c r="U283" i="2"/>
  <c r="AH283" i="2" s="1"/>
  <c r="BQ283" i="2"/>
  <c r="T288" i="2"/>
  <c r="AG288" i="2" s="1"/>
  <c r="BP288" i="2"/>
  <c r="BZ288" i="2" s="1"/>
  <c r="T280" i="2"/>
  <c r="AG280" i="2" s="1"/>
  <c r="BP280" i="2"/>
  <c r="BZ280" i="2" s="1"/>
  <c r="R290" i="2"/>
  <c r="AE290" i="2" s="1"/>
  <c r="BN290" i="2"/>
  <c r="BY290" i="2" s="1"/>
  <c r="R282" i="2"/>
  <c r="AE282" i="2" s="1"/>
  <c r="BN282" i="2"/>
  <c r="BY282" i="2" s="1"/>
  <c r="BM287" i="2"/>
  <c r="BY287" i="2" s="1"/>
  <c r="BL287" i="2"/>
  <c r="X282" i="2"/>
  <c r="AK282" i="2" s="1"/>
  <c r="V285" i="2"/>
  <c r="AI285" i="2" s="1"/>
  <c r="S283" i="2"/>
  <c r="AF283" i="2" s="1"/>
  <c r="BL292" i="2"/>
  <c r="BL284" i="2"/>
  <c r="BL286" i="2"/>
  <c r="T287" i="2"/>
  <c r="AG287" i="2" s="1"/>
  <c r="S282" i="2"/>
  <c r="AF282" i="2" s="1"/>
  <c r="Q285" i="2"/>
  <c r="Z287" i="2"/>
  <c r="AM287" i="2" s="1"/>
  <c r="AB282" i="2"/>
  <c r="AO282" i="2" s="1"/>
  <c r="T282" i="2"/>
  <c r="AG282" i="2" s="1"/>
  <c r="BL288" i="2"/>
  <c r="BL280" i="2"/>
  <c r="BL285" i="2"/>
  <c r="AB287" i="2"/>
  <c r="AO287" i="2" s="1"/>
  <c r="Q290" i="2"/>
  <c r="AB290" i="2"/>
  <c r="AO290" i="2" s="1"/>
  <c r="BO292" i="2"/>
  <c r="BY292" i="2" s="1"/>
  <c r="W287" i="2"/>
  <c r="AJ287" i="2" s="1"/>
  <c r="T285" i="2"/>
  <c r="AG285" i="2" s="1"/>
  <c r="R288" i="2"/>
  <c r="Z286" i="2"/>
  <c r="AM286" i="2" s="1"/>
  <c r="R286" i="2"/>
  <c r="AE286" i="2" s="1"/>
  <c r="U286" i="2"/>
  <c r="AH286" i="2" s="1"/>
  <c r="X286" i="2"/>
  <c r="AK286" i="2" s="1"/>
  <c r="AA286" i="2"/>
  <c r="AN286" i="2" s="1"/>
  <c r="S286" i="2"/>
  <c r="AF286" i="2" s="1"/>
  <c r="BL278" i="2"/>
  <c r="CE278" i="2" s="1"/>
  <c r="Q278" i="2"/>
  <c r="AD278" i="2" s="1"/>
  <c r="V279" i="2"/>
  <c r="AI279" i="2" s="1"/>
  <c r="BX279" i="2"/>
  <c r="CB279" i="2" s="1"/>
  <c r="BP279" i="2"/>
  <c r="AA279" i="2"/>
  <c r="AN279" i="2" s="1"/>
  <c r="S279" i="2"/>
  <c r="AF279" i="2" s="1"/>
  <c r="Z279" i="2"/>
  <c r="AM279" i="2" s="1"/>
  <c r="R279" i="2"/>
  <c r="AE279" i="2" s="1"/>
  <c r="BL279" i="2"/>
  <c r="BQ279" i="2"/>
  <c r="X278" i="2"/>
  <c r="AK278" i="2" s="1"/>
  <c r="AA278" i="2"/>
  <c r="AN278" i="2" s="1"/>
  <c r="W278" i="2"/>
  <c r="AJ278" i="2" s="1"/>
  <c r="Z278" i="2"/>
  <c r="AM278" i="2" s="1"/>
  <c r="V278" i="2"/>
  <c r="AI278" i="2" s="1"/>
  <c r="U278" i="2"/>
  <c r="AH278" i="2" s="1"/>
  <c r="S278" i="2"/>
  <c r="AF278" i="2" s="1"/>
  <c r="AB278" i="2"/>
  <c r="AO278" i="2" s="1"/>
  <c r="T278" i="2"/>
  <c r="AG278" i="2" s="1"/>
  <c r="R278" i="2"/>
  <c r="AE278" i="2" s="1"/>
  <c r="BT278" i="2"/>
  <c r="BS278" i="2"/>
  <c r="BR278" i="2"/>
  <c r="BX278" i="2"/>
  <c r="CB278" i="2" s="1"/>
  <c r="BP278" i="2"/>
  <c r="Y295" i="2" l="1"/>
  <c r="AL295" i="2" s="1"/>
  <c r="AB295" i="2"/>
  <c r="AO295" i="2" s="1"/>
  <c r="Q295" i="2"/>
  <c r="AD295" i="2" s="1"/>
  <c r="S295" i="2"/>
  <c r="AF295" i="2" s="1"/>
  <c r="U295" i="2"/>
  <c r="AH295" i="2" s="1"/>
  <c r="W295" i="2"/>
  <c r="AJ295" i="2" s="1"/>
  <c r="AR295" i="2" s="1"/>
  <c r="R295" i="2"/>
  <c r="AE295" i="2" s="1"/>
  <c r="AP295" i="2" s="1"/>
  <c r="Y296" i="2"/>
  <c r="AL296" i="2" s="1"/>
  <c r="Y297" i="2"/>
  <c r="AL297" i="2" s="1"/>
  <c r="CB296" i="2"/>
  <c r="BY289" i="2"/>
  <c r="AS295" i="2"/>
  <c r="BZ289" i="2"/>
  <c r="BY281" i="2"/>
  <c r="AS283" i="2"/>
  <c r="AS284" i="2"/>
  <c r="CA278" i="2"/>
  <c r="AS281" i="2"/>
  <c r="AQ295" i="2"/>
  <c r="AS289" i="2"/>
  <c r="AQ289" i="2"/>
  <c r="AR280" i="2"/>
  <c r="BZ292" i="2"/>
  <c r="CB291" i="2"/>
  <c r="CB294" i="2"/>
  <c r="BZ278" i="2"/>
  <c r="BY280" i="2"/>
  <c r="BZ291" i="2"/>
  <c r="CB281" i="2"/>
  <c r="AQ281" i="2"/>
  <c r="AR284" i="2"/>
  <c r="AQ294" i="2"/>
  <c r="X297" i="2"/>
  <c r="AK297" i="2" s="1"/>
  <c r="AR294" i="2"/>
  <c r="CB284" i="2"/>
  <c r="BZ284" i="2"/>
  <c r="AB297" i="2"/>
  <c r="AO297" i="2" s="1"/>
  <c r="AQ291" i="2"/>
  <c r="CA281" i="2"/>
  <c r="R297" i="2"/>
  <c r="AE297" i="2" s="1"/>
  <c r="AR281" i="2"/>
  <c r="CB295" i="2"/>
  <c r="AQ284" i="2"/>
  <c r="T297" i="2"/>
  <c r="AG297" i="2" s="1"/>
  <c r="AR283" i="2"/>
  <c r="CB283" i="2"/>
  <c r="S297" i="2"/>
  <c r="AF297" i="2" s="1"/>
  <c r="AR289" i="2"/>
  <c r="CA292" i="2"/>
  <c r="AS291" i="2"/>
  <c r="CB289" i="2"/>
  <c r="CB280" i="2"/>
  <c r="CB288" i="2"/>
  <c r="AS292" i="2"/>
  <c r="AQ292" i="2"/>
  <c r="BZ281" i="2"/>
  <c r="AP284" i="2"/>
  <c r="CA289" i="2"/>
  <c r="AS294" i="2"/>
  <c r="CC278" i="2"/>
  <c r="R296" i="2"/>
  <c r="AE296" i="2" s="1"/>
  <c r="AQ280" i="2"/>
  <c r="AP292" i="2"/>
  <c r="AV289" i="2"/>
  <c r="W296" i="2"/>
  <c r="AJ296" i="2" s="1"/>
  <c r="V297" i="2"/>
  <c r="AI297" i="2" s="1"/>
  <c r="AR279" i="2"/>
  <c r="T296" i="2"/>
  <c r="AG296" i="2" s="1"/>
  <c r="U296" i="2"/>
  <c r="AH296" i="2" s="1"/>
  <c r="S296" i="2"/>
  <c r="AF296" i="2" s="1"/>
  <c r="AA297" i="2"/>
  <c r="AN297" i="2" s="1"/>
  <c r="V296" i="2"/>
  <c r="AI296" i="2" s="1"/>
  <c r="AS288" i="2"/>
  <c r="AA296" i="2"/>
  <c r="AN296" i="2" s="1"/>
  <c r="AS296" i="2" s="1"/>
  <c r="X296" i="2"/>
  <c r="AK296" i="2" s="1"/>
  <c r="W297" i="2"/>
  <c r="AJ297" i="2" s="1"/>
  <c r="Q296" i="2"/>
  <c r="Q297" i="2"/>
  <c r="AD297" i="2" s="1"/>
  <c r="CF290" i="2"/>
  <c r="CC290" i="2"/>
  <c r="CE290" i="2"/>
  <c r="CD281" i="2"/>
  <c r="CD297" i="2"/>
  <c r="CC297" i="2"/>
  <c r="AU289" i="2"/>
  <c r="CE297" i="2"/>
  <c r="BZ294" i="2"/>
  <c r="BZ283" i="2"/>
  <c r="BZ279" i="2"/>
  <c r="AR286" i="2"/>
  <c r="CC281" i="2"/>
  <c r="BZ296" i="2"/>
  <c r="CA295" i="2"/>
  <c r="CF281" i="2"/>
  <c r="CA284" i="2"/>
  <c r="BY295" i="2"/>
  <c r="AR291" i="2"/>
  <c r="CD278" i="2"/>
  <c r="CF278" i="2"/>
  <c r="AQ278" i="2"/>
  <c r="AR278" i="2"/>
  <c r="AQ282" i="2"/>
  <c r="CC293" i="2"/>
  <c r="CD293" i="2"/>
  <c r="CF293" i="2"/>
  <c r="AQ288" i="2"/>
  <c r="AX294" i="2"/>
  <c r="AV294" i="2"/>
  <c r="CE294" i="2"/>
  <c r="CD294" i="2"/>
  <c r="CC294" i="2"/>
  <c r="CF294" i="2"/>
  <c r="AQ279" i="2"/>
  <c r="AS286" i="2"/>
  <c r="AQ283" i="2"/>
  <c r="AU283" i="2"/>
  <c r="AD294" i="2"/>
  <c r="AP294" i="2" s="1"/>
  <c r="AR293" i="2"/>
  <c r="AR287" i="2"/>
  <c r="AC281" i="2"/>
  <c r="AQ286" i="2"/>
  <c r="AW294" i="2"/>
  <c r="AU294" i="2"/>
  <c r="CD295" i="2"/>
  <c r="CE295" i="2"/>
  <c r="CC295" i="2"/>
  <c r="CF295" i="2"/>
  <c r="AR288" i="2"/>
  <c r="AQ293" i="2"/>
  <c r="AC294" i="2"/>
  <c r="AS293" i="2"/>
  <c r="AX293" i="2"/>
  <c r="AD293" i="2"/>
  <c r="AV293" i="2"/>
  <c r="AC293" i="2"/>
  <c r="AU293" i="2"/>
  <c r="AW293" i="2"/>
  <c r="CC296" i="2"/>
  <c r="CD296" i="2"/>
  <c r="CF296" i="2"/>
  <c r="CE296" i="2"/>
  <c r="AX283" i="2"/>
  <c r="AV284" i="2"/>
  <c r="AQ287" i="2"/>
  <c r="AS280" i="2"/>
  <c r="AR282" i="2"/>
  <c r="AX288" i="2"/>
  <c r="CC289" i="2"/>
  <c r="CF289" i="2"/>
  <c r="CE289" i="2"/>
  <c r="CD289" i="2"/>
  <c r="AS279" i="2"/>
  <c r="AU284" i="2"/>
  <c r="AV283" i="2"/>
  <c r="AS282" i="2"/>
  <c r="CE291" i="2"/>
  <c r="CF291" i="2"/>
  <c r="CC291" i="2"/>
  <c r="AX284" i="2"/>
  <c r="AW289" i="2"/>
  <c r="AQ290" i="2"/>
  <c r="CE283" i="2"/>
  <c r="CF283" i="2"/>
  <c r="CD283" i="2"/>
  <c r="CC283" i="2"/>
  <c r="AC284" i="2"/>
  <c r="CD282" i="2"/>
  <c r="CF282" i="2"/>
  <c r="CC282" i="2"/>
  <c r="CE282" i="2"/>
  <c r="AX282" i="2"/>
  <c r="AU282" i="2"/>
  <c r="AW282" i="2"/>
  <c r="AD282" i="2"/>
  <c r="AV282" i="2"/>
  <c r="AC282" i="2"/>
  <c r="AW281" i="2"/>
  <c r="AC280" i="2"/>
  <c r="AP291" i="2"/>
  <c r="AW283" i="2"/>
  <c r="AU281" i="2"/>
  <c r="AV291" i="2"/>
  <c r="AW287" i="2"/>
  <c r="AD287" i="2"/>
  <c r="AV287" i="2"/>
  <c r="AC287" i="2"/>
  <c r="AX287" i="2"/>
  <c r="AU287" i="2"/>
  <c r="AV280" i="2"/>
  <c r="CC287" i="2"/>
  <c r="CF287" i="2"/>
  <c r="CD287" i="2"/>
  <c r="CE287" i="2"/>
  <c r="AU292" i="2"/>
  <c r="AP280" i="2"/>
  <c r="AR290" i="2"/>
  <c r="AW291" i="2"/>
  <c r="AW286" i="2"/>
  <c r="AP289" i="2"/>
  <c r="AE288" i="2"/>
  <c r="AP288" i="2" s="1"/>
  <c r="AU288" i="2"/>
  <c r="AC288" i="2"/>
  <c r="AU286" i="2"/>
  <c r="AS287" i="2"/>
  <c r="AX281" i="2"/>
  <c r="AR292" i="2"/>
  <c r="AS290" i="2"/>
  <c r="AX292" i="2"/>
  <c r="AW280" i="2"/>
  <c r="AC283" i="2"/>
  <c r="AU291" i="2"/>
  <c r="AX286" i="2"/>
  <c r="AC289" i="2"/>
  <c r="AP283" i="2"/>
  <c r="AX280" i="2"/>
  <c r="CF286" i="2"/>
  <c r="CE286" i="2"/>
  <c r="CC286" i="2"/>
  <c r="CD286" i="2"/>
  <c r="AC292" i="2"/>
  <c r="AV288" i="2"/>
  <c r="AR285" i="2"/>
  <c r="AX291" i="2"/>
  <c r="AC286" i="2"/>
  <c r="AV281" i="2"/>
  <c r="AW292" i="2"/>
  <c r="CC285" i="2"/>
  <c r="CE285" i="2"/>
  <c r="CF285" i="2"/>
  <c r="CD285" i="2"/>
  <c r="AV285" i="2"/>
  <c r="AC285" i="2"/>
  <c r="AX285" i="2"/>
  <c r="AU285" i="2"/>
  <c r="AW285" i="2"/>
  <c r="AD285" i="2"/>
  <c r="CC284" i="2"/>
  <c r="CE284" i="2"/>
  <c r="CD284" i="2"/>
  <c r="CF284" i="2"/>
  <c r="AV292" i="2"/>
  <c r="AS285" i="2"/>
  <c r="AW284" i="2"/>
  <c r="AC291" i="2"/>
  <c r="AV286" i="2"/>
  <c r="CD288" i="2"/>
  <c r="CF288" i="2"/>
  <c r="CC288" i="2"/>
  <c r="CE288" i="2"/>
  <c r="AX290" i="2"/>
  <c r="AU290" i="2"/>
  <c r="AW290" i="2"/>
  <c r="AD290" i="2"/>
  <c r="AV290" i="2"/>
  <c r="AC290" i="2"/>
  <c r="AU280" i="2"/>
  <c r="AQ285" i="2"/>
  <c r="CD280" i="2"/>
  <c r="CF280" i="2"/>
  <c r="CE280" i="2"/>
  <c r="CC280" i="2"/>
  <c r="CF292" i="2"/>
  <c r="CE292" i="2"/>
  <c r="CD292" i="2"/>
  <c r="CC292" i="2"/>
  <c r="AW288" i="2"/>
  <c r="AP281" i="2"/>
  <c r="AP286" i="2"/>
  <c r="AX289" i="2"/>
  <c r="AC279" i="2"/>
  <c r="AX279" i="2"/>
  <c r="AW279" i="2"/>
  <c r="AV279" i="2"/>
  <c r="AU279" i="2"/>
  <c r="AP279" i="2"/>
  <c r="CD279" i="2"/>
  <c r="CE279" i="2"/>
  <c r="CF279" i="2"/>
  <c r="CC279" i="2"/>
  <c r="AS278" i="2"/>
  <c r="AU278" i="2"/>
  <c r="AV278" i="2"/>
  <c r="AC278" i="2"/>
  <c r="AX278" i="2"/>
  <c r="AW278" i="2"/>
  <c r="AP278" i="2"/>
  <c r="AU295" i="2" l="1"/>
  <c r="AX295" i="2"/>
  <c r="AV295" i="2"/>
  <c r="AW295" i="2"/>
  <c r="AC295" i="2"/>
  <c r="AT295" i="2"/>
  <c r="AT292" i="2"/>
  <c r="AT284" i="2"/>
  <c r="AR297" i="2"/>
  <c r="AQ297" i="2"/>
  <c r="AS297" i="2"/>
  <c r="AP297" i="2"/>
  <c r="AT289" i="2"/>
  <c r="AT281" i="2"/>
  <c r="AY284" i="2"/>
  <c r="AT288" i="2"/>
  <c r="AR296" i="2"/>
  <c r="AT283" i="2"/>
  <c r="AT291" i="2"/>
  <c r="AU296" i="2"/>
  <c r="CG290" i="2"/>
  <c r="CG278" i="2"/>
  <c r="AC296" i="2"/>
  <c r="AW296" i="2"/>
  <c r="CG281" i="2"/>
  <c r="CG297" i="2"/>
  <c r="AW297" i="2"/>
  <c r="AX296" i="2"/>
  <c r="AC297" i="2"/>
  <c r="AV296" i="2"/>
  <c r="AU297" i="2"/>
  <c r="AQ296" i="2"/>
  <c r="AD296" i="2"/>
  <c r="AP296" i="2" s="1"/>
  <c r="AX297" i="2"/>
  <c r="AV297" i="2"/>
  <c r="AT279" i="2"/>
  <c r="CG293" i="2"/>
  <c r="AY283" i="2"/>
  <c r="AT294" i="2"/>
  <c r="AY279" i="2"/>
  <c r="AY294" i="2"/>
  <c r="CG295" i="2"/>
  <c r="AT286" i="2"/>
  <c r="AY285" i="2"/>
  <c r="AY293" i="2"/>
  <c r="CG294" i="2"/>
  <c r="AP293" i="2"/>
  <c r="AT293" i="2" s="1"/>
  <c r="CG296" i="2"/>
  <c r="CG291" i="2"/>
  <c r="CG282" i="2"/>
  <c r="AY291" i="2"/>
  <c r="AY280" i="2"/>
  <c r="AT280" i="2"/>
  <c r="CG283" i="2"/>
  <c r="CG288" i="2"/>
  <c r="AY289" i="2"/>
  <c r="CG280" i="2"/>
  <c r="CG289" i="2"/>
  <c r="CG287" i="2"/>
  <c r="AY287" i="2"/>
  <c r="AY281" i="2"/>
  <c r="AP282" i="2"/>
  <c r="AT282" i="2" s="1"/>
  <c r="AY290" i="2"/>
  <c r="CG284" i="2"/>
  <c r="AY288" i="2"/>
  <c r="CG286" i="2"/>
  <c r="AP290" i="2"/>
  <c r="AT290" i="2" s="1"/>
  <c r="AY292" i="2"/>
  <c r="AY282" i="2"/>
  <c r="AY286" i="2"/>
  <c r="AP285" i="2"/>
  <c r="AT285" i="2" s="1"/>
  <c r="CG292" i="2"/>
  <c r="CG285" i="2"/>
  <c r="AP287" i="2"/>
  <c r="AT287" i="2" s="1"/>
  <c r="AT278" i="2"/>
  <c r="CG279" i="2"/>
  <c r="AY278" i="2"/>
  <c r="AY295" i="2" l="1"/>
  <c r="AT297" i="2"/>
  <c r="AY297" i="2"/>
  <c r="AY296" i="2"/>
  <c r="AT296" i="2"/>
  <c r="H83" i="1" l="1"/>
  <c r="H82" i="1"/>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H3" i="1"/>
  <c r="G301" i="2" l="1"/>
  <c r="G309" i="2"/>
  <c r="G317" i="2"/>
  <c r="G299" i="2"/>
  <c r="G308" i="2"/>
  <c r="G298" i="2"/>
  <c r="G302" i="2"/>
  <c r="G310" i="2"/>
  <c r="G318" i="2"/>
  <c r="G303" i="2"/>
  <c r="G311" i="2"/>
  <c r="G319" i="2"/>
  <c r="G304" i="2"/>
  <c r="G312" i="2"/>
  <c r="G305" i="2"/>
  <c r="G313" i="2"/>
  <c r="G306" i="2"/>
  <c r="G314" i="2"/>
  <c r="G316" i="2"/>
  <c r="G307" i="2"/>
  <c r="G315" i="2"/>
  <c r="G300" i="2"/>
  <c r="U310" i="2" l="1"/>
  <c r="AH310" i="2" s="1"/>
  <c r="R310" i="2"/>
  <c r="AE310" i="2" s="1"/>
  <c r="V310" i="2"/>
  <c r="AI310" i="2" s="1"/>
  <c r="Q310" i="2"/>
  <c r="Z310" i="2"/>
  <c r="AM310" i="2" s="1"/>
  <c r="AA310" i="2"/>
  <c r="AN310" i="2" s="1"/>
  <c r="X310" i="2"/>
  <c r="AK310" i="2" s="1"/>
  <c r="T310" i="2"/>
  <c r="AG310" i="2" s="1"/>
  <c r="W310" i="2"/>
  <c r="AJ310" i="2" s="1"/>
  <c r="S310" i="2"/>
  <c r="AF310" i="2" s="1"/>
  <c r="AB310" i="2"/>
  <c r="AO310" i="2" s="1"/>
  <c r="W302" i="2"/>
  <c r="AJ302" i="2" s="1"/>
  <c r="AB302" i="2"/>
  <c r="AO302" i="2" s="1"/>
  <c r="R302" i="2"/>
  <c r="AE302" i="2" s="1"/>
  <c r="Z302" i="2"/>
  <c r="AM302" i="2" s="1"/>
  <c r="S302" i="2"/>
  <c r="AF302" i="2" s="1"/>
  <c r="X302" i="2"/>
  <c r="AK302" i="2" s="1"/>
  <c r="U302" i="2"/>
  <c r="AH302" i="2" s="1"/>
  <c r="V302" i="2"/>
  <c r="AI302" i="2" s="1"/>
  <c r="T302" i="2"/>
  <c r="AG302" i="2" s="1"/>
  <c r="Q302" i="2"/>
  <c r="AA302" i="2"/>
  <c r="AN302" i="2" s="1"/>
  <c r="Z300" i="2"/>
  <c r="AM300" i="2" s="1"/>
  <c r="T300" i="2"/>
  <c r="AG300" i="2" s="1"/>
  <c r="S300" i="2"/>
  <c r="AF300" i="2" s="1"/>
  <c r="AB300" i="2"/>
  <c r="AO300" i="2" s="1"/>
  <c r="R300" i="2"/>
  <c r="AE300" i="2" s="1"/>
  <c r="Q300" i="2"/>
  <c r="X300" i="2"/>
  <c r="AK300" i="2" s="1"/>
  <c r="AA300" i="2"/>
  <c r="AN300" i="2" s="1"/>
  <c r="W300" i="2"/>
  <c r="AJ300" i="2" s="1"/>
  <c r="V300" i="2"/>
  <c r="AI300" i="2" s="1"/>
  <c r="U300" i="2"/>
  <c r="AH300" i="2" s="1"/>
  <c r="AA312" i="2"/>
  <c r="AN312" i="2" s="1"/>
  <c r="Q312" i="2"/>
  <c r="Z312" i="2"/>
  <c r="AM312" i="2" s="1"/>
  <c r="AB312" i="2"/>
  <c r="AO312" i="2" s="1"/>
  <c r="U312" i="2"/>
  <c r="AH312" i="2" s="1"/>
  <c r="T312" i="2"/>
  <c r="AG312" i="2" s="1"/>
  <c r="V312" i="2"/>
  <c r="AI312" i="2" s="1"/>
  <c r="W312" i="2"/>
  <c r="AJ312" i="2" s="1"/>
  <c r="S312" i="2"/>
  <c r="AF312" i="2" s="1"/>
  <c r="X312" i="2"/>
  <c r="AK312" i="2" s="1"/>
  <c r="R312" i="2"/>
  <c r="AE312" i="2" s="1"/>
  <c r="V298" i="2"/>
  <c r="AI298" i="2" s="1"/>
  <c r="AA298" i="2"/>
  <c r="AN298" i="2" s="1"/>
  <c r="W298" i="2"/>
  <c r="AJ298" i="2" s="1"/>
  <c r="T298" i="2"/>
  <c r="AG298" i="2" s="1"/>
  <c r="S298" i="2"/>
  <c r="AF298" i="2" s="1"/>
  <c r="R298" i="2"/>
  <c r="AE298" i="2" s="1"/>
  <c r="Q298" i="2"/>
  <c r="Z298" i="2"/>
  <c r="AM298" i="2" s="1"/>
  <c r="AB298" i="2"/>
  <c r="AO298" i="2" s="1"/>
  <c r="U298" i="2"/>
  <c r="AH298" i="2" s="1"/>
  <c r="X298" i="2"/>
  <c r="AK298" i="2" s="1"/>
  <c r="Q313" i="2"/>
  <c r="X313" i="2"/>
  <c r="AK313" i="2" s="1"/>
  <c r="U313" i="2"/>
  <c r="AH313" i="2" s="1"/>
  <c r="R313" i="2"/>
  <c r="AE313" i="2" s="1"/>
  <c r="Z313" i="2"/>
  <c r="AM313" i="2" s="1"/>
  <c r="S313" i="2"/>
  <c r="AF313" i="2" s="1"/>
  <c r="AB313" i="2"/>
  <c r="AO313" i="2" s="1"/>
  <c r="T313" i="2"/>
  <c r="AG313" i="2" s="1"/>
  <c r="V313" i="2"/>
  <c r="AI313" i="2" s="1"/>
  <c r="W313" i="2"/>
  <c r="AJ313" i="2" s="1"/>
  <c r="AA313" i="2"/>
  <c r="AN313" i="2" s="1"/>
  <c r="Q305" i="2"/>
  <c r="U305" i="2"/>
  <c r="AH305" i="2" s="1"/>
  <c r="W305" i="2"/>
  <c r="AJ305" i="2" s="1"/>
  <c r="V305" i="2"/>
  <c r="AI305" i="2" s="1"/>
  <c r="AB305" i="2"/>
  <c r="AO305" i="2" s="1"/>
  <c r="R305" i="2"/>
  <c r="AE305" i="2" s="1"/>
  <c r="S305" i="2"/>
  <c r="AF305" i="2" s="1"/>
  <c r="AA305" i="2"/>
  <c r="AN305" i="2" s="1"/>
  <c r="Z305" i="2"/>
  <c r="AM305" i="2" s="1"/>
  <c r="T305" i="2"/>
  <c r="AG305" i="2" s="1"/>
  <c r="X305" i="2"/>
  <c r="AK305" i="2" s="1"/>
  <c r="Z315" i="2"/>
  <c r="AM315" i="2" s="1"/>
  <c r="X315" i="2"/>
  <c r="AK315" i="2" s="1"/>
  <c r="Q315" i="2"/>
  <c r="AB315" i="2"/>
  <c r="AO315" i="2" s="1"/>
  <c r="S315" i="2"/>
  <c r="AF315" i="2" s="1"/>
  <c r="T315" i="2"/>
  <c r="AG315" i="2" s="1"/>
  <c r="U315" i="2"/>
  <c r="AH315" i="2" s="1"/>
  <c r="R315" i="2"/>
  <c r="AE315" i="2" s="1"/>
  <c r="AA315" i="2"/>
  <c r="AN315" i="2" s="1"/>
  <c r="V315" i="2"/>
  <c r="AI315" i="2" s="1"/>
  <c r="W315" i="2"/>
  <c r="AJ315" i="2" s="1"/>
  <c r="V304" i="2"/>
  <c r="AI304" i="2" s="1"/>
  <c r="Q304" i="2"/>
  <c r="U304" i="2"/>
  <c r="AH304" i="2" s="1"/>
  <c r="Z304" i="2"/>
  <c r="AM304" i="2" s="1"/>
  <c r="W304" i="2"/>
  <c r="AJ304" i="2" s="1"/>
  <c r="R304" i="2"/>
  <c r="AE304" i="2" s="1"/>
  <c r="S304" i="2"/>
  <c r="AF304" i="2" s="1"/>
  <c r="T304" i="2"/>
  <c r="AG304" i="2" s="1"/>
  <c r="AB304" i="2"/>
  <c r="AO304" i="2" s="1"/>
  <c r="AA304" i="2"/>
  <c r="AN304" i="2" s="1"/>
  <c r="X304" i="2"/>
  <c r="AK304" i="2" s="1"/>
  <c r="W308" i="2"/>
  <c r="AJ308" i="2" s="1"/>
  <c r="T308" i="2"/>
  <c r="AG308" i="2" s="1"/>
  <c r="AA308" i="2"/>
  <c r="AN308" i="2" s="1"/>
  <c r="AB308" i="2"/>
  <c r="AO308" i="2" s="1"/>
  <c r="U308" i="2"/>
  <c r="AH308" i="2" s="1"/>
  <c r="X308" i="2"/>
  <c r="AK308" i="2" s="1"/>
  <c r="R308" i="2"/>
  <c r="AE308" i="2" s="1"/>
  <c r="Z308" i="2"/>
  <c r="AM308" i="2" s="1"/>
  <c r="Q308" i="2"/>
  <c r="V308" i="2"/>
  <c r="AI308" i="2" s="1"/>
  <c r="S308" i="2"/>
  <c r="AF308" i="2" s="1"/>
  <c r="S299" i="2"/>
  <c r="AF299" i="2" s="1"/>
  <c r="R299" i="2"/>
  <c r="AE299" i="2" s="1"/>
  <c r="Q299" i="2"/>
  <c r="AB299" i="2"/>
  <c r="AO299" i="2" s="1"/>
  <c r="V299" i="2"/>
  <c r="AI299" i="2" s="1"/>
  <c r="T299" i="2"/>
  <c r="AG299" i="2" s="1"/>
  <c r="X299" i="2"/>
  <c r="AK299" i="2" s="1"/>
  <c r="W299" i="2"/>
  <c r="AJ299" i="2" s="1"/>
  <c r="AA299" i="2"/>
  <c r="AN299" i="2" s="1"/>
  <c r="U299" i="2"/>
  <c r="AH299" i="2" s="1"/>
  <c r="Z299" i="2"/>
  <c r="AM299" i="2" s="1"/>
  <c r="AA317" i="2"/>
  <c r="AN317" i="2" s="1"/>
  <c r="W317" i="2"/>
  <c r="AJ317" i="2" s="1"/>
  <c r="Q317" i="2"/>
  <c r="AB317" i="2"/>
  <c r="AO317" i="2" s="1"/>
  <c r="X317" i="2"/>
  <c r="AK317" i="2" s="1"/>
  <c r="U317" i="2"/>
  <c r="AH317" i="2" s="1"/>
  <c r="T317" i="2"/>
  <c r="AG317" i="2" s="1"/>
  <c r="V317" i="2"/>
  <c r="AI317" i="2" s="1"/>
  <c r="R317" i="2"/>
  <c r="AE317" i="2" s="1"/>
  <c r="Z317" i="2"/>
  <c r="AM317" i="2" s="1"/>
  <c r="S317" i="2"/>
  <c r="AF317" i="2" s="1"/>
  <c r="U319" i="2"/>
  <c r="AH319" i="2" s="1"/>
  <c r="AB319" i="2"/>
  <c r="AO319" i="2" s="1"/>
  <c r="Z319" i="2"/>
  <c r="AM319" i="2" s="1"/>
  <c r="R319" i="2"/>
  <c r="AE319" i="2" s="1"/>
  <c r="X319" i="2"/>
  <c r="AK319" i="2" s="1"/>
  <c r="AA319" i="2"/>
  <c r="AN319" i="2" s="1"/>
  <c r="S319" i="2"/>
  <c r="AF319" i="2" s="1"/>
  <c r="W319" i="2"/>
  <c r="AJ319" i="2" s="1"/>
  <c r="Q319" i="2"/>
  <c r="V319" i="2"/>
  <c r="AI319" i="2" s="1"/>
  <c r="T319" i="2"/>
  <c r="AG319" i="2" s="1"/>
  <c r="X311" i="2"/>
  <c r="AK311" i="2" s="1"/>
  <c r="AB311" i="2"/>
  <c r="AO311" i="2" s="1"/>
  <c r="S311" i="2"/>
  <c r="AF311" i="2" s="1"/>
  <c r="U311" i="2"/>
  <c r="AH311" i="2" s="1"/>
  <c r="W311" i="2"/>
  <c r="AJ311" i="2" s="1"/>
  <c r="Z311" i="2"/>
  <c r="AM311" i="2" s="1"/>
  <c r="R311" i="2"/>
  <c r="AE311" i="2" s="1"/>
  <c r="T311" i="2"/>
  <c r="AG311" i="2" s="1"/>
  <c r="AA311" i="2"/>
  <c r="AN311" i="2" s="1"/>
  <c r="Q311" i="2"/>
  <c r="V311" i="2"/>
  <c r="AI311" i="2" s="1"/>
  <c r="T303" i="2"/>
  <c r="AG303" i="2" s="1"/>
  <c r="U303" i="2"/>
  <c r="AH303" i="2" s="1"/>
  <c r="W303" i="2"/>
  <c r="AJ303" i="2" s="1"/>
  <c r="S303" i="2"/>
  <c r="AF303" i="2" s="1"/>
  <c r="R303" i="2"/>
  <c r="AE303" i="2" s="1"/>
  <c r="X303" i="2"/>
  <c r="AK303" i="2" s="1"/>
  <c r="Z303" i="2"/>
  <c r="AM303" i="2" s="1"/>
  <c r="AA303" i="2"/>
  <c r="AN303" i="2" s="1"/>
  <c r="AB303" i="2"/>
  <c r="AO303" i="2" s="1"/>
  <c r="Q303" i="2"/>
  <c r="V303" i="2"/>
  <c r="AI303" i="2" s="1"/>
  <c r="T309" i="2"/>
  <c r="AG309" i="2" s="1"/>
  <c r="R309" i="2"/>
  <c r="AE309" i="2" s="1"/>
  <c r="S309" i="2"/>
  <c r="AF309" i="2" s="1"/>
  <c r="Z309" i="2"/>
  <c r="AM309" i="2" s="1"/>
  <c r="V309" i="2"/>
  <c r="AI309" i="2" s="1"/>
  <c r="X309" i="2"/>
  <c r="AK309" i="2" s="1"/>
  <c r="W309" i="2"/>
  <c r="AJ309" i="2" s="1"/>
  <c r="Q309" i="2"/>
  <c r="AA309" i="2"/>
  <c r="AN309" i="2" s="1"/>
  <c r="AB309" i="2"/>
  <c r="AO309" i="2" s="1"/>
  <c r="U309" i="2"/>
  <c r="AH309" i="2" s="1"/>
  <c r="V307" i="2"/>
  <c r="AI307" i="2" s="1"/>
  <c r="X307" i="2"/>
  <c r="AK307" i="2" s="1"/>
  <c r="Z307" i="2"/>
  <c r="AM307" i="2" s="1"/>
  <c r="S307" i="2"/>
  <c r="AF307" i="2" s="1"/>
  <c r="AA307" i="2"/>
  <c r="AN307" i="2" s="1"/>
  <c r="Q307" i="2"/>
  <c r="AB307" i="2"/>
  <c r="AO307" i="2" s="1"/>
  <c r="T307" i="2"/>
  <c r="AG307" i="2" s="1"/>
  <c r="W307" i="2"/>
  <c r="AJ307" i="2" s="1"/>
  <c r="R307" i="2"/>
  <c r="AE307" i="2" s="1"/>
  <c r="U307" i="2"/>
  <c r="AH307" i="2" s="1"/>
  <c r="S316" i="2"/>
  <c r="AF316" i="2" s="1"/>
  <c r="X316" i="2"/>
  <c r="AK316" i="2" s="1"/>
  <c r="W316" i="2"/>
  <c r="AJ316" i="2" s="1"/>
  <c r="T316" i="2"/>
  <c r="AG316" i="2" s="1"/>
  <c r="AA316" i="2"/>
  <c r="AN316" i="2" s="1"/>
  <c r="V316" i="2"/>
  <c r="AI316" i="2" s="1"/>
  <c r="Q316" i="2"/>
  <c r="R316" i="2"/>
  <c r="AE316" i="2" s="1"/>
  <c r="U316" i="2"/>
  <c r="AH316" i="2" s="1"/>
  <c r="AB316" i="2"/>
  <c r="AO316" i="2" s="1"/>
  <c r="Z316" i="2"/>
  <c r="AM316" i="2" s="1"/>
  <c r="Z314" i="2"/>
  <c r="AM314" i="2" s="1"/>
  <c r="X314" i="2"/>
  <c r="AK314" i="2" s="1"/>
  <c r="AB314" i="2"/>
  <c r="AO314" i="2" s="1"/>
  <c r="S314" i="2"/>
  <c r="AF314" i="2" s="1"/>
  <c r="T314" i="2"/>
  <c r="AG314" i="2" s="1"/>
  <c r="U314" i="2"/>
  <c r="AH314" i="2" s="1"/>
  <c r="Q314" i="2"/>
  <c r="R314" i="2"/>
  <c r="AE314" i="2" s="1"/>
  <c r="W314" i="2"/>
  <c r="AJ314" i="2" s="1"/>
  <c r="V314" i="2"/>
  <c r="AI314" i="2" s="1"/>
  <c r="AA314" i="2"/>
  <c r="AN314" i="2" s="1"/>
  <c r="AA306" i="2"/>
  <c r="AN306" i="2" s="1"/>
  <c r="R306" i="2"/>
  <c r="AE306" i="2" s="1"/>
  <c r="S306" i="2"/>
  <c r="AF306" i="2" s="1"/>
  <c r="T306" i="2"/>
  <c r="AG306" i="2" s="1"/>
  <c r="V306" i="2"/>
  <c r="AI306" i="2" s="1"/>
  <c r="W306" i="2"/>
  <c r="AJ306" i="2" s="1"/>
  <c r="Z306" i="2"/>
  <c r="AM306" i="2" s="1"/>
  <c r="Q306" i="2"/>
  <c r="AB306" i="2"/>
  <c r="AO306" i="2" s="1"/>
  <c r="U306" i="2"/>
  <c r="AH306" i="2" s="1"/>
  <c r="X306" i="2"/>
  <c r="AK306" i="2" s="1"/>
  <c r="Q318" i="2"/>
  <c r="Z318" i="2"/>
  <c r="AM318" i="2" s="1"/>
  <c r="S318" i="2"/>
  <c r="AF318" i="2" s="1"/>
  <c r="X318" i="2"/>
  <c r="AK318" i="2" s="1"/>
  <c r="V318" i="2"/>
  <c r="AI318" i="2" s="1"/>
  <c r="W318" i="2"/>
  <c r="AJ318" i="2" s="1"/>
  <c r="AA318" i="2"/>
  <c r="AN318" i="2" s="1"/>
  <c r="T318" i="2"/>
  <c r="AG318" i="2" s="1"/>
  <c r="U318" i="2"/>
  <c r="AH318" i="2" s="1"/>
  <c r="AB318" i="2"/>
  <c r="AO318" i="2" s="1"/>
  <c r="R318" i="2"/>
  <c r="AE318" i="2" s="1"/>
  <c r="U301" i="2"/>
  <c r="AH301" i="2" s="1"/>
  <c r="R301" i="2"/>
  <c r="AE301" i="2" s="1"/>
  <c r="Z301" i="2"/>
  <c r="AM301" i="2" s="1"/>
  <c r="X301" i="2"/>
  <c r="AK301" i="2" s="1"/>
  <c r="AB301" i="2"/>
  <c r="AO301" i="2" s="1"/>
  <c r="Q301" i="2"/>
  <c r="T301" i="2"/>
  <c r="AG301" i="2" s="1"/>
  <c r="S301" i="2"/>
  <c r="AF301" i="2" s="1"/>
  <c r="W301" i="2"/>
  <c r="AJ301" i="2" s="1"/>
  <c r="V301" i="2"/>
  <c r="AI301" i="2" s="1"/>
  <c r="AA301" i="2"/>
  <c r="AN301" i="2" s="1"/>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3" i="2"/>
  <c r="AR313" i="2" l="1"/>
  <c r="AR300" i="2"/>
  <c r="AQ319" i="2"/>
  <c r="AS302" i="2"/>
  <c r="AR309" i="2"/>
  <c r="AR312" i="2"/>
  <c r="AR299" i="2"/>
  <c r="AR318" i="2"/>
  <c r="AR310" i="2"/>
  <c r="AR315" i="2"/>
  <c r="AQ298" i="2"/>
  <c r="AQ310" i="2"/>
  <c r="AR316" i="2"/>
  <c r="AQ318" i="2"/>
  <c r="AR311" i="2"/>
  <c r="AR319" i="2"/>
  <c r="AQ299" i="2"/>
  <c r="AS304" i="2"/>
  <c r="AQ305" i="2"/>
  <c r="AS313" i="2"/>
  <c r="AS298" i="2"/>
  <c r="AS312" i="2"/>
  <c r="AQ302" i="2"/>
  <c r="AS307" i="2"/>
  <c r="AS317" i="2"/>
  <c r="AR317" i="2"/>
  <c r="AS308" i="2"/>
  <c r="AS305" i="2"/>
  <c r="AS309" i="2"/>
  <c r="AS299" i="2"/>
  <c r="AS301" i="2"/>
  <c r="AR307" i="2"/>
  <c r="AR301" i="2"/>
  <c r="AS306" i="2"/>
  <c r="AQ317" i="2"/>
  <c r="AQ304" i="2"/>
  <c r="AC315" i="2"/>
  <c r="AU315" i="2"/>
  <c r="AX315" i="2"/>
  <c r="AW315" i="2"/>
  <c r="AD315" i="2"/>
  <c r="AP315" i="2" s="1"/>
  <c r="AV315" i="2"/>
  <c r="AD313" i="2"/>
  <c r="AP313" i="2" s="1"/>
  <c r="AU313" i="2"/>
  <c r="AX313" i="2"/>
  <c r="AC313" i="2"/>
  <c r="AW313" i="2"/>
  <c r="AV313" i="2"/>
  <c r="AR306" i="2"/>
  <c r="AR314" i="2"/>
  <c r="AS314" i="2"/>
  <c r="AQ316" i="2"/>
  <c r="AQ311" i="2"/>
  <c r="AS319" i="2"/>
  <c r="AQ313" i="2"/>
  <c r="AR298" i="2"/>
  <c r="AQ312" i="2"/>
  <c r="AS300" i="2"/>
  <c r="AV316" i="2"/>
  <c r="AC316" i="2"/>
  <c r="AU316" i="2"/>
  <c r="AD316" i="2"/>
  <c r="AP316" i="2" s="1"/>
  <c r="AW316" i="2"/>
  <c r="AX316" i="2"/>
  <c r="AU306" i="2"/>
  <c r="AX306" i="2"/>
  <c r="AC306" i="2"/>
  <c r="AV306" i="2"/>
  <c r="AD306" i="2"/>
  <c r="AP306" i="2" s="1"/>
  <c r="AW306" i="2"/>
  <c r="AS303" i="2"/>
  <c r="AD311" i="2"/>
  <c r="AC311" i="2"/>
  <c r="AX311" i="2"/>
  <c r="AU311" i="2"/>
  <c r="AV311" i="2"/>
  <c r="AW311" i="2"/>
  <c r="AQ301" i="2"/>
  <c r="AS318" i="2"/>
  <c r="AS316" i="2"/>
  <c r="AD307" i="2"/>
  <c r="AP307" i="2" s="1"/>
  <c r="AU307" i="2"/>
  <c r="AX307" i="2"/>
  <c r="AW307" i="2"/>
  <c r="AC307" i="2"/>
  <c r="AV307" i="2"/>
  <c r="AQ309" i="2"/>
  <c r="AS315" i="2"/>
  <c r="AX299" i="2"/>
  <c r="AC299" i="2"/>
  <c r="AU299" i="2"/>
  <c r="AV299" i="2"/>
  <c r="AW299" i="2"/>
  <c r="AD299" i="2"/>
  <c r="AP299" i="2" s="1"/>
  <c r="AQ307" i="2"/>
  <c r="AQ300" i="2"/>
  <c r="AD301" i="2"/>
  <c r="AX301" i="2"/>
  <c r="AU301" i="2"/>
  <c r="AV301" i="2"/>
  <c r="AC301" i="2"/>
  <c r="AW301" i="2"/>
  <c r="AD318" i="2"/>
  <c r="AC318" i="2"/>
  <c r="AU318" i="2"/>
  <c r="AW318" i="2"/>
  <c r="AV318" i="2"/>
  <c r="AX318" i="2"/>
  <c r="AQ306" i="2"/>
  <c r="AC314" i="2"/>
  <c r="AU314" i="2"/>
  <c r="AX314" i="2"/>
  <c r="AV314" i="2"/>
  <c r="AD314" i="2"/>
  <c r="AP314" i="2" s="1"/>
  <c r="AW314" i="2"/>
  <c r="AD309" i="2"/>
  <c r="AP309" i="2" s="1"/>
  <c r="AX309" i="2"/>
  <c r="AC309" i="2"/>
  <c r="AW309" i="2"/>
  <c r="AV309" i="2"/>
  <c r="AU309" i="2"/>
  <c r="AR303" i="2"/>
  <c r="AS311" i="2"/>
  <c r="AD319" i="2"/>
  <c r="AV319" i="2"/>
  <c r="AW319" i="2"/>
  <c r="AX319" i="2"/>
  <c r="AC319" i="2"/>
  <c r="AU319" i="2"/>
  <c r="AQ308" i="2"/>
  <c r="AR304" i="2"/>
  <c r="AR305" i="2"/>
  <c r="AD302" i="2"/>
  <c r="AP302" i="2" s="1"/>
  <c r="AW302" i="2"/>
  <c r="AU302" i="2"/>
  <c r="AV302" i="2"/>
  <c r="AX302" i="2"/>
  <c r="AC302" i="2"/>
  <c r="AS310" i="2"/>
  <c r="AD303" i="2"/>
  <c r="AP303" i="2" s="1"/>
  <c r="AW303" i="2"/>
  <c r="AU303" i="2"/>
  <c r="AX303" i="2"/>
  <c r="AC303" i="2"/>
  <c r="AV303" i="2"/>
  <c r="AC317" i="2"/>
  <c r="AU317" i="2"/>
  <c r="AD317" i="2"/>
  <c r="AP317" i="2" s="1"/>
  <c r="AV317" i="2"/>
  <c r="AX317" i="2"/>
  <c r="AW317" i="2"/>
  <c r="AW308" i="2"/>
  <c r="AV308" i="2"/>
  <c r="AU308" i="2"/>
  <c r="AC308" i="2"/>
  <c r="AD308" i="2"/>
  <c r="AP308" i="2" s="1"/>
  <c r="AX308" i="2"/>
  <c r="AR308" i="2"/>
  <c r="AD300" i="2"/>
  <c r="AX300" i="2"/>
  <c r="AV300" i="2"/>
  <c r="AW300" i="2"/>
  <c r="AC300" i="2"/>
  <c r="AU300" i="2"/>
  <c r="AR302" i="2"/>
  <c r="AD310" i="2"/>
  <c r="AP310" i="2" s="1"/>
  <c r="AV310" i="2"/>
  <c r="AX310" i="2"/>
  <c r="AW310" i="2"/>
  <c r="AC310" i="2"/>
  <c r="AU310" i="2"/>
  <c r="AQ314" i="2"/>
  <c r="AQ303" i="2"/>
  <c r="AQ315" i="2"/>
  <c r="AW305" i="2"/>
  <c r="AV305" i="2"/>
  <c r="AU305" i="2"/>
  <c r="AX305" i="2"/>
  <c r="AD305" i="2"/>
  <c r="AP305" i="2" s="1"/>
  <c r="AC305" i="2"/>
  <c r="AD298" i="2"/>
  <c r="AC298" i="2"/>
  <c r="AW298" i="2"/>
  <c r="AU298" i="2"/>
  <c r="AX298" i="2"/>
  <c r="AV298" i="2"/>
  <c r="AD312" i="2"/>
  <c r="AP312" i="2" s="1"/>
  <c r="AW312" i="2"/>
  <c r="AC312" i="2"/>
  <c r="AV312" i="2"/>
  <c r="AX312" i="2"/>
  <c r="AU312" i="2"/>
  <c r="AW304" i="2"/>
  <c r="AD304" i="2"/>
  <c r="AP304" i="2" s="1"/>
  <c r="AX304" i="2"/>
  <c r="AU304" i="2"/>
  <c r="AV304" i="2"/>
  <c r="AC304" i="2"/>
  <c r="AY319" i="2" l="1"/>
  <c r="AY309" i="2"/>
  <c r="AT307" i="2"/>
  <c r="AT299" i="2"/>
  <c r="AY315" i="2"/>
  <c r="AT306" i="2"/>
  <c r="AY316" i="2"/>
  <c r="AY304" i="2"/>
  <c r="AY300" i="2"/>
  <c r="AT308" i="2"/>
  <c r="AT317" i="2"/>
  <c r="AT309" i="2"/>
  <c r="AT312" i="2"/>
  <c r="AY310" i="2"/>
  <c r="AY317" i="2"/>
  <c r="AT313" i="2"/>
  <c r="AY308" i="2"/>
  <c r="AT314" i="2"/>
  <c r="AY311" i="2"/>
  <c r="AY313" i="2"/>
  <c r="AY299" i="2"/>
  <c r="AY318" i="2"/>
  <c r="AP301" i="2"/>
  <c r="AT301" i="2" s="1"/>
  <c r="AY307" i="2"/>
  <c r="AP319" i="2"/>
  <c r="AT319" i="2" s="1"/>
  <c r="AY306" i="2"/>
  <c r="AY301" i="2"/>
  <c r="AY298" i="2"/>
  <c r="AY302" i="2"/>
  <c r="AY314" i="2"/>
  <c r="AP311" i="2"/>
  <c r="AT311" i="2" s="1"/>
  <c r="AP318" i="2"/>
  <c r="AT318" i="2" s="1"/>
  <c r="AT315" i="2"/>
  <c r="AT303" i="2"/>
  <c r="AT305" i="2"/>
  <c r="AY312" i="2"/>
  <c r="AT310" i="2"/>
  <c r="AT304" i="2"/>
  <c r="AY305" i="2"/>
  <c r="AP300" i="2"/>
  <c r="AT300" i="2" s="1"/>
  <c r="AY303" i="2"/>
  <c r="AP298" i="2"/>
  <c r="AT298" i="2" s="1"/>
  <c r="AT302" i="2"/>
  <c r="AT316" i="2"/>
  <c r="M7" i="9"/>
  <c r="F8" i="9"/>
  <c r="G8" i="9"/>
  <c r="H8" i="9"/>
  <c r="J8" i="9"/>
  <c r="K8" i="9"/>
  <c r="L8" i="9"/>
  <c r="M8" i="9"/>
  <c r="F9" i="9"/>
  <c r="G9" i="9"/>
  <c r="H9" i="9"/>
  <c r="J9" i="9"/>
  <c r="K9" i="9"/>
  <c r="L9" i="9"/>
  <c r="M9" i="9"/>
  <c r="E9" i="9"/>
  <c r="E8" i="9"/>
  <c r="AS15" i="6"/>
  <c r="AS29" i="6" s="1"/>
  <c r="AR15" i="6"/>
  <c r="AR29" i="6" s="1"/>
  <c r="AQ15" i="6"/>
  <c r="AQ29" i="6" s="1"/>
  <c r="AP15" i="6"/>
  <c r="AP29" i="6" s="1"/>
  <c r="AO15" i="6"/>
  <c r="AO29" i="6" s="1"/>
  <c r="AN15" i="6"/>
  <c r="AN29" i="6" s="1"/>
  <c r="E31" i="11" s="1"/>
  <c r="AS14" i="6"/>
  <c r="AS28" i="6" s="1"/>
  <c r="AR14" i="6"/>
  <c r="AR28" i="6" s="1"/>
  <c r="AQ14" i="6"/>
  <c r="AQ28" i="6" s="1"/>
  <c r="AP14" i="6"/>
  <c r="AP28" i="6" s="1"/>
  <c r="AO14" i="6"/>
  <c r="AO28" i="6" s="1"/>
  <c r="AN14" i="6"/>
  <c r="AN28" i="6" s="1"/>
  <c r="E29" i="11" s="1"/>
  <c r="AS13" i="6"/>
  <c r="AS27" i="6" s="1"/>
  <c r="AR13" i="6"/>
  <c r="AR27" i="6" s="1"/>
  <c r="AQ13" i="6"/>
  <c r="AQ27" i="6" s="1"/>
  <c r="AP13" i="6"/>
  <c r="AP27" i="6" s="1"/>
  <c r="AO13" i="6"/>
  <c r="AO27" i="6" s="1"/>
  <c r="AN13" i="6"/>
  <c r="AN27" i="6" s="1"/>
  <c r="E27" i="11" s="1"/>
  <c r="AC16" i="6"/>
  <c r="AB16" i="6"/>
  <c r="AA16" i="6"/>
  <c r="Z16" i="6"/>
  <c r="Y16" i="6"/>
  <c r="X16" i="6"/>
  <c r="AC15" i="6"/>
  <c r="AB15" i="6"/>
  <c r="AA15" i="6"/>
  <c r="Z15" i="6"/>
  <c r="Y15" i="6"/>
  <c r="X15" i="6"/>
  <c r="AC14" i="6"/>
  <c r="AB14" i="6"/>
  <c r="AA14" i="6"/>
  <c r="Z14" i="6"/>
  <c r="Y14" i="6"/>
  <c r="X14" i="6"/>
  <c r="AC13" i="6"/>
  <c r="AB13" i="6"/>
  <c r="AA13" i="6"/>
  <c r="Z13" i="6"/>
  <c r="Y13" i="6"/>
  <c r="X13" i="6"/>
  <c r="AC6" i="6"/>
  <c r="AB6" i="6"/>
  <c r="AA6" i="6"/>
  <c r="Z6" i="6"/>
  <c r="Y6" i="6"/>
  <c r="AC5" i="6"/>
  <c r="AB5" i="6"/>
  <c r="AA5" i="6"/>
  <c r="Z5" i="6"/>
  <c r="Y5" i="6"/>
  <c r="AC4" i="6"/>
  <c r="AB4" i="6"/>
  <c r="AA4" i="6"/>
  <c r="Z4" i="6"/>
  <c r="Y4" i="6"/>
  <c r="AC3" i="6"/>
  <c r="AB3" i="6"/>
  <c r="AA3" i="6"/>
  <c r="Z3" i="6"/>
  <c r="Y3" i="6"/>
  <c r="X4" i="6"/>
  <c r="X5" i="6"/>
  <c r="X6" i="6"/>
  <c r="X3" i="6"/>
  <c r="AO3" i="6"/>
  <c r="AO24" i="6" s="1"/>
  <c r="AP3" i="6"/>
  <c r="AP24" i="6" s="1"/>
  <c r="AQ3" i="6"/>
  <c r="AR3" i="6"/>
  <c r="AS3" i="6"/>
  <c r="AO4" i="6"/>
  <c r="AO25" i="6" s="1"/>
  <c r="AP4" i="6"/>
  <c r="AP25" i="6" s="1"/>
  <c r="AQ4" i="6"/>
  <c r="AQ25" i="6" s="1"/>
  <c r="AR4" i="6"/>
  <c r="AS4" i="6"/>
  <c r="AS25" i="6" s="1"/>
  <c r="AO5" i="6"/>
  <c r="AP5" i="6"/>
  <c r="AQ5" i="6"/>
  <c r="AR5" i="6"/>
  <c r="AS5" i="6"/>
  <c r="AN4" i="6"/>
  <c r="AN25" i="6" s="1"/>
  <c r="E23" i="11" s="1"/>
  <c r="AN5" i="6"/>
  <c r="AN26" i="6" s="1"/>
  <c r="E25" i="11" s="1"/>
  <c r="AN3" i="6"/>
  <c r="AN24" i="6" s="1"/>
  <c r="E21" i="11" s="1"/>
  <c r="N4" i="6"/>
  <c r="AF7" i="11" s="1"/>
  <c r="N5" i="6"/>
  <c r="AF8" i="11" s="1"/>
  <c r="N6" i="6"/>
  <c r="AF9" i="11" s="1"/>
  <c r="N7" i="6"/>
  <c r="AF10" i="11" s="1"/>
  <c r="N8" i="6"/>
  <c r="AF11" i="11" s="1"/>
  <c r="N9" i="6"/>
  <c r="AF12" i="11" s="1"/>
  <c r="N10" i="6"/>
  <c r="AF13" i="11" s="1"/>
  <c r="N11" i="6"/>
  <c r="AF14" i="11" s="1"/>
  <c r="N12" i="6"/>
  <c r="AF15" i="11" s="1"/>
  <c r="N3" i="6"/>
  <c r="AF6" i="11" s="1"/>
  <c r="J3" i="6"/>
  <c r="AC6" i="11" s="1"/>
  <c r="K3" i="6"/>
  <c r="AD6" i="11" s="1"/>
  <c r="L3" i="6"/>
  <c r="AE6" i="11" s="1"/>
  <c r="M3" i="6"/>
  <c r="J4" i="6"/>
  <c r="AC7" i="11" s="1"/>
  <c r="K4" i="6"/>
  <c r="AD7" i="11" s="1"/>
  <c r="L4" i="6"/>
  <c r="AE7" i="11" s="1"/>
  <c r="M4" i="6"/>
  <c r="J5" i="6"/>
  <c r="AC8" i="11" s="1"/>
  <c r="K5" i="6"/>
  <c r="AD8" i="11" s="1"/>
  <c r="L5" i="6"/>
  <c r="AE8" i="11" s="1"/>
  <c r="M5" i="6"/>
  <c r="J6" i="6"/>
  <c r="AC9" i="11" s="1"/>
  <c r="K6" i="6"/>
  <c r="AD9" i="11" s="1"/>
  <c r="L6" i="6"/>
  <c r="AE9" i="11" s="1"/>
  <c r="M6" i="6"/>
  <c r="J7" i="6"/>
  <c r="AC10" i="11" s="1"/>
  <c r="K7" i="6"/>
  <c r="AD10" i="11" s="1"/>
  <c r="L7" i="6"/>
  <c r="AE10" i="11" s="1"/>
  <c r="M7" i="6"/>
  <c r="J8" i="6"/>
  <c r="AC11" i="11" s="1"/>
  <c r="K8" i="6"/>
  <c r="AD11" i="11" s="1"/>
  <c r="L8" i="6"/>
  <c r="AE11" i="11" s="1"/>
  <c r="M8" i="6"/>
  <c r="J9" i="6"/>
  <c r="AC12" i="11" s="1"/>
  <c r="K9" i="6"/>
  <c r="AD12" i="11" s="1"/>
  <c r="L9" i="6"/>
  <c r="AE12" i="11" s="1"/>
  <c r="M9" i="6"/>
  <c r="J10" i="6"/>
  <c r="AC13" i="11" s="1"/>
  <c r="K10" i="6"/>
  <c r="AD13" i="11" s="1"/>
  <c r="L10" i="6"/>
  <c r="AE13" i="11" s="1"/>
  <c r="M10" i="6"/>
  <c r="J11" i="6"/>
  <c r="AC14" i="11" s="1"/>
  <c r="K11" i="6"/>
  <c r="AD14" i="11" s="1"/>
  <c r="L11" i="6"/>
  <c r="AE14" i="11" s="1"/>
  <c r="M11" i="6"/>
  <c r="J12" i="6"/>
  <c r="AC15" i="11" s="1"/>
  <c r="K12" i="6"/>
  <c r="AD15" i="11" s="1"/>
  <c r="L12" i="6"/>
  <c r="AE15" i="11" s="1"/>
  <c r="M12" i="6"/>
  <c r="I4" i="6"/>
  <c r="AB7" i="11" s="1"/>
  <c r="I5" i="6"/>
  <c r="AB8" i="11" s="1"/>
  <c r="I6" i="6"/>
  <c r="AB9" i="11" s="1"/>
  <c r="I7" i="6"/>
  <c r="AB10" i="11" s="1"/>
  <c r="I8" i="6"/>
  <c r="AB11" i="11" s="1"/>
  <c r="I9" i="6"/>
  <c r="AB12" i="11" s="1"/>
  <c r="I10" i="6"/>
  <c r="AB13" i="11" s="1"/>
  <c r="I11" i="6"/>
  <c r="AB14" i="11" s="1"/>
  <c r="I12" i="6"/>
  <c r="AB15" i="11" s="1"/>
  <c r="I3" i="6"/>
  <c r="AB6" i="11" s="1"/>
  <c r="AP30" i="6" l="1"/>
  <c r="AQ30" i="6"/>
  <c r="AR30" i="6"/>
  <c r="AS30" i="6"/>
  <c r="AO30" i="6"/>
  <c r="AS24" i="6"/>
  <c r="AS26" i="6"/>
  <c r="AR25" i="6"/>
  <c r="AR24" i="6"/>
  <c r="K29" i="11"/>
  <c r="AQ24" i="6"/>
  <c r="K21" i="11" s="1"/>
  <c r="AR26" i="6"/>
  <c r="K27" i="11"/>
  <c r="AQ26" i="6"/>
  <c r="AP26" i="6"/>
  <c r="AO26" i="6"/>
  <c r="I8" i="9"/>
  <c r="I9" i="9"/>
  <c r="L7" i="9"/>
  <c r="K7" i="9"/>
  <c r="J7" i="9"/>
  <c r="N8" i="9"/>
  <c r="H7" i="9"/>
  <c r="N9" i="9"/>
  <c r="G7" i="9"/>
  <c r="F7" i="9"/>
  <c r="AC19" i="6"/>
  <c r="J15" i="6"/>
  <c r="J17" i="6"/>
  <c r="J19" i="6"/>
  <c r="J21" i="6"/>
  <c r="J23" i="6"/>
  <c r="N17" i="6"/>
  <c r="K15" i="6"/>
  <c r="M16" i="6"/>
  <c r="M18" i="6"/>
  <c r="M20" i="6"/>
  <c r="M22" i="6"/>
  <c r="N18" i="6"/>
  <c r="K17" i="6"/>
  <c r="N16" i="6"/>
  <c r="L16" i="6"/>
  <c r="L18" i="6"/>
  <c r="L20" i="6"/>
  <c r="L22" i="6"/>
  <c r="N19" i="6"/>
  <c r="K19" i="6"/>
  <c r="K16" i="6"/>
  <c r="K18" i="6"/>
  <c r="K20" i="6"/>
  <c r="K22" i="6"/>
  <c r="N20" i="6"/>
  <c r="J18" i="6"/>
  <c r="J20" i="6"/>
  <c r="J22" i="6"/>
  <c r="N21" i="6"/>
  <c r="K23" i="6"/>
  <c r="J16" i="6"/>
  <c r="M15" i="6"/>
  <c r="M17" i="6"/>
  <c r="M19" i="6"/>
  <c r="M21" i="6"/>
  <c r="M23" i="6"/>
  <c r="N22" i="6"/>
  <c r="K21" i="6"/>
  <c r="L15" i="6"/>
  <c r="L17" i="6"/>
  <c r="L19" i="6"/>
  <c r="L21" i="6"/>
  <c r="L23" i="6"/>
  <c r="N15" i="6"/>
  <c r="N23" i="6"/>
  <c r="L24" i="6"/>
  <c r="K24" i="6"/>
  <c r="M24" i="6"/>
  <c r="N24" i="6"/>
  <c r="J24" i="6"/>
  <c r="I19" i="6"/>
  <c r="I20" i="6"/>
  <c r="I21" i="6"/>
  <c r="I22" i="6"/>
  <c r="I23" i="6"/>
  <c r="I18" i="6"/>
  <c r="I15" i="6"/>
  <c r="I16" i="6"/>
  <c r="I17" i="6"/>
  <c r="I24" i="6"/>
  <c r="G31" i="11"/>
  <c r="K23" i="11"/>
  <c r="I23" i="11"/>
  <c r="G23" i="11"/>
  <c r="I21" i="11"/>
  <c r="I27" i="11"/>
  <c r="G21" i="11"/>
  <c r="K31" i="11"/>
  <c r="I31" i="11"/>
  <c r="G27" i="11"/>
  <c r="Y9" i="6"/>
  <c r="AA9" i="6"/>
  <c r="Z9" i="6"/>
  <c r="AB9" i="6"/>
  <c r="AC9" i="6"/>
  <c r="N7" i="9" l="1"/>
  <c r="I7" i="9"/>
  <c r="G25" i="11"/>
  <c r="I29" i="11"/>
  <c r="G29" i="11"/>
  <c r="K25" i="11"/>
  <c r="I25" i="11"/>
  <c r="J4" i="2"/>
  <c r="A4" i="2" s="1"/>
  <c r="J5" i="2"/>
  <c r="A5" i="2" s="1"/>
  <c r="J6" i="2"/>
  <c r="A6" i="2" s="1"/>
  <c r="J7" i="2"/>
  <c r="A7" i="2" s="1"/>
  <c r="J8" i="2"/>
  <c r="A8" i="2" s="1"/>
  <c r="J9" i="2"/>
  <c r="A9" i="2" s="1"/>
  <c r="J10" i="2"/>
  <c r="A10" i="2" s="1"/>
  <c r="J11" i="2"/>
  <c r="A11" i="2" s="1"/>
  <c r="J12" i="2"/>
  <c r="A12" i="2" s="1"/>
  <c r="J13" i="2"/>
  <c r="A13" i="2" s="1"/>
  <c r="J14" i="2"/>
  <c r="A14" i="2" s="1"/>
  <c r="J15" i="2"/>
  <c r="A15" i="2" s="1"/>
  <c r="J16" i="2"/>
  <c r="A16" i="2" s="1"/>
  <c r="J17" i="2"/>
  <c r="A17" i="2" s="1"/>
  <c r="J18" i="2"/>
  <c r="A18" i="2" s="1"/>
  <c r="J19" i="2"/>
  <c r="A19" i="2" s="1"/>
  <c r="J20" i="2"/>
  <c r="A20" i="2" s="1"/>
  <c r="J21" i="2"/>
  <c r="A21" i="2" s="1"/>
  <c r="J22" i="2"/>
  <c r="A22" i="2" s="1"/>
  <c r="J23" i="2"/>
  <c r="A23" i="2" s="1"/>
  <c r="J24" i="2"/>
  <c r="A24" i="2" s="1"/>
  <c r="J25" i="2"/>
  <c r="A25" i="2" s="1"/>
  <c r="J26" i="2"/>
  <c r="A26" i="2" s="1"/>
  <c r="J27" i="2"/>
  <c r="A27" i="2" s="1"/>
  <c r="J28" i="2"/>
  <c r="A28" i="2" s="1"/>
  <c r="J29" i="2"/>
  <c r="A29" i="2" s="1"/>
  <c r="J30" i="2"/>
  <c r="A30" i="2" s="1"/>
  <c r="J31" i="2"/>
  <c r="A31" i="2" s="1"/>
  <c r="J32" i="2"/>
  <c r="A32" i="2" s="1"/>
  <c r="J33" i="2"/>
  <c r="A33" i="2" s="1"/>
  <c r="J34" i="2"/>
  <c r="A34" i="2" s="1"/>
  <c r="J35" i="2"/>
  <c r="A35" i="2" s="1"/>
  <c r="J36" i="2"/>
  <c r="A36" i="2" s="1"/>
  <c r="J37" i="2"/>
  <c r="A37" i="2" s="1"/>
  <c r="J38" i="2"/>
  <c r="A38" i="2" s="1"/>
  <c r="J39" i="2"/>
  <c r="A39" i="2" s="1"/>
  <c r="J40" i="2"/>
  <c r="A40" i="2" s="1"/>
  <c r="J41" i="2"/>
  <c r="A41" i="2" s="1"/>
  <c r="J42" i="2"/>
  <c r="A42" i="2" s="1"/>
  <c r="J43" i="2"/>
  <c r="A43" i="2" s="1"/>
  <c r="J44" i="2"/>
  <c r="A44" i="2" s="1"/>
  <c r="J45" i="2"/>
  <c r="A45" i="2" s="1"/>
  <c r="J46" i="2"/>
  <c r="A46" i="2" s="1"/>
  <c r="J47" i="2"/>
  <c r="A47" i="2" s="1"/>
  <c r="J48" i="2"/>
  <c r="A48" i="2" s="1"/>
  <c r="J49" i="2"/>
  <c r="A49" i="2" s="1"/>
  <c r="J50" i="2"/>
  <c r="A50" i="2" s="1"/>
  <c r="J51" i="2"/>
  <c r="A51" i="2" s="1"/>
  <c r="J52" i="2"/>
  <c r="A52" i="2" s="1"/>
  <c r="J53" i="2"/>
  <c r="A53" i="2" s="1"/>
  <c r="J54" i="2"/>
  <c r="A54" i="2" s="1"/>
  <c r="J55" i="2"/>
  <c r="A55" i="2" s="1"/>
  <c r="J56" i="2"/>
  <c r="A56" i="2" s="1"/>
  <c r="J57" i="2"/>
  <c r="A57" i="2" s="1"/>
  <c r="J58" i="2"/>
  <c r="A58" i="2" s="1"/>
  <c r="J59" i="2"/>
  <c r="A59" i="2" s="1"/>
  <c r="J60" i="2"/>
  <c r="A60" i="2" s="1"/>
  <c r="J61" i="2"/>
  <c r="A61" i="2" s="1"/>
  <c r="J62" i="2"/>
  <c r="A62" i="2" s="1"/>
  <c r="J63" i="2"/>
  <c r="A63" i="2" s="1"/>
  <c r="J64" i="2"/>
  <c r="A64" i="2" s="1"/>
  <c r="J65" i="2"/>
  <c r="A65" i="2" s="1"/>
  <c r="J66" i="2"/>
  <c r="A66" i="2" s="1"/>
  <c r="J67" i="2"/>
  <c r="A67" i="2" s="1"/>
  <c r="J68" i="2"/>
  <c r="A68" i="2" s="1"/>
  <c r="J69" i="2"/>
  <c r="A69" i="2" s="1"/>
  <c r="J70" i="2"/>
  <c r="A70" i="2" s="1"/>
  <c r="J71" i="2"/>
  <c r="A71" i="2" s="1"/>
  <c r="J72" i="2"/>
  <c r="A72" i="2" s="1"/>
  <c r="J73" i="2"/>
  <c r="A73" i="2" s="1"/>
  <c r="J74" i="2"/>
  <c r="A74" i="2" s="1"/>
  <c r="J75" i="2"/>
  <c r="A75" i="2" s="1"/>
  <c r="J76" i="2"/>
  <c r="A76" i="2" s="1"/>
  <c r="J77" i="2"/>
  <c r="A77" i="2" s="1"/>
  <c r="J78" i="2"/>
  <c r="A78" i="2" s="1"/>
  <c r="J79" i="2"/>
  <c r="A79" i="2" s="1"/>
  <c r="J80" i="2"/>
  <c r="A80" i="2" s="1"/>
  <c r="J81" i="2"/>
  <c r="A81" i="2" s="1"/>
  <c r="J82" i="2"/>
  <c r="A82" i="2" s="1"/>
  <c r="J83" i="2"/>
  <c r="A83" i="2" s="1"/>
  <c r="J84" i="2"/>
  <c r="A84" i="2" s="1"/>
  <c r="J85" i="2"/>
  <c r="A85" i="2" s="1"/>
  <c r="J86" i="2"/>
  <c r="A86" i="2" s="1"/>
  <c r="J87" i="2"/>
  <c r="A87" i="2" s="1"/>
  <c r="J88" i="2"/>
  <c r="A88" i="2" s="1"/>
  <c r="J89" i="2"/>
  <c r="A89" i="2" s="1"/>
  <c r="J90" i="2"/>
  <c r="A90" i="2" s="1"/>
  <c r="J91" i="2"/>
  <c r="A91" i="2" s="1"/>
  <c r="J92" i="2"/>
  <c r="A92" i="2" s="1"/>
  <c r="J93" i="2"/>
  <c r="A93" i="2" s="1"/>
  <c r="J94" i="2"/>
  <c r="A94" i="2" s="1"/>
  <c r="J95" i="2"/>
  <c r="A95" i="2" s="1"/>
  <c r="J96" i="2"/>
  <c r="A96" i="2" s="1"/>
  <c r="J97" i="2"/>
  <c r="A97" i="2" s="1"/>
  <c r="J98" i="2"/>
  <c r="A98" i="2" s="1"/>
  <c r="J99" i="2"/>
  <c r="A99" i="2" s="1"/>
  <c r="J100" i="2"/>
  <c r="A100" i="2" s="1"/>
  <c r="J101" i="2"/>
  <c r="A101" i="2" s="1"/>
  <c r="J102" i="2"/>
  <c r="A102" i="2" s="1"/>
  <c r="J103" i="2"/>
  <c r="A103" i="2" s="1"/>
  <c r="J104" i="2"/>
  <c r="A104" i="2" s="1"/>
  <c r="J105" i="2"/>
  <c r="A105" i="2" s="1"/>
  <c r="J106" i="2"/>
  <c r="A106" i="2" s="1"/>
  <c r="J107" i="2"/>
  <c r="A107" i="2" s="1"/>
  <c r="J108" i="2"/>
  <c r="A108" i="2" s="1"/>
  <c r="J109" i="2"/>
  <c r="A109" i="2" s="1"/>
  <c r="J110" i="2"/>
  <c r="A110" i="2" s="1"/>
  <c r="J111" i="2"/>
  <c r="A111" i="2" s="1"/>
  <c r="J112" i="2"/>
  <c r="A112" i="2" s="1"/>
  <c r="J113" i="2"/>
  <c r="A113" i="2" s="1"/>
  <c r="J114" i="2"/>
  <c r="A114" i="2" s="1"/>
  <c r="J115" i="2"/>
  <c r="A115" i="2" s="1"/>
  <c r="J116" i="2"/>
  <c r="A116" i="2" s="1"/>
  <c r="J117" i="2"/>
  <c r="A117" i="2" s="1"/>
  <c r="J118" i="2"/>
  <c r="A118" i="2" s="1"/>
  <c r="J119" i="2"/>
  <c r="A119" i="2" s="1"/>
  <c r="J120" i="2"/>
  <c r="A120" i="2" s="1"/>
  <c r="J121" i="2"/>
  <c r="A121" i="2" s="1"/>
  <c r="J122" i="2"/>
  <c r="A122" i="2" s="1"/>
  <c r="J123" i="2"/>
  <c r="A123" i="2" s="1"/>
  <c r="J124" i="2"/>
  <c r="A124" i="2" s="1"/>
  <c r="J125" i="2"/>
  <c r="A125" i="2" s="1"/>
  <c r="J126" i="2"/>
  <c r="A126" i="2" s="1"/>
  <c r="J127" i="2"/>
  <c r="A127" i="2" s="1"/>
  <c r="J128" i="2"/>
  <c r="A128" i="2" s="1"/>
  <c r="J129" i="2"/>
  <c r="A129" i="2" s="1"/>
  <c r="J130" i="2"/>
  <c r="A130" i="2" s="1"/>
  <c r="J131" i="2"/>
  <c r="A131" i="2" s="1"/>
  <c r="J132" i="2"/>
  <c r="A132" i="2" s="1"/>
  <c r="J133" i="2"/>
  <c r="A133" i="2" s="1"/>
  <c r="J134" i="2"/>
  <c r="A134" i="2" s="1"/>
  <c r="J135" i="2"/>
  <c r="A135" i="2" s="1"/>
  <c r="J136" i="2"/>
  <c r="A136" i="2" s="1"/>
  <c r="J137" i="2"/>
  <c r="A137" i="2" s="1"/>
  <c r="J138" i="2"/>
  <c r="A138" i="2" s="1"/>
  <c r="J139" i="2"/>
  <c r="A139" i="2" s="1"/>
  <c r="J140" i="2"/>
  <c r="A140" i="2" s="1"/>
  <c r="J141" i="2"/>
  <c r="A141" i="2" s="1"/>
  <c r="J142" i="2"/>
  <c r="A142" i="2" s="1"/>
  <c r="J143" i="2"/>
  <c r="A143" i="2" s="1"/>
  <c r="J144" i="2"/>
  <c r="A144" i="2" s="1"/>
  <c r="J145" i="2"/>
  <c r="A145" i="2" s="1"/>
  <c r="J146" i="2"/>
  <c r="A146" i="2" s="1"/>
  <c r="J147" i="2"/>
  <c r="A147" i="2" s="1"/>
  <c r="J148" i="2"/>
  <c r="A148" i="2" s="1"/>
  <c r="J149" i="2"/>
  <c r="A149" i="2" s="1"/>
  <c r="J150" i="2"/>
  <c r="A150" i="2" s="1"/>
  <c r="J151" i="2"/>
  <c r="A151" i="2" s="1"/>
  <c r="J152" i="2"/>
  <c r="A152" i="2" s="1"/>
  <c r="J153" i="2"/>
  <c r="A153" i="2" s="1"/>
  <c r="J154" i="2"/>
  <c r="A154" i="2" s="1"/>
  <c r="J155" i="2"/>
  <c r="A155" i="2" s="1"/>
  <c r="J156" i="2"/>
  <c r="A156" i="2" s="1"/>
  <c r="J157" i="2"/>
  <c r="A157" i="2" s="1"/>
  <c r="J158" i="2"/>
  <c r="A158" i="2" s="1"/>
  <c r="J159" i="2"/>
  <c r="A159" i="2" s="1"/>
  <c r="J160" i="2"/>
  <c r="A160" i="2" s="1"/>
  <c r="J161" i="2"/>
  <c r="A161" i="2" s="1"/>
  <c r="J162" i="2"/>
  <c r="A162" i="2" s="1"/>
  <c r="J163" i="2"/>
  <c r="A163" i="2" s="1"/>
  <c r="J164" i="2"/>
  <c r="A164" i="2" s="1"/>
  <c r="J165" i="2"/>
  <c r="A165" i="2" s="1"/>
  <c r="J166" i="2"/>
  <c r="A166" i="2" s="1"/>
  <c r="J167" i="2"/>
  <c r="A167" i="2" s="1"/>
  <c r="J168" i="2"/>
  <c r="A168" i="2" s="1"/>
  <c r="J169" i="2"/>
  <c r="A169" i="2" s="1"/>
  <c r="J170" i="2"/>
  <c r="A170" i="2" s="1"/>
  <c r="J171" i="2"/>
  <c r="A171" i="2" s="1"/>
  <c r="J172" i="2"/>
  <c r="A172" i="2" s="1"/>
  <c r="J173" i="2"/>
  <c r="A173" i="2" s="1"/>
  <c r="J174" i="2"/>
  <c r="A174" i="2" s="1"/>
  <c r="J175" i="2"/>
  <c r="A175" i="2" s="1"/>
  <c r="J176" i="2"/>
  <c r="A176" i="2" s="1"/>
  <c r="J177" i="2"/>
  <c r="A177" i="2" s="1"/>
  <c r="J178" i="2"/>
  <c r="A178" i="2" s="1"/>
  <c r="J179" i="2"/>
  <c r="A179" i="2" s="1"/>
  <c r="J180" i="2"/>
  <c r="A180" i="2" s="1"/>
  <c r="J181" i="2"/>
  <c r="A181" i="2" s="1"/>
  <c r="J182" i="2"/>
  <c r="A182" i="2" s="1"/>
  <c r="J183" i="2"/>
  <c r="A183" i="2" s="1"/>
  <c r="J184" i="2"/>
  <c r="A184" i="2" s="1"/>
  <c r="J185" i="2"/>
  <c r="A185" i="2" s="1"/>
  <c r="J186" i="2"/>
  <c r="A186" i="2" s="1"/>
  <c r="J187" i="2"/>
  <c r="A187" i="2" s="1"/>
  <c r="J188" i="2"/>
  <c r="A188" i="2" s="1"/>
  <c r="J189" i="2"/>
  <c r="A189" i="2" s="1"/>
  <c r="J190" i="2"/>
  <c r="A190" i="2" s="1"/>
  <c r="J191" i="2"/>
  <c r="A191" i="2" s="1"/>
  <c r="J192" i="2"/>
  <c r="A192" i="2" s="1"/>
  <c r="J193" i="2"/>
  <c r="A193" i="2" s="1"/>
  <c r="J194" i="2"/>
  <c r="A194" i="2" s="1"/>
  <c r="J195" i="2"/>
  <c r="A195" i="2" s="1"/>
  <c r="J196" i="2"/>
  <c r="A196" i="2" s="1"/>
  <c r="J197" i="2"/>
  <c r="A197" i="2" s="1"/>
  <c r="J198" i="2"/>
  <c r="A198" i="2" s="1"/>
  <c r="J199" i="2"/>
  <c r="A199" i="2" s="1"/>
  <c r="J200" i="2"/>
  <c r="A200" i="2" s="1"/>
  <c r="J201" i="2"/>
  <c r="A201" i="2" s="1"/>
  <c r="J202" i="2"/>
  <c r="A202" i="2" s="1"/>
  <c r="J203" i="2"/>
  <c r="A203" i="2" s="1"/>
  <c r="J204" i="2"/>
  <c r="A204" i="2" s="1"/>
  <c r="J205" i="2"/>
  <c r="A205" i="2" s="1"/>
  <c r="J206" i="2"/>
  <c r="A206" i="2" s="1"/>
  <c r="J207" i="2"/>
  <c r="A207" i="2" s="1"/>
  <c r="J208" i="2"/>
  <c r="A208" i="2" s="1"/>
  <c r="J209" i="2"/>
  <c r="A209" i="2" s="1"/>
  <c r="J210" i="2"/>
  <c r="A210" i="2" s="1"/>
  <c r="J211" i="2"/>
  <c r="A211" i="2" s="1"/>
  <c r="J212" i="2"/>
  <c r="A212" i="2" s="1"/>
  <c r="J213" i="2"/>
  <c r="A213" i="2" s="1"/>
  <c r="J214" i="2"/>
  <c r="A214" i="2" s="1"/>
  <c r="J215" i="2"/>
  <c r="A215" i="2" s="1"/>
  <c r="J216" i="2"/>
  <c r="A216" i="2" s="1"/>
  <c r="J217" i="2"/>
  <c r="A217" i="2" s="1"/>
  <c r="J218" i="2"/>
  <c r="A218" i="2" s="1"/>
  <c r="J219" i="2"/>
  <c r="A219" i="2" s="1"/>
  <c r="J220" i="2"/>
  <c r="A220" i="2" s="1"/>
  <c r="J221" i="2"/>
  <c r="A221" i="2" s="1"/>
  <c r="J222" i="2"/>
  <c r="A222" i="2" s="1"/>
  <c r="J223" i="2"/>
  <c r="A223" i="2" s="1"/>
  <c r="J224" i="2"/>
  <c r="A224" i="2" s="1"/>
  <c r="J225" i="2"/>
  <c r="A225" i="2" s="1"/>
  <c r="J226" i="2"/>
  <c r="A226" i="2" s="1"/>
  <c r="J227" i="2"/>
  <c r="A227" i="2" s="1"/>
  <c r="J228" i="2"/>
  <c r="A228" i="2" s="1"/>
  <c r="J229" i="2"/>
  <c r="A229" i="2" s="1"/>
  <c r="J230" i="2"/>
  <c r="A230" i="2" s="1"/>
  <c r="J231" i="2"/>
  <c r="A231" i="2" s="1"/>
  <c r="J232" i="2"/>
  <c r="A232" i="2" s="1"/>
  <c r="J233" i="2"/>
  <c r="A233" i="2" s="1"/>
  <c r="J234" i="2"/>
  <c r="A234" i="2" s="1"/>
  <c r="J235" i="2"/>
  <c r="A235" i="2" s="1"/>
  <c r="J236" i="2"/>
  <c r="A236" i="2" s="1"/>
  <c r="J237" i="2"/>
  <c r="A237" i="2" s="1"/>
  <c r="J238" i="2"/>
  <c r="A238" i="2" s="1"/>
  <c r="J239" i="2"/>
  <c r="A239" i="2" s="1"/>
  <c r="J240" i="2"/>
  <c r="A240" i="2" s="1"/>
  <c r="J241" i="2"/>
  <c r="A241" i="2" s="1"/>
  <c r="J242" i="2"/>
  <c r="A242" i="2" s="1"/>
  <c r="J243" i="2"/>
  <c r="A243" i="2" s="1"/>
  <c r="J244" i="2"/>
  <c r="A244" i="2" s="1"/>
  <c r="J245" i="2"/>
  <c r="A245" i="2" s="1"/>
  <c r="J246" i="2"/>
  <c r="A246" i="2" s="1"/>
  <c r="J247" i="2"/>
  <c r="A247" i="2" s="1"/>
  <c r="J248" i="2"/>
  <c r="A248" i="2" s="1"/>
  <c r="J249" i="2"/>
  <c r="A249" i="2" s="1"/>
  <c r="J250" i="2"/>
  <c r="A250" i="2" s="1"/>
  <c r="J251" i="2"/>
  <c r="A251" i="2" s="1"/>
  <c r="J252" i="2"/>
  <c r="A252" i="2" s="1"/>
  <c r="J253" i="2"/>
  <c r="A253" i="2" s="1"/>
  <c r="J254" i="2"/>
  <c r="A254" i="2" s="1"/>
  <c r="J255" i="2"/>
  <c r="A255" i="2" s="1"/>
  <c r="J256" i="2"/>
  <c r="A256" i="2" s="1"/>
  <c r="J257" i="2"/>
  <c r="A257" i="2" s="1"/>
  <c r="J258" i="2"/>
  <c r="A258" i="2" s="1"/>
  <c r="J259" i="2"/>
  <c r="A259" i="2" s="1"/>
  <c r="J260" i="2"/>
  <c r="A260" i="2" s="1"/>
  <c r="J261" i="2"/>
  <c r="A261" i="2" s="1"/>
  <c r="J262" i="2"/>
  <c r="A262" i="2" s="1"/>
  <c r="J263" i="2"/>
  <c r="A263" i="2" s="1"/>
  <c r="J264" i="2"/>
  <c r="A264" i="2" s="1"/>
  <c r="J265" i="2"/>
  <c r="A265" i="2" s="1"/>
  <c r="J266" i="2"/>
  <c r="A266" i="2" s="1"/>
  <c r="J267" i="2"/>
  <c r="A267" i="2" s="1"/>
  <c r="J268" i="2"/>
  <c r="A268" i="2" s="1"/>
  <c r="J269" i="2"/>
  <c r="A269" i="2" s="1"/>
  <c r="J270" i="2"/>
  <c r="A270" i="2" s="1"/>
  <c r="J271" i="2"/>
  <c r="A271" i="2" s="1"/>
  <c r="J272" i="2"/>
  <c r="A272" i="2" s="1"/>
  <c r="J273" i="2"/>
  <c r="A273" i="2" s="1"/>
  <c r="J274" i="2"/>
  <c r="A274" i="2" s="1"/>
  <c r="J275" i="2"/>
  <c r="A275" i="2" s="1"/>
  <c r="J276" i="2"/>
  <c r="A276" i="2" s="1"/>
  <c r="J277" i="2"/>
  <c r="A277" i="2" s="1"/>
  <c r="J3" i="2"/>
  <c r="A3" i="2" s="1"/>
  <c r="F5" i="2"/>
  <c r="G5" i="2"/>
  <c r="F6" i="2"/>
  <c r="G6" i="2"/>
  <c r="F7" i="2"/>
  <c r="G7" i="2"/>
  <c r="F8" i="2"/>
  <c r="G8" i="2"/>
  <c r="F9" i="2"/>
  <c r="G9" i="2"/>
  <c r="F10" i="2"/>
  <c r="G10" i="2"/>
  <c r="F11" i="2"/>
  <c r="G11" i="2"/>
  <c r="F12" i="2"/>
  <c r="G12" i="2"/>
  <c r="F13" i="2"/>
  <c r="G13" i="2"/>
  <c r="F14" i="2"/>
  <c r="G14" i="2"/>
  <c r="F15" i="2"/>
  <c r="G15" i="2"/>
  <c r="F16" i="2"/>
  <c r="G16" i="2"/>
  <c r="F17" i="2"/>
  <c r="G17" i="2"/>
  <c r="F18" i="2"/>
  <c r="G18" i="2"/>
  <c r="F19" i="2"/>
  <c r="G19" i="2"/>
  <c r="F20" i="2"/>
  <c r="G20" i="2"/>
  <c r="F21" i="2"/>
  <c r="G21" i="2"/>
  <c r="F22" i="2"/>
  <c r="G22" i="2"/>
  <c r="F23" i="2"/>
  <c r="G23" i="2"/>
  <c r="F24" i="2"/>
  <c r="G24" i="2"/>
  <c r="F25" i="2"/>
  <c r="G25" i="2"/>
  <c r="F26" i="2"/>
  <c r="G26" i="2"/>
  <c r="F27" i="2"/>
  <c r="G27" i="2"/>
  <c r="F28" i="2"/>
  <c r="G28" i="2"/>
  <c r="F29" i="2"/>
  <c r="G29" i="2"/>
  <c r="F30" i="2"/>
  <c r="G30" i="2"/>
  <c r="F31" i="2"/>
  <c r="G31" i="2"/>
  <c r="F32" i="2"/>
  <c r="G32" i="2"/>
  <c r="F33" i="2"/>
  <c r="G33" i="2"/>
  <c r="F34" i="2"/>
  <c r="G34" i="2"/>
  <c r="F35" i="2"/>
  <c r="G35" i="2"/>
  <c r="F36" i="2"/>
  <c r="G36" i="2"/>
  <c r="F37" i="2"/>
  <c r="G37" i="2"/>
  <c r="F38" i="2"/>
  <c r="G38" i="2"/>
  <c r="F39" i="2"/>
  <c r="G39" i="2"/>
  <c r="F40" i="2"/>
  <c r="G40" i="2"/>
  <c r="F41" i="2"/>
  <c r="G41" i="2"/>
  <c r="F42" i="2"/>
  <c r="G42" i="2"/>
  <c r="F43" i="2"/>
  <c r="G43" i="2"/>
  <c r="F44" i="2"/>
  <c r="G44" i="2"/>
  <c r="F45" i="2"/>
  <c r="G45" i="2"/>
  <c r="F46" i="2"/>
  <c r="G46" i="2"/>
  <c r="F47" i="2"/>
  <c r="G47" i="2"/>
  <c r="F48" i="2"/>
  <c r="G48" i="2"/>
  <c r="F49" i="2"/>
  <c r="G49" i="2"/>
  <c r="F50" i="2"/>
  <c r="G50" i="2"/>
  <c r="F51" i="2"/>
  <c r="G51" i="2"/>
  <c r="F52" i="2"/>
  <c r="G52" i="2"/>
  <c r="F53" i="2"/>
  <c r="G53" i="2"/>
  <c r="F54" i="2"/>
  <c r="G54" i="2"/>
  <c r="F55" i="2"/>
  <c r="G55" i="2"/>
  <c r="F56" i="2"/>
  <c r="G56" i="2"/>
  <c r="F57" i="2"/>
  <c r="G57" i="2"/>
  <c r="F58" i="2"/>
  <c r="G58" i="2"/>
  <c r="F59" i="2"/>
  <c r="G59" i="2"/>
  <c r="F60" i="2"/>
  <c r="G60" i="2"/>
  <c r="F61" i="2"/>
  <c r="G61" i="2"/>
  <c r="F62" i="2"/>
  <c r="G62" i="2"/>
  <c r="F63" i="2"/>
  <c r="G63" i="2"/>
  <c r="F64" i="2"/>
  <c r="G64" i="2"/>
  <c r="F65" i="2"/>
  <c r="G65" i="2"/>
  <c r="F66" i="2"/>
  <c r="G66" i="2"/>
  <c r="F67" i="2"/>
  <c r="G67" i="2"/>
  <c r="F68" i="2"/>
  <c r="G68" i="2"/>
  <c r="F69" i="2"/>
  <c r="G69" i="2"/>
  <c r="F70" i="2"/>
  <c r="G70" i="2"/>
  <c r="F71" i="2"/>
  <c r="G71" i="2"/>
  <c r="F72" i="2"/>
  <c r="G72" i="2"/>
  <c r="F73" i="2"/>
  <c r="G73" i="2"/>
  <c r="F74" i="2"/>
  <c r="G74" i="2"/>
  <c r="F75" i="2"/>
  <c r="G75" i="2"/>
  <c r="F76" i="2"/>
  <c r="G76" i="2"/>
  <c r="F77" i="2"/>
  <c r="G77" i="2"/>
  <c r="F78" i="2"/>
  <c r="G78" i="2"/>
  <c r="F79" i="2"/>
  <c r="G79" i="2"/>
  <c r="F80" i="2"/>
  <c r="G80" i="2"/>
  <c r="F81" i="2"/>
  <c r="G81" i="2"/>
  <c r="F82" i="2"/>
  <c r="G82" i="2"/>
  <c r="F83" i="2"/>
  <c r="G83" i="2"/>
  <c r="F84" i="2"/>
  <c r="G84" i="2"/>
  <c r="F85" i="2"/>
  <c r="G85" i="2"/>
  <c r="F86" i="2"/>
  <c r="G86" i="2"/>
  <c r="F87" i="2"/>
  <c r="G87" i="2"/>
  <c r="F88" i="2"/>
  <c r="G88" i="2"/>
  <c r="F89" i="2"/>
  <c r="G89" i="2"/>
  <c r="F90" i="2"/>
  <c r="G90" i="2"/>
  <c r="F91" i="2"/>
  <c r="G91" i="2"/>
  <c r="F92" i="2"/>
  <c r="G92" i="2"/>
  <c r="F93" i="2"/>
  <c r="G93" i="2"/>
  <c r="F94" i="2"/>
  <c r="G94" i="2"/>
  <c r="F95" i="2"/>
  <c r="G95" i="2"/>
  <c r="F96" i="2"/>
  <c r="G96" i="2"/>
  <c r="F97" i="2"/>
  <c r="G97" i="2"/>
  <c r="F98" i="2"/>
  <c r="G98" i="2"/>
  <c r="F99" i="2"/>
  <c r="G99" i="2"/>
  <c r="F100" i="2"/>
  <c r="G100" i="2"/>
  <c r="F101" i="2"/>
  <c r="G101" i="2"/>
  <c r="F102" i="2"/>
  <c r="G102" i="2"/>
  <c r="F103" i="2"/>
  <c r="G103" i="2"/>
  <c r="F104" i="2"/>
  <c r="G104" i="2"/>
  <c r="F105" i="2"/>
  <c r="G105" i="2"/>
  <c r="F106" i="2"/>
  <c r="G106" i="2"/>
  <c r="F107" i="2"/>
  <c r="G107" i="2"/>
  <c r="F108" i="2"/>
  <c r="G108" i="2"/>
  <c r="F109" i="2"/>
  <c r="G109" i="2"/>
  <c r="F110" i="2"/>
  <c r="G110" i="2"/>
  <c r="F111" i="2"/>
  <c r="G111" i="2"/>
  <c r="F112" i="2"/>
  <c r="G112" i="2"/>
  <c r="F113" i="2"/>
  <c r="G113" i="2"/>
  <c r="F114" i="2"/>
  <c r="G114" i="2"/>
  <c r="F115" i="2"/>
  <c r="G115" i="2"/>
  <c r="F116" i="2"/>
  <c r="G116" i="2"/>
  <c r="F117" i="2"/>
  <c r="G117" i="2"/>
  <c r="F118" i="2"/>
  <c r="G118" i="2"/>
  <c r="F119" i="2"/>
  <c r="G119" i="2"/>
  <c r="F120" i="2"/>
  <c r="G120" i="2"/>
  <c r="F121" i="2"/>
  <c r="G121" i="2"/>
  <c r="F122" i="2"/>
  <c r="G122" i="2"/>
  <c r="F123" i="2"/>
  <c r="G123" i="2"/>
  <c r="F124" i="2"/>
  <c r="G124" i="2"/>
  <c r="F125" i="2"/>
  <c r="G125" i="2"/>
  <c r="F126" i="2"/>
  <c r="G126" i="2"/>
  <c r="F127" i="2"/>
  <c r="G127" i="2"/>
  <c r="F128" i="2"/>
  <c r="G128" i="2"/>
  <c r="F129" i="2"/>
  <c r="G129" i="2"/>
  <c r="F130" i="2"/>
  <c r="G130" i="2"/>
  <c r="F131" i="2"/>
  <c r="G131" i="2"/>
  <c r="F132" i="2"/>
  <c r="G132" i="2"/>
  <c r="F133" i="2"/>
  <c r="G133" i="2"/>
  <c r="F134" i="2"/>
  <c r="G134" i="2"/>
  <c r="F135" i="2"/>
  <c r="G135" i="2"/>
  <c r="F136" i="2"/>
  <c r="G136" i="2"/>
  <c r="F137" i="2"/>
  <c r="G137" i="2"/>
  <c r="F138" i="2"/>
  <c r="G138" i="2"/>
  <c r="F139" i="2"/>
  <c r="G139" i="2"/>
  <c r="F140" i="2"/>
  <c r="G140" i="2"/>
  <c r="F141" i="2"/>
  <c r="G141" i="2"/>
  <c r="F142" i="2"/>
  <c r="G142" i="2"/>
  <c r="F143" i="2"/>
  <c r="G143" i="2"/>
  <c r="F144" i="2"/>
  <c r="G144" i="2"/>
  <c r="F145" i="2"/>
  <c r="G145" i="2"/>
  <c r="F146" i="2"/>
  <c r="G146" i="2"/>
  <c r="F147" i="2"/>
  <c r="G147" i="2"/>
  <c r="F148" i="2"/>
  <c r="G148" i="2"/>
  <c r="F149" i="2"/>
  <c r="G149" i="2"/>
  <c r="F150" i="2"/>
  <c r="G150" i="2"/>
  <c r="F151" i="2"/>
  <c r="G151" i="2"/>
  <c r="F152" i="2"/>
  <c r="G152" i="2"/>
  <c r="F153" i="2"/>
  <c r="G153" i="2"/>
  <c r="F154" i="2"/>
  <c r="G154" i="2"/>
  <c r="F155" i="2"/>
  <c r="G155" i="2"/>
  <c r="F156" i="2"/>
  <c r="G156" i="2"/>
  <c r="F157" i="2"/>
  <c r="G157" i="2"/>
  <c r="F158" i="2"/>
  <c r="G158" i="2"/>
  <c r="F159" i="2"/>
  <c r="G159" i="2"/>
  <c r="F160" i="2"/>
  <c r="G160" i="2"/>
  <c r="F161" i="2"/>
  <c r="G161" i="2"/>
  <c r="F162" i="2"/>
  <c r="G162" i="2"/>
  <c r="F163" i="2"/>
  <c r="G163" i="2"/>
  <c r="F164" i="2"/>
  <c r="G164" i="2"/>
  <c r="F165" i="2"/>
  <c r="G165" i="2"/>
  <c r="F166" i="2"/>
  <c r="G166" i="2"/>
  <c r="F167" i="2"/>
  <c r="G167" i="2"/>
  <c r="F168" i="2"/>
  <c r="G168" i="2"/>
  <c r="F169" i="2"/>
  <c r="G169" i="2"/>
  <c r="F170" i="2"/>
  <c r="G170" i="2"/>
  <c r="F171" i="2"/>
  <c r="G171" i="2"/>
  <c r="F172" i="2"/>
  <c r="G172" i="2"/>
  <c r="F173" i="2"/>
  <c r="G173" i="2"/>
  <c r="F174" i="2"/>
  <c r="G174" i="2"/>
  <c r="F175" i="2"/>
  <c r="G175" i="2"/>
  <c r="F176" i="2"/>
  <c r="G176" i="2"/>
  <c r="F177" i="2"/>
  <c r="G177" i="2"/>
  <c r="F178" i="2"/>
  <c r="G178" i="2"/>
  <c r="F179" i="2"/>
  <c r="G179" i="2"/>
  <c r="F180" i="2"/>
  <c r="G180" i="2"/>
  <c r="F181" i="2"/>
  <c r="G181" i="2"/>
  <c r="F182" i="2"/>
  <c r="G182" i="2"/>
  <c r="F183" i="2"/>
  <c r="G183" i="2"/>
  <c r="F184" i="2"/>
  <c r="G184" i="2"/>
  <c r="F185" i="2"/>
  <c r="G185" i="2"/>
  <c r="F186" i="2"/>
  <c r="G186" i="2"/>
  <c r="F187" i="2"/>
  <c r="G187" i="2"/>
  <c r="F188" i="2"/>
  <c r="G188" i="2"/>
  <c r="F189" i="2"/>
  <c r="G189" i="2"/>
  <c r="F190" i="2"/>
  <c r="G190" i="2"/>
  <c r="F191" i="2"/>
  <c r="G191" i="2"/>
  <c r="F192" i="2"/>
  <c r="G192" i="2"/>
  <c r="F193" i="2"/>
  <c r="G193" i="2"/>
  <c r="F194" i="2"/>
  <c r="G194" i="2"/>
  <c r="F195" i="2"/>
  <c r="G195" i="2"/>
  <c r="F196" i="2"/>
  <c r="G196" i="2"/>
  <c r="F197" i="2"/>
  <c r="G197" i="2"/>
  <c r="F198" i="2"/>
  <c r="G198" i="2"/>
  <c r="F199" i="2"/>
  <c r="G199" i="2"/>
  <c r="F200" i="2"/>
  <c r="G200" i="2"/>
  <c r="F201" i="2"/>
  <c r="G201" i="2"/>
  <c r="F202" i="2"/>
  <c r="G202" i="2"/>
  <c r="F203" i="2"/>
  <c r="G203" i="2"/>
  <c r="F204" i="2"/>
  <c r="G204" i="2"/>
  <c r="F205" i="2"/>
  <c r="G205" i="2"/>
  <c r="F206" i="2"/>
  <c r="G206" i="2"/>
  <c r="F207" i="2"/>
  <c r="G207" i="2"/>
  <c r="F208" i="2"/>
  <c r="G208" i="2"/>
  <c r="F209" i="2"/>
  <c r="G209" i="2"/>
  <c r="F210" i="2"/>
  <c r="G210" i="2"/>
  <c r="F211" i="2"/>
  <c r="G211" i="2"/>
  <c r="F212" i="2"/>
  <c r="G212" i="2"/>
  <c r="F213" i="2"/>
  <c r="G213" i="2"/>
  <c r="F214" i="2"/>
  <c r="G214" i="2"/>
  <c r="F215" i="2"/>
  <c r="G215" i="2"/>
  <c r="F216" i="2"/>
  <c r="G216" i="2"/>
  <c r="F217" i="2"/>
  <c r="G217" i="2"/>
  <c r="F218" i="2"/>
  <c r="G218" i="2"/>
  <c r="F219" i="2"/>
  <c r="G219" i="2"/>
  <c r="F220" i="2"/>
  <c r="G220" i="2"/>
  <c r="F221" i="2"/>
  <c r="G221" i="2"/>
  <c r="F222" i="2"/>
  <c r="G222" i="2"/>
  <c r="F223" i="2"/>
  <c r="G223" i="2"/>
  <c r="F224" i="2"/>
  <c r="G224" i="2"/>
  <c r="F225" i="2"/>
  <c r="G225" i="2"/>
  <c r="F226" i="2"/>
  <c r="G226" i="2"/>
  <c r="F227" i="2"/>
  <c r="G227" i="2"/>
  <c r="F228" i="2"/>
  <c r="G228" i="2"/>
  <c r="F229" i="2"/>
  <c r="G229" i="2"/>
  <c r="F230" i="2"/>
  <c r="G230" i="2"/>
  <c r="F231" i="2"/>
  <c r="G231" i="2"/>
  <c r="F232" i="2"/>
  <c r="G232" i="2"/>
  <c r="F233" i="2"/>
  <c r="G233" i="2"/>
  <c r="F234" i="2"/>
  <c r="G234" i="2"/>
  <c r="F235" i="2"/>
  <c r="G235" i="2"/>
  <c r="F236" i="2"/>
  <c r="G236" i="2"/>
  <c r="F237" i="2"/>
  <c r="G237" i="2"/>
  <c r="F238" i="2"/>
  <c r="G238" i="2"/>
  <c r="F239" i="2"/>
  <c r="G239" i="2"/>
  <c r="F240" i="2"/>
  <c r="G240" i="2"/>
  <c r="F241" i="2"/>
  <c r="G241" i="2"/>
  <c r="F242" i="2"/>
  <c r="G242" i="2"/>
  <c r="F243" i="2"/>
  <c r="G243" i="2"/>
  <c r="F244" i="2"/>
  <c r="G244" i="2"/>
  <c r="F245" i="2"/>
  <c r="G245" i="2"/>
  <c r="F246" i="2"/>
  <c r="G246" i="2"/>
  <c r="F247" i="2"/>
  <c r="G247" i="2"/>
  <c r="F248" i="2"/>
  <c r="G248" i="2"/>
  <c r="F249" i="2"/>
  <c r="G249" i="2"/>
  <c r="F250" i="2"/>
  <c r="G250" i="2"/>
  <c r="F251" i="2"/>
  <c r="G251" i="2"/>
  <c r="F252" i="2"/>
  <c r="G252" i="2"/>
  <c r="F253" i="2"/>
  <c r="G253" i="2"/>
  <c r="F254" i="2"/>
  <c r="G254" i="2"/>
  <c r="F255" i="2"/>
  <c r="G255" i="2"/>
  <c r="F256" i="2"/>
  <c r="G256" i="2"/>
  <c r="F257" i="2"/>
  <c r="G257" i="2"/>
  <c r="F258" i="2"/>
  <c r="G258" i="2"/>
  <c r="F259" i="2"/>
  <c r="G259" i="2"/>
  <c r="F260" i="2"/>
  <c r="G260" i="2"/>
  <c r="F261" i="2"/>
  <c r="G261" i="2"/>
  <c r="F262" i="2"/>
  <c r="G262" i="2"/>
  <c r="F263" i="2"/>
  <c r="G263" i="2"/>
  <c r="F264" i="2"/>
  <c r="G264" i="2"/>
  <c r="F265" i="2"/>
  <c r="G265" i="2"/>
  <c r="F266" i="2"/>
  <c r="G266" i="2"/>
  <c r="F267" i="2"/>
  <c r="G267" i="2"/>
  <c r="F268" i="2"/>
  <c r="G268" i="2"/>
  <c r="F269" i="2"/>
  <c r="G269" i="2"/>
  <c r="F270" i="2"/>
  <c r="G270" i="2"/>
  <c r="F271" i="2"/>
  <c r="G271" i="2"/>
  <c r="F272" i="2"/>
  <c r="G272" i="2"/>
  <c r="F273" i="2"/>
  <c r="G273" i="2"/>
  <c r="F274" i="2"/>
  <c r="G274" i="2"/>
  <c r="F275" i="2"/>
  <c r="G275" i="2"/>
  <c r="F276" i="2"/>
  <c r="G276" i="2"/>
  <c r="F277" i="2"/>
  <c r="G277" i="2"/>
  <c r="F4" i="2"/>
  <c r="G4" i="2"/>
  <c r="G3" i="2"/>
  <c r="F3" i="2"/>
  <c r="AZ4" i="2"/>
  <c r="BA4" i="2"/>
  <c r="BN4" i="2" s="1"/>
  <c r="BB4" i="2"/>
  <c r="BO4" i="2" s="1"/>
  <c r="BC4" i="2"/>
  <c r="BP4" i="2" s="1"/>
  <c r="BD4" i="2"/>
  <c r="BQ4" i="2" s="1"/>
  <c r="BE4" i="2"/>
  <c r="BR4" i="2" s="1"/>
  <c r="BF4" i="2"/>
  <c r="BS4" i="2" s="1"/>
  <c r="BG4" i="2"/>
  <c r="BT4" i="2" s="1"/>
  <c r="BH4" i="2"/>
  <c r="BU4" i="2" s="1"/>
  <c r="BI4" i="2"/>
  <c r="BV4" i="2" s="1"/>
  <c r="BJ4" i="2"/>
  <c r="BW4" i="2" s="1"/>
  <c r="BK4" i="2"/>
  <c r="BX4" i="2" s="1"/>
  <c r="AZ5" i="2"/>
  <c r="BA5" i="2"/>
  <c r="BN5" i="2" s="1"/>
  <c r="BB5" i="2"/>
  <c r="BO5" i="2" s="1"/>
  <c r="BC5" i="2"/>
  <c r="BP5" i="2" s="1"/>
  <c r="BD5" i="2"/>
  <c r="BQ5" i="2" s="1"/>
  <c r="BE5" i="2"/>
  <c r="BR5" i="2" s="1"/>
  <c r="BF5" i="2"/>
  <c r="BG5" i="2"/>
  <c r="BT5" i="2" s="1"/>
  <c r="BH5" i="2"/>
  <c r="BU5" i="2" s="1"/>
  <c r="BI5" i="2"/>
  <c r="BV5" i="2" s="1"/>
  <c r="BJ5" i="2"/>
  <c r="BW5" i="2" s="1"/>
  <c r="BK5" i="2"/>
  <c r="BX5" i="2" s="1"/>
  <c r="AZ6" i="2"/>
  <c r="BA6" i="2"/>
  <c r="BN6" i="2" s="1"/>
  <c r="BB6" i="2"/>
  <c r="BO6" i="2" s="1"/>
  <c r="BC6" i="2"/>
  <c r="BP6" i="2" s="1"/>
  <c r="BD6" i="2"/>
  <c r="BQ6" i="2" s="1"/>
  <c r="BE6" i="2"/>
  <c r="BR6" i="2" s="1"/>
  <c r="BF6" i="2"/>
  <c r="BS6" i="2" s="1"/>
  <c r="BG6" i="2"/>
  <c r="BH6" i="2"/>
  <c r="BU6" i="2" s="1"/>
  <c r="BI6" i="2"/>
  <c r="BV6" i="2" s="1"/>
  <c r="BJ6" i="2"/>
  <c r="BW6" i="2" s="1"/>
  <c r="BK6" i="2"/>
  <c r="BX6" i="2" s="1"/>
  <c r="AZ7" i="2"/>
  <c r="BA7" i="2"/>
  <c r="BN7" i="2" s="1"/>
  <c r="BB7" i="2"/>
  <c r="BO7" i="2" s="1"/>
  <c r="BC7" i="2"/>
  <c r="BD7" i="2"/>
  <c r="BQ7" i="2" s="1"/>
  <c r="BE7" i="2"/>
  <c r="BR7" i="2" s="1"/>
  <c r="BF7" i="2"/>
  <c r="BS7" i="2" s="1"/>
  <c r="BG7" i="2"/>
  <c r="BT7" i="2" s="1"/>
  <c r="BH7" i="2"/>
  <c r="BU7" i="2" s="1"/>
  <c r="BI7" i="2"/>
  <c r="BV7" i="2" s="1"/>
  <c r="BJ7" i="2"/>
  <c r="BW7" i="2" s="1"/>
  <c r="BK7" i="2"/>
  <c r="AZ8" i="2"/>
  <c r="BA8" i="2"/>
  <c r="BN8" i="2" s="1"/>
  <c r="BB8" i="2"/>
  <c r="BO8" i="2" s="1"/>
  <c r="BC8" i="2"/>
  <c r="BP8" i="2" s="1"/>
  <c r="BD8" i="2"/>
  <c r="BQ8" i="2" s="1"/>
  <c r="BE8" i="2"/>
  <c r="BR8" i="2" s="1"/>
  <c r="BF8" i="2"/>
  <c r="BS8" i="2" s="1"/>
  <c r="BG8" i="2"/>
  <c r="BT8" i="2" s="1"/>
  <c r="BH8" i="2"/>
  <c r="BU8" i="2" s="1"/>
  <c r="BI8" i="2"/>
  <c r="BV8" i="2" s="1"/>
  <c r="BJ8" i="2"/>
  <c r="BW8" i="2" s="1"/>
  <c r="BK8" i="2"/>
  <c r="BX8" i="2" s="1"/>
  <c r="AZ9" i="2"/>
  <c r="BA9" i="2"/>
  <c r="BN9" i="2" s="1"/>
  <c r="BB9" i="2"/>
  <c r="BO9" i="2" s="1"/>
  <c r="BC9" i="2"/>
  <c r="BP9" i="2" s="1"/>
  <c r="BD9" i="2"/>
  <c r="BQ9" i="2" s="1"/>
  <c r="BE9" i="2"/>
  <c r="BR9" i="2" s="1"/>
  <c r="BF9" i="2"/>
  <c r="BG9" i="2"/>
  <c r="BT9" i="2" s="1"/>
  <c r="BH9" i="2"/>
  <c r="BU9" i="2" s="1"/>
  <c r="BI9" i="2"/>
  <c r="BV9" i="2" s="1"/>
  <c r="BJ9" i="2"/>
  <c r="BW9" i="2" s="1"/>
  <c r="BK9" i="2"/>
  <c r="BX9" i="2" s="1"/>
  <c r="AZ10" i="2"/>
  <c r="BA10" i="2"/>
  <c r="BN10" i="2" s="1"/>
  <c r="BB10" i="2"/>
  <c r="BO10" i="2" s="1"/>
  <c r="BC10" i="2"/>
  <c r="BP10" i="2" s="1"/>
  <c r="BD10" i="2"/>
  <c r="BQ10" i="2" s="1"/>
  <c r="BE10" i="2"/>
  <c r="BR10" i="2" s="1"/>
  <c r="BF10" i="2"/>
  <c r="BS10" i="2" s="1"/>
  <c r="BG10" i="2"/>
  <c r="BH10" i="2"/>
  <c r="BU10" i="2" s="1"/>
  <c r="BI10" i="2"/>
  <c r="BV10" i="2" s="1"/>
  <c r="BJ10" i="2"/>
  <c r="BW10" i="2" s="1"/>
  <c r="BK10" i="2"/>
  <c r="BX10" i="2" s="1"/>
  <c r="AZ11" i="2"/>
  <c r="BA11" i="2"/>
  <c r="BN11" i="2" s="1"/>
  <c r="BB11" i="2"/>
  <c r="BO11" i="2" s="1"/>
  <c r="BC11" i="2"/>
  <c r="BD11" i="2"/>
  <c r="BQ11" i="2" s="1"/>
  <c r="BE11" i="2"/>
  <c r="BR11" i="2" s="1"/>
  <c r="BF11" i="2"/>
  <c r="BS11" i="2" s="1"/>
  <c r="BG11" i="2"/>
  <c r="BT11" i="2" s="1"/>
  <c r="BH11" i="2"/>
  <c r="BU11" i="2" s="1"/>
  <c r="BI11" i="2"/>
  <c r="BV11" i="2" s="1"/>
  <c r="BJ11" i="2"/>
  <c r="BW11" i="2" s="1"/>
  <c r="BK11" i="2"/>
  <c r="AZ12" i="2"/>
  <c r="BA12" i="2"/>
  <c r="BN12" i="2" s="1"/>
  <c r="BB12" i="2"/>
  <c r="BO12" i="2" s="1"/>
  <c r="BC12" i="2"/>
  <c r="BP12" i="2" s="1"/>
  <c r="BD12" i="2"/>
  <c r="BQ12" i="2" s="1"/>
  <c r="BE12" i="2"/>
  <c r="BR12" i="2" s="1"/>
  <c r="BF12" i="2"/>
  <c r="BS12" i="2" s="1"/>
  <c r="BG12" i="2"/>
  <c r="BT12" i="2" s="1"/>
  <c r="BH12" i="2"/>
  <c r="BU12" i="2" s="1"/>
  <c r="BI12" i="2"/>
  <c r="BV12" i="2" s="1"/>
  <c r="BJ12" i="2"/>
  <c r="BW12" i="2" s="1"/>
  <c r="BK12" i="2"/>
  <c r="BX12" i="2" s="1"/>
  <c r="AZ13" i="2"/>
  <c r="BA13" i="2"/>
  <c r="BN13" i="2" s="1"/>
  <c r="BB13" i="2"/>
  <c r="BO13" i="2" s="1"/>
  <c r="BC13" i="2"/>
  <c r="BP13" i="2" s="1"/>
  <c r="BD13" i="2"/>
  <c r="BQ13" i="2" s="1"/>
  <c r="BE13" i="2"/>
  <c r="BR13" i="2" s="1"/>
  <c r="BF13" i="2"/>
  <c r="BG13" i="2"/>
  <c r="BT13" i="2" s="1"/>
  <c r="BH13" i="2"/>
  <c r="BU13" i="2" s="1"/>
  <c r="BI13" i="2"/>
  <c r="BV13" i="2" s="1"/>
  <c r="BJ13" i="2"/>
  <c r="BW13" i="2" s="1"/>
  <c r="BK13" i="2"/>
  <c r="BX13" i="2" s="1"/>
  <c r="AZ14" i="2"/>
  <c r="BA14" i="2"/>
  <c r="BN14" i="2" s="1"/>
  <c r="BB14" i="2"/>
  <c r="BO14" i="2" s="1"/>
  <c r="BC14" i="2"/>
  <c r="BP14" i="2" s="1"/>
  <c r="BD14" i="2"/>
  <c r="BQ14" i="2" s="1"/>
  <c r="BE14" i="2"/>
  <c r="BR14" i="2" s="1"/>
  <c r="BF14" i="2"/>
  <c r="BS14" i="2" s="1"/>
  <c r="BG14" i="2"/>
  <c r="BH14" i="2"/>
  <c r="BU14" i="2" s="1"/>
  <c r="BI14" i="2"/>
  <c r="BV14" i="2" s="1"/>
  <c r="BJ14" i="2"/>
  <c r="BW14" i="2" s="1"/>
  <c r="BK14" i="2"/>
  <c r="BX14" i="2" s="1"/>
  <c r="AZ15" i="2"/>
  <c r="BA15" i="2"/>
  <c r="BN15" i="2" s="1"/>
  <c r="BB15" i="2"/>
  <c r="BO15" i="2" s="1"/>
  <c r="BC15" i="2"/>
  <c r="BD15" i="2"/>
  <c r="BQ15" i="2" s="1"/>
  <c r="BE15" i="2"/>
  <c r="BR15" i="2" s="1"/>
  <c r="BF15" i="2"/>
  <c r="BS15" i="2" s="1"/>
  <c r="BG15" i="2"/>
  <c r="BT15" i="2" s="1"/>
  <c r="BH15" i="2"/>
  <c r="BU15" i="2" s="1"/>
  <c r="BI15" i="2"/>
  <c r="BV15" i="2" s="1"/>
  <c r="BJ15" i="2"/>
  <c r="BW15" i="2" s="1"/>
  <c r="BK15" i="2"/>
  <c r="AZ16" i="2"/>
  <c r="BA16" i="2"/>
  <c r="BN16" i="2" s="1"/>
  <c r="BB16" i="2"/>
  <c r="BO16" i="2" s="1"/>
  <c r="BC16" i="2"/>
  <c r="BP16" i="2" s="1"/>
  <c r="BD16" i="2"/>
  <c r="BQ16" i="2" s="1"/>
  <c r="BE16" i="2"/>
  <c r="BR16" i="2" s="1"/>
  <c r="BF16" i="2"/>
  <c r="BS16" i="2" s="1"/>
  <c r="BG16" i="2"/>
  <c r="BT16" i="2" s="1"/>
  <c r="BH16" i="2"/>
  <c r="BU16" i="2" s="1"/>
  <c r="BI16" i="2"/>
  <c r="BV16" i="2" s="1"/>
  <c r="BJ16" i="2"/>
  <c r="BW16" i="2" s="1"/>
  <c r="BK16" i="2"/>
  <c r="BX16" i="2" s="1"/>
  <c r="AZ17" i="2"/>
  <c r="BA17" i="2"/>
  <c r="BN17" i="2" s="1"/>
  <c r="BB17" i="2"/>
  <c r="BO17" i="2" s="1"/>
  <c r="BC17" i="2"/>
  <c r="BP17" i="2" s="1"/>
  <c r="BD17" i="2"/>
  <c r="BQ17" i="2" s="1"/>
  <c r="BE17" i="2"/>
  <c r="BR17" i="2" s="1"/>
  <c r="BF17" i="2"/>
  <c r="BG17" i="2"/>
  <c r="BT17" i="2" s="1"/>
  <c r="BH17" i="2"/>
  <c r="BU17" i="2" s="1"/>
  <c r="BI17" i="2"/>
  <c r="BV17" i="2" s="1"/>
  <c r="BJ17" i="2"/>
  <c r="BW17" i="2" s="1"/>
  <c r="BK17" i="2"/>
  <c r="BX17" i="2" s="1"/>
  <c r="AZ18" i="2"/>
  <c r="BA18" i="2"/>
  <c r="BN18" i="2" s="1"/>
  <c r="BB18" i="2"/>
  <c r="BO18" i="2" s="1"/>
  <c r="BC18" i="2"/>
  <c r="BP18" i="2" s="1"/>
  <c r="BD18" i="2"/>
  <c r="BQ18" i="2" s="1"/>
  <c r="BE18" i="2"/>
  <c r="BR18" i="2" s="1"/>
  <c r="BF18" i="2"/>
  <c r="BS18" i="2" s="1"/>
  <c r="BG18" i="2"/>
  <c r="BH18" i="2"/>
  <c r="BU18" i="2" s="1"/>
  <c r="BI18" i="2"/>
  <c r="BV18" i="2" s="1"/>
  <c r="BJ18" i="2"/>
  <c r="BW18" i="2" s="1"/>
  <c r="BK18" i="2"/>
  <c r="BX18" i="2" s="1"/>
  <c r="AZ19" i="2"/>
  <c r="BA19" i="2"/>
  <c r="BN19" i="2" s="1"/>
  <c r="BB19" i="2"/>
  <c r="BO19" i="2" s="1"/>
  <c r="BC19" i="2"/>
  <c r="BD19" i="2"/>
  <c r="BQ19" i="2" s="1"/>
  <c r="BE19" i="2"/>
  <c r="BR19" i="2" s="1"/>
  <c r="BF19" i="2"/>
  <c r="BS19" i="2" s="1"/>
  <c r="BG19" i="2"/>
  <c r="BT19" i="2" s="1"/>
  <c r="BH19" i="2"/>
  <c r="BU19" i="2" s="1"/>
  <c r="BI19" i="2"/>
  <c r="BV19" i="2" s="1"/>
  <c r="BJ19" i="2"/>
  <c r="BW19" i="2" s="1"/>
  <c r="BK19" i="2"/>
  <c r="AZ20" i="2"/>
  <c r="BA20" i="2"/>
  <c r="BN20" i="2" s="1"/>
  <c r="BB20" i="2"/>
  <c r="BO20" i="2" s="1"/>
  <c r="BC20" i="2"/>
  <c r="BP20" i="2" s="1"/>
  <c r="BD20" i="2"/>
  <c r="BQ20" i="2" s="1"/>
  <c r="BE20" i="2"/>
  <c r="BR20" i="2" s="1"/>
  <c r="BF20" i="2"/>
  <c r="BS20" i="2" s="1"/>
  <c r="BG20" i="2"/>
  <c r="BT20" i="2" s="1"/>
  <c r="BH20" i="2"/>
  <c r="BU20" i="2" s="1"/>
  <c r="BI20" i="2"/>
  <c r="BV20" i="2" s="1"/>
  <c r="BJ20" i="2"/>
  <c r="BW20" i="2" s="1"/>
  <c r="BK20" i="2"/>
  <c r="BX20" i="2" s="1"/>
  <c r="AZ21" i="2"/>
  <c r="BA21" i="2"/>
  <c r="BN21" i="2" s="1"/>
  <c r="BB21" i="2"/>
  <c r="BO21" i="2" s="1"/>
  <c r="BC21" i="2"/>
  <c r="BP21" i="2" s="1"/>
  <c r="BD21" i="2"/>
  <c r="BQ21" i="2" s="1"/>
  <c r="BE21" i="2"/>
  <c r="BR21" i="2" s="1"/>
  <c r="BF21" i="2"/>
  <c r="BG21" i="2"/>
  <c r="BT21" i="2" s="1"/>
  <c r="BH21" i="2"/>
  <c r="BU21" i="2" s="1"/>
  <c r="BI21" i="2"/>
  <c r="BV21" i="2" s="1"/>
  <c r="BJ21" i="2"/>
  <c r="BW21" i="2" s="1"/>
  <c r="BK21" i="2"/>
  <c r="BX21" i="2" s="1"/>
  <c r="AZ22" i="2"/>
  <c r="BA22" i="2"/>
  <c r="BB22" i="2"/>
  <c r="BO22" i="2" s="1"/>
  <c r="BC22" i="2"/>
  <c r="BP22" i="2" s="1"/>
  <c r="BD22" i="2"/>
  <c r="BQ22" i="2" s="1"/>
  <c r="BE22" i="2"/>
  <c r="BR22" i="2" s="1"/>
  <c r="BF22" i="2"/>
  <c r="BS22" i="2" s="1"/>
  <c r="BG22" i="2"/>
  <c r="BH22" i="2"/>
  <c r="BU22" i="2" s="1"/>
  <c r="BI22" i="2"/>
  <c r="BV22" i="2" s="1"/>
  <c r="BJ22" i="2"/>
  <c r="BW22" i="2" s="1"/>
  <c r="BK22" i="2"/>
  <c r="BX22" i="2" s="1"/>
  <c r="AZ23" i="2"/>
  <c r="BA23" i="2"/>
  <c r="BN23" i="2" s="1"/>
  <c r="BB23" i="2"/>
  <c r="BO23" i="2" s="1"/>
  <c r="BC23" i="2"/>
  <c r="BD23" i="2"/>
  <c r="BQ23" i="2" s="1"/>
  <c r="BE23" i="2"/>
  <c r="BR23" i="2" s="1"/>
  <c r="BF23" i="2"/>
  <c r="BS23" i="2" s="1"/>
  <c r="BG23" i="2"/>
  <c r="BT23" i="2" s="1"/>
  <c r="BH23" i="2"/>
  <c r="BU23" i="2" s="1"/>
  <c r="BI23" i="2"/>
  <c r="BV23" i="2" s="1"/>
  <c r="BJ23" i="2"/>
  <c r="BW23" i="2" s="1"/>
  <c r="BK23" i="2"/>
  <c r="AZ24" i="2"/>
  <c r="BA24" i="2"/>
  <c r="BN24" i="2" s="1"/>
  <c r="BB24" i="2"/>
  <c r="BO24" i="2" s="1"/>
  <c r="BC24" i="2"/>
  <c r="BP24" i="2" s="1"/>
  <c r="BD24" i="2"/>
  <c r="BQ24" i="2" s="1"/>
  <c r="BE24" i="2"/>
  <c r="BR24" i="2" s="1"/>
  <c r="BF24" i="2"/>
  <c r="BG24" i="2"/>
  <c r="BT24" i="2" s="1"/>
  <c r="BH24" i="2"/>
  <c r="BU24" i="2" s="1"/>
  <c r="BI24" i="2"/>
  <c r="BV24" i="2" s="1"/>
  <c r="BJ24" i="2"/>
  <c r="BW24" i="2" s="1"/>
  <c r="BK24" i="2"/>
  <c r="BX24" i="2" s="1"/>
  <c r="AZ25" i="2"/>
  <c r="BA25" i="2"/>
  <c r="BN25" i="2" s="1"/>
  <c r="BB25" i="2"/>
  <c r="BO25" i="2" s="1"/>
  <c r="BC25" i="2"/>
  <c r="BP25" i="2" s="1"/>
  <c r="BD25" i="2"/>
  <c r="BQ25" i="2" s="1"/>
  <c r="BE25" i="2"/>
  <c r="BR25" i="2" s="1"/>
  <c r="BF25" i="2"/>
  <c r="BS25" i="2" s="1"/>
  <c r="BG25" i="2"/>
  <c r="BH25" i="2"/>
  <c r="BU25" i="2" s="1"/>
  <c r="BI25" i="2"/>
  <c r="BV25" i="2" s="1"/>
  <c r="BJ25" i="2"/>
  <c r="BW25" i="2" s="1"/>
  <c r="BK25" i="2"/>
  <c r="BX25" i="2" s="1"/>
  <c r="AZ26" i="2"/>
  <c r="BA26" i="2"/>
  <c r="BN26" i="2" s="1"/>
  <c r="BB26" i="2"/>
  <c r="BO26" i="2" s="1"/>
  <c r="BC26" i="2"/>
  <c r="BD26" i="2"/>
  <c r="BQ26" i="2" s="1"/>
  <c r="BE26" i="2"/>
  <c r="BR26" i="2" s="1"/>
  <c r="BF26" i="2"/>
  <c r="BS26" i="2" s="1"/>
  <c r="BG26" i="2"/>
  <c r="BT26" i="2" s="1"/>
  <c r="BH26" i="2"/>
  <c r="BU26" i="2" s="1"/>
  <c r="BI26" i="2"/>
  <c r="BV26" i="2" s="1"/>
  <c r="BJ26" i="2"/>
  <c r="BW26" i="2" s="1"/>
  <c r="BK26" i="2"/>
  <c r="AZ27" i="2"/>
  <c r="BA27" i="2"/>
  <c r="BN27" i="2" s="1"/>
  <c r="BB27" i="2"/>
  <c r="BO27" i="2" s="1"/>
  <c r="BC27" i="2"/>
  <c r="BP27" i="2" s="1"/>
  <c r="BD27" i="2"/>
  <c r="BQ27" i="2" s="1"/>
  <c r="BE27" i="2"/>
  <c r="BR27" i="2" s="1"/>
  <c r="BF27" i="2"/>
  <c r="BS27" i="2" s="1"/>
  <c r="BG27" i="2"/>
  <c r="BT27" i="2" s="1"/>
  <c r="BH27" i="2"/>
  <c r="BU27" i="2" s="1"/>
  <c r="BI27" i="2"/>
  <c r="BV27" i="2" s="1"/>
  <c r="BJ27" i="2"/>
  <c r="BW27" i="2" s="1"/>
  <c r="BK27" i="2"/>
  <c r="BX27" i="2" s="1"/>
  <c r="AZ28" i="2"/>
  <c r="BA28" i="2"/>
  <c r="BN28" i="2" s="1"/>
  <c r="BB28" i="2"/>
  <c r="BO28" i="2" s="1"/>
  <c r="BC28" i="2"/>
  <c r="BP28" i="2" s="1"/>
  <c r="BD28" i="2"/>
  <c r="BQ28" i="2" s="1"/>
  <c r="BE28" i="2"/>
  <c r="BR28" i="2" s="1"/>
  <c r="BF28" i="2"/>
  <c r="BG28" i="2"/>
  <c r="BT28" i="2" s="1"/>
  <c r="BH28" i="2"/>
  <c r="BU28" i="2" s="1"/>
  <c r="BI28" i="2"/>
  <c r="BV28" i="2" s="1"/>
  <c r="BJ28" i="2"/>
  <c r="BW28" i="2" s="1"/>
  <c r="BK28" i="2"/>
  <c r="BX28" i="2" s="1"/>
  <c r="AZ29" i="2"/>
  <c r="BA29" i="2"/>
  <c r="BB29" i="2"/>
  <c r="BO29" i="2" s="1"/>
  <c r="BC29" i="2"/>
  <c r="BP29" i="2" s="1"/>
  <c r="BD29" i="2"/>
  <c r="BQ29" i="2" s="1"/>
  <c r="BE29" i="2"/>
  <c r="BR29" i="2" s="1"/>
  <c r="BF29" i="2"/>
  <c r="BS29" i="2" s="1"/>
  <c r="BG29" i="2"/>
  <c r="BH29" i="2"/>
  <c r="BU29" i="2" s="1"/>
  <c r="BI29" i="2"/>
  <c r="BV29" i="2" s="1"/>
  <c r="BJ29" i="2"/>
  <c r="BW29" i="2" s="1"/>
  <c r="BK29" i="2"/>
  <c r="BX29" i="2" s="1"/>
  <c r="AZ30" i="2"/>
  <c r="BA30" i="2"/>
  <c r="BN30" i="2" s="1"/>
  <c r="BB30" i="2"/>
  <c r="BO30" i="2" s="1"/>
  <c r="BC30" i="2"/>
  <c r="BD30" i="2"/>
  <c r="BQ30" i="2" s="1"/>
  <c r="BE30" i="2"/>
  <c r="BR30" i="2" s="1"/>
  <c r="BF30" i="2"/>
  <c r="BS30" i="2" s="1"/>
  <c r="BG30" i="2"/>
  <c r="BT30" i="2" s="1"/>
  <c r="BH30" i="2"/>
  <c r="BU30" i="2" s="1"/>
  <c r="BI30" i="2"/>
  <c r="BV30" i="2" s="1"/>
  <c r="BJ30" i="2"/>
  <c r="BW30" i="2" s="1"/>
  <c r="BK30" i="2"/>
  <c r="AZ31" i="2"/>
  <c r="BA31" i="2"/>
  <c r="BN31" i="2" s="1"/>
  <c r="BB31" i="2"/>
  <c r="BO31" i="2" s="1"/>
  <c r="BC31" i="2"/>
  <c r="BP31" i="2" s="1"/>
  <c r="BD31" i="2"/>
  <c r="BQ31" i="2" s="1"/>
  <c r="BE31" i="2"/>
  <c r="BR31" i="2" s="1"/>
  <c r="BF31" i="2"/>
  <c r="BS31" i="2" s="1"/>
  <c r="BG31" i="2"/>
  <c r="BT31" i="2" s="1"/>
  <c r="BH31" i="2"/>
  <c r="BU31" i="2" s="1"/>
  <c r="BI31" i="2"/>
  <c r="BV31" i="2" s="1"/>
  <c r="BJ31" i="2"/>
  <c r="BW31" i="2" s="1"/>
  <c r="BK31" i="2"/>
  <c r="BX31" i="2" s="1"/>
  <c r="AZ32" i="2"/>
  <c r="BA32" i="2"/>
  <c r="BN32" i="2" s="1"/>
  <c r="BB32" i="2"/>
  <c r="BO32" i="2" s="1"/>
  <c r="BC32" i="2"/>
  <c r="BP32" i="2" s="1"/>
  <c r="BD32" i="2"/>
  <c r="BQ32" i="2" s="1"/>
  <c r="BE32" i="2"/>
  <c r="BR32" i="2" s="1"/>
  <c r="BF32" i="2"/>
  <c r="BG32" i="2"/>
  <c r="BT32" i="2" s="1"/>
  <c r="BH32" i="2"/>
  <c r="BU32" i="2" s="1"/>
  <c r="BI32" i="2"/>
  <c r="BV32" i="2" s="1"/>
  <c r="BJ32" i="2"/>
  <c r="BW32" i="2" s="1"/>
  <c r="BK32" i="2"/>
  <c r="BX32" i="2" s="1"/>
  <c r="AZ33" i="2"/>
  <c r="BA33" i="2"/>
  <c r="BB33" i="2"/>
  <c r="BC33" i="2"/>
  <c r="BP33" i="2" s="1"/>
  <c r="BD33" i="2"/>
  <c r="BQ33" i="2" s="1"/>
  <c r="BE33" i="2"/>
  <c r="BF33" i="2"/>
  <c r="BS33" i="2" s="1"/>
  <c r="BG33" i="2"/>
  <c r="BH33" i="2"/>
  <c r="BU33" i="2" s="1"/>
  <c r="BI33" i="2"/>
  <c r="BV33" i="2" s="1"/>
  <c r="BJ33" i="2"/>
  <c r="BK33" i="2"/>
  <c r="BX33" i="2" s="1"/>
  <c r="AZ34" i="2"/>
  <c r="BA34" i="2"/>
  <c r="BN34" i="2" s="1"/>
  <c r="BB34" i="2"/>
  <c r="BO34" i="2" s="1"/>
  <c r="BC34" i="2"/>
  <c r="BD34" i="2"/>
  <c r="BQ34" i="2" s="1"/>
  <c r="BE34" i="2"/>
  <c r="BR34" i="2" s="1"/>
  <c r="BF34" i="2"/>
  <c r="BS34" i="2" s="1"/>
  <c r="BG34" i="2"/>
  <c r="BT34" i="2" s="1"/>
  <c r="BH34" i="2"/>
  <c r="BU34" i="2" s="1"/>
  <c r="BI34" i="2"/>
  <c r="BV34" i="2" s="1"/>
  <c r="BJ34" i="2"/>
  <c r="BW34" i="2" s="1"/>
  <c r="BK34" i="2"/>
  <c r="AZ35" i="2"/>
  <c r="BA35" i="2"/>
  <c r="BN35" i="2" s="1"/>
  <c r="BB35" i="2"/>
  <c r="BO35" i="2" s="1"/>
  <c r="BC35" i="2"/>
  <c r="BP35" i="2" s="1"/>
  <c r="BD35" i="2"/>
  <c r="BQ35" i="2" s="1"/>
  <c r="BE35" i="2"/>
  <c r="BR35" i="2" s="1"/>
  <c r="BF35" i="2"/>
  <c r="BS35" i="2" s="1"/>
  <c r="BG35" i="2"/>
  <c r="BT35" i="2" s="1"/>
  <c r="BH35" i="2"/>
  <c r="BU35" i="2" s="1"/>
  <c r="BI35" i="2"/>
  <c r="BV35" i="2" s="1"/>
  <c r="BJ35" i="2"/>
  <c r="BW35" i="2" s="1"/>
  <c r="BK35" i="2"/>
  <c r="BX35" i="2" s="1"/>
  <c r="AZ36" i="2"/>
  <c r="BA36" i="2"/>
  <c r="BN36" i="2" s="1"/>
  <c r="BB36" i="2"/>
  <c r="BO36" i="2" s="1"/>
  <c r="BC36" i="2"/>
  <c r="BP36" i="2" s="1"/>
  <c r="BD36" i="2"/>
  <c r="BQ36" i="2" s="1"/>
  <c r="BE36" i="2"/>
  <c r="BR36" i="2" s="1"/>
  <c r="BF36" i="2"/>
  <c r="BG36" i="2"/>
  <c r="BT36" i="2" s="1"/>
  <c r="BH36" i="2"/>
  <c r="BU36" i="2" s="1"/>
  <c r="BI36" i="2"/>
  <c r="BV36" i="2" s="1"/>
  <c r="BJ36" i="2"/>
  <c r="BW36" i="2" s="1"/>
  <c r="BK36" i="2"/>
  <c r="BX36" i="2" s="1"/>
  <c r="AZ37" i="2"/>
  <c r="BA37" i="2"/>
  <c r="BN37" i="2" s="1"/>
  <c r="BB37" i="2"/>
  <c r="BC37" i="2"/>
  <c r="BD37" i="2"/>
  <c r="BQ37" i="2" s="1"/>
  <c r="BE37" i="2"/>
  <c r="BF37" i="2"/>
  <c r="BS37" i="2" s="1"/>
  <c r="BG37" i="2"/>
  <c r="BH37" i="2"/>
  <c r="BU37" i="2" s="1"/>
  <c r="BI37" i="2"/>
  <c r="BV37" i="2" s="1"/>
  <c r="BJ37" i="2"/>
  <c r="BK37" i="2"/>
  <c r="BX37" i="2" s="1"/>
  <c r="AZ38" i="2"/>
  <c r="BA38" i="2"/>
  <c r="BN38" i="2" s="1"/>
  <c r="BB38" i="2"/>
  <c r="BO38" i="2" s="1"/>
  <c r="BC38" i="2"/>
  <c r="BD38" i="2"/>
  <c r="BQ38" i="2" s="1"/>
  <c r="BE38" i="2"/>
  <c r="BR38" i="2" s="1"/>
  <c r="BF38" i="2"/>
  <c r="BS38" i="2" s="1"/>
  <c r="BG38" i="2"/>
  <c r="BT38" i="2" s="1"/>
  <c r="BH38" i="2"/>
  <c r="BU38" i="2" s="1"/>
  <c r="BI38" i="2"/>
  <c r="BV38" i="2" s="1"/>
  <c r="BJ38" i="2"/>
  <c r="BW38" i="2" s="1"/>
  <c r="BK38" i="2"/>
  <c r="AZ39" i="2"/>
  <c r="BA39" i="2"/>
  <c r="BN39" i="2" s="1"/>
  <c r="BB39" i="2"/>
  <c r="BO39" i="2" s="1"/>
  <c r="BC39" i="2"/>
  <c r="BP39" i="2" s="1"/>
  <c r="BD39" i="2"/>
  <c r="BQ39" i="2" s="1"/>
  <c r="BE39" i="2"/>
  <c r="BR39" i="2" s="1"/>
  <c r="BF39" i="2"/>
  <c r="BS39" i="2" s="1"/>
  <c r="BG39" i="2"/>
  <c r="BT39" i="2" s="1"/>
  <c r="BH39" i="2"/>
  <c r="BU39" i="2" s="1"/>
  <c r="BI39" i="2"/>
  <c r="BV39" i="2" s="1"/>
  <c r="BJ39" i="2"/>
  <c r="BW39" i="2" s="1"/>
  <c r="BK39" i="2"/>
  <c r="BX39" i="2" s="1"/>
  <c r="AZ40" i="2"/>
  <c r="BA40" i="2"/>
  <c r="BN40" i="2" s="1"/>
  <c r="BB40" i="2"/>
  <c r="BO40" i="2" s="1"/>
  <c r="BC40" i="2"/>
  <c r="BP40" i="2" s="1"/>
  <c r="BD40" i="2"/>
  <c r="BQ40" i="2" s="1"/>
  <c r="BE40" i="2"/>
  <c r="BR40" i="2" s="1"/>
  <c r="BF40" i="2"/>
  <c r="BG40" i="2"/>
  <c r="BT40" i="2" s="1"/>
  <c r="BH40" i="2"/>
  <c r="BU40" i="2" s="1"/>
  <c r="BI40" i="2"/>
  <c r="BV40" i="2" s="1"/>
  <c r="BJ40" i="2"/>
  <c r="BW40" i="2" s="1"/>
  <c r="BK40" i="2"/>
  <c r="BX40" i="2" s="1"/>
  <c r="AZ41" i="2"/>
  <c r="BA41" i="2"/>
  <c r="BB41" i="2"/>
  <c r="BC41" i="2"/>
  <c r="BP41" i="2" s="1"/>
  <c r="BD41" i="2"/>
  <c r="BQ41" i="2" s="1"/>
  <c r="BE41" i="2"/>
  <c r="BF41" i="2"/>
  <c r="BS41" i="2" s="1"/>
  <c r="BG41" i="2"/>
  <c r="BH41" i="2"/>
  <c r="BU41" i="2" s="1"/>
  <c r="BI41" i="2"/>
  <c r="BV41" i="2" s="1"/>
  <c r="BJ41" i="2"/>
  <c r="BK41" i="2"/>
  <c r="BX41" i="2" s="1"/>
  <c r="AZ42" i="2"/>
  <c r="BA42" i="2"/>
  <c r="BN42" i="2" s="1"/>
  <c r="BB42" i="2"/>
  <c r="BO42" i="2" s="1"/>
  <c r="BC42" i="2"/>
  <c r="BD42" i="2"/>
  <c r="BQ42" i="2" s="1"/>
  <c r="BE42" i="2"/>
  <c r="BR42" i="2" s="1"/>
  <c r="BF42" i="2"/>
  <c r="BS42" i="2" s="1"/>
  <c r="BG42" i="2"/>
  <c r="BT42" i="2" s="1"/>
  <c r="BH42" i="2"/>
  <c r="BU42" i="2" s="1"/>
  <c r="BI42" i="2"/>
  <c r="BV42" i="2" s="1"/>
  <c r="BJ42" i="2"/>
  <c r="BW42" i="2" s="1"/>
  <c r="BK42" i="2"/>
  <c r="AZ43" i="2"/>
  <c r="BA43" i="2"/>
  <c r="BN43" i="2" s="1"/>
  <c r="BB43" i="2"/>
  <c r="BO43" i="2" s="1"/>
  <c r="BC43" i="2"/>
  <c r="BP43" i="2" s="1"/>
  <c r="BD43" i="2"/>
  <c r="BQ43" i="2" s="1"/>
  <c r="BE43" i="2"/>
  <c r="BR43" i="2" s="1"/>
  <c r="BF43" i="2"/>
  <c r="BS43" i="2" s="1"/>
  <c r="BG43" i="2"/>
  <c r="BT43" i="2" s="1"/>
  <c r="BH43" i="2"/>
  <c r="BU43" i="2" s="1"/>
  <c r="BI43" i="2"/>
  <c r="BV43" i="2" s="1"/>
  <c r="BJ43" i="2"/>
  <c r="BW43" i="2" s="1"/>
  <c r="BK43" i="2"/>
  <c r="BX43" i="2" s="1"/>
  <c r="AZ44" i="2"/>
  <c r="BA44" i="2"/>
  <c r="BN44" i="2" s="1"/>
  <c r="BB44" i="2"/>
  <c r="BO44" i="2" s="1"/>
  <c r="BC44" i="2"/>
  <c r="BP44" i="2" s="1"/>
  <c r="BD44" i="2"/>
  <c r="BQ44" i="2" s="1"/>
  <c r="BE44" i="2"/>
  <c r="BR44" i="2" s="1"/>
  <c r="BF44" i="2"/>
  <c r="BG44" i="2"/>
  <c r="BT44" i="2" s="1"/>
  <c r="BH44" i="2"/>
  <c r="BU44" i="2" s="1"/>
  <c r="BI44" i="2"/>
  <c r="BV44" i="2" s="1"/>
  <c r="BJ44" i="2"/>
  <c r="BW44" i="2" s="1"/>
  <c r="BK44" i="2"/>
  <c r="BX44" i="2" s="1"/>
  <c r="AZ45" i="2"/>
  <c r="BA45" i="2"/>
  <c r="BB45" i="2"/>
  <c r="BC45" i="2"/>
  <c r="BP45" i="2" s="1"/>
  <c r="BD45" i="2"/>
  <c r="BQ45" i="2" s="1"/>
  <c r="BE45" i="2"/>
  <c r="BF45" i="2"/>
  <c r="BS45" i="2" s="1"/>
  <c r="BG45" i="2"/>
  <c r="BH45" i="2"/>
  <c r="BU45" i="2" s="1"/>
  <c r="BI45" i="2"/>
  <c r="BV45" i="2" s="1"/>
  <c r="BJ45" i="2"/>
  <c r="BK45" i="2"/>
  <c r="BX45" i="2" s="1"/>
  <c r="AZ46" i="2"/>
  <c r="BA46" i="2"/>
  <c r="BN46" i="2" s="1"/>
  <c r="BB46" i="2"/>
  <c r="BO46" i="2" s="1"/>
  <c r="BC46" i="2"/>
  <c r="BD46" i="2"/>
  <c r="BQ46" i="2" s="1"/>
  <c r="BE46" i="2"/>
  <c r="BR46" i="2" s="1"/>
  <c r="BF46" i="2"/>
  <c r="BS46" i="2" s="1"/>
  <c r="BG46" i="2"/>
  <c r="BT46" i="2" s="1"/>
  <c r="BH46" i="2"/>
  <c r="BU46" i="2" s="1"/>
  <c r="BI46" i="2"/>
  <c r="BV46" i="2" s="1"/>
  <c r="BJ46" i="2"/>
  <c r="BW46" i="2" s="1"/>
  <c r="BK46" i="2"/>
  <c r="AZ47" i="2"/>
  <c r="BA47" i="2"/>
  <c r="BN47" i="2" s="1"/>
  <c r="BB47" i="2"/>
  <c r="BO47" i="2" s="1"/>
  <c r="BC47" i="2"/>
  <c r="BP47" i="2" s="1"/>
  <c r="BD47" i="2"/>
  <c r="BQ47" i="2" s="1"/>
  <c r="BE47" i="2"/>
  <c r="BR47" i="2" s="1"/>
  <c r="BF47" i="2"/>
  <c r="BS47" i="2" s="1"/>
  <c r="BG47" i="2"/>
  <c r="BT47" i="2" s="1"/>
  <c r="BH47" i="2"/>
  <c r="BU47" i="2" s="1"/>
  <c r="BI47" i="2"/>
  <c r="BV47" i="2" s="1"/>
  <c r="BJ47" i="2"/>
  <c r="BW47" i="2" s="1"/>
  <c r="BK47" i="2"/>
  <c r="BX47" i="2" s="1"/>
  <c r="AZ48" i="2"/>
  <c r="BA48" i="2"/>
  <c r="BN48" i="2" s="1"/>
  <c r="BB48" i="2"/>
  <c r="BO48" i="2" s="1"/>
  <c r="BC48" i="2"/>
  <c r="BP48" i="2" s="1"/>
  <c r="BD48" i="2"/>
  <c r="BQ48" i="2" s="1"/>
  <c r="BE48" i="2"/>
  <c r="BR48" i="2" s="1"/>
  <c r="BF48" i="2"/>
  <c r="BG48" i="2"/>
  <c r="BT48" i="2" s="1"/>
  <c r="BH48" i="2"/>
  <c r="BU48" i="2" s="1"/>
  <c r="BI48" i="2"/>
  <c r="BV48" i="2" s="1"/>
  <c r="BJ48" i="2"/>
  <c r="BW48" i="2" s="1"/>
  <c r="BK48" i="2"/>
  <c r="BX48" i="2" s="1"/>
  <c r="AZ49" i="2"/>
  <c r="BA49" i="2"/>
  <c r="BN49" i="2" s="1"/>
  <c r="BB49" i="2"/>
  <c r="BC49" i="2"/>
  <c r="BP49" i="2" s="1"/>
  <c r="BD49" i="2"/>
  <c r="BE49" i="2"/>
  <c r="BF49" i="2"/>
  <c r="BS49" i="2" s="1"/>
  <c r="BG49" i="2"/>
  <c r="BH49" i="2"/>
  <c r="BU49" i="2" s="1"/>
  <c r="BI49" i="2"/>
  <c r="BV49" i="2" s="1"/>
  <c r="BJ49" i="2"/>
  <c r="BK49" i="2"/>
  <c r="BX49" i="2" s="1"/>
  <c r="AZ50" i="2"/>
  <c r="BA50" i="2"/>
  <c r="BN50" i="2" s="1"/>
  <c r="BB50" i="2"/>
  <c r="BO50" i="2" s="1"/>
  <c r="BC50" i="2"/>
  <c r="BD50" i="2"/>
  <c r="BQ50" i="2" s="1"/>
  <c r="BE50" i="2"/>
  <c r="BR50" i="2" s="1"/>
  <c r="BF50" i="2"/>
  <c r="BS50" i="2" s="1"/>
  <c r="BG50" i="2"/>
  <c r="BT50" i="2" s="1"/>
  <c r="BH50" i="2"/>
  <c r="BU50" i="2" s="1"/>
  <c r="BI50" i="2"/>
  <c r="BV50" i="2" s="1"/>
  <c r="BJ50" i="2"/>
  <c r="BW50" i="2" s="1"/>
  <c r="BK50" i="2"/>
  <c r="AZ51" i="2"/>
  <c r="BA51" i="2"/>
  <c r="BN51" i="2" s="1"/>
  <c r="BB51" i="2"/>
  <c r="BO51" i="2" s="1"/>
  <c r="BC51" i="2"/>
  <c r="BP51" i="2" s="1"/>
  <c r="BD51" i="2"/>
  <c r="BQ51" i="2" s="1"/>
  <c r="BE51" i="2"/>
  <c r="BR51" i="2" s="1"/>
  <c r="BF51" i="2"/>
  <c r="BS51" i="2" s="1"/>
  <c r="BG51" i="2"/>
  <c r="BT51" i="2" s="1"/>
  <c r="BH51" i="2"/>
  <c r="BI51" i="2"/>
  <c r="BV51" i="2" s="1"/>
  <c r="BJ51" i="2"/>
  <c r="BW51" i="2" s="1"/>
  <c r="BK51" i="2"/>
  <c r="BX51" i="2" s="1"/>
  <c r="AZ52" i="2"/>
  <c r="BA52" i="2"/>
  <c r="BN52" i="2" s="1"/>
  <c r="BB52" i="2"/>
  <c r="BO52" i="2" s="1"/>
  <c r="BC52" i="2"/>
  <c r="BP52" i="2" s="1"/>
  <c r="BD52" i="2"/>
  <c r="BQ52" i="2" s="1"/>
  <c r="BE52" i="2"/>
  <c r="BR52" i="2" s="1"/>
  <c r="BF52" i="2"/>
  <c r="BG52" i="2"/>
  <c r="BT52" i="2" s="1"/>
  <c r="BH52" i="2"/>
  <c r="BU52" i="2" s="1"/>
  <c r="BI52" i="2"/>
  <c r="BV52" i="2" s="1"/>
  <c r="BJ52" i="2"/>
  <c r="BW52" i="2" s="1"/>
  <c r="BK52" i="2"/>
  <c r="BX52" i="2" s="1"/>
  <c r="AZ53" i="2"/>
  <c r="BA53" i="2"/>
  <c r="BN53" i="2" s="1"/>
  <c r="BB53" i="2"/>
  <c r="BC53" i="2"/>
  <c r="BP53" i="2" s="1"/>
  <c r="BD53" i="2"/>
  <c r="BE53" i="2"/>
  <c r="BF53" i="2"/>
  <c r="BS53" i="2" s="1"/>
  <c r="BG53" i="2"/>
  <c r="BH53" i="2"/>
  <c r="BU53" i="2" s="1"/>
  <c r="BI53" i="2"/>
  <c r="BV53" i="2" s="1"/>
  <c r="BJ53" i="2"/>
  <c r="BK53" i="2"/>
  <c r="BX53" i="2" s="1"/>
  <c r="AZ54" i="2"/>
  <c r="BA54" i="2"/>
  <c r="BN54" i="2" s="1"/>
  <c r="BB54" i="2"/>
  <c r="BO54" i="2" s="1"/>
  <c r="BC54" i="2"/>
  <c r="BD54" i="2"/>
  <c r="BQ54" i="2" s="1"/>
  <c r="BE54" i="2"/>
  <c r="BR54" i="2" s="1"/>
  <c r="BF54" i="2"/>
  <c r="BS54" i="2" s="1"/>
  <c r="BG54" i="2"/>
  <c r="BT54" i="2" s="1"/>
  <c r="BH54" i="2"/>
  <c r="BU54" i="2" s="1"/>
  <c r="BI54" i="2"/>
  <c r="BV54" i="2" s="1"/>
  <c r="BJ54" i="2"/>
  <c r="BW54" i="2" s="1"/>
  <c r="BK54" i="2"/>
  <c r="AZ55" i="2"/>
  <c r="BA55" i="2"/>
  <c r="BN55" i="2" s="1"/>
  <c r="BB55" i="2"/>
  <c r="BO55" i="2" s="1"/>
  <c r="BC55" i="2"/>
  <c r="BP55" i="2" s="1"/>
  <c r="BD55" i="2"/>
  <c r="BQ55" i="2" s="1"/>
  <c r="BE55" i="2"/>
  <c r="BR55" i="2" s="1"/>
  <c r="BF55" i="2"/>
  <c r="BS55" i="2" s="1"/>
  <c r="BG55" i="2"/>
  <c r="BT55" i="2" s="1"/>
  <c r="BH55" i="2"/>
  <c r="BI55" i="2"/>
  <c r="BV55" i="2" s="1"/>
  <c r="BJ55" i="2"/>
  <c r="BW55" i="2" s="1"/>
  <c r="BK55" i="2"/>
  <c r="BX55" i="2" s="1"/>
  <c r="AZ56" i="2"/>
  <c r="BA56" i="2"/>
  <c r="BN56" i="2" s="1"/>
  <c r="BB56" i="2"/>
  <c r="BO56" i="2" s="1"/>
  <c r="BC56" i="2"/>
  <c r="BP56" i="2" s="1"/>
  <c r="BD56" i="2"/>
  <c r="BQ56" i="2" s="1"/>
  <c r="BE56" i="2"/>
  <c r="BR56" i="2" s="1"/>
  <c r="BF56" i="2"/>
  <c r="BG56" i="2"/>
  <c r="BT56" i="2" s="1"/>
  <c r="BH56" i="2"/>
  <c r="BU56" i="2" s="1"/>
  <c r="BI56" i="2"/>
  <c r="BV56" i="2" s="1"/>
  <c r="BJ56" i="2"/>
  <c r="BW56" i="2" s="1"/>
  <c r="BK56" i="2"/>
  <c r="BX56" i="2" s="1"/>
  <c r="AZ57" i="2"/>
  <c r="BA57" i="2"/>
  <c r="BN57" i="2" s="1"/>
  <c r="BB57" i="2"/>
  <c r="BC57" i="2"/>
  <c r="BP57" i="2" s="1"/>
  <c r="BD57" i="2"/>
  <c r="BE57" i="2"/>
  <c r="BF57" i="2"/>
  <c r="BS57" i="2" s="1"/>
  <c r="BG57" i="2"/>
  <c r="BH57" i="2"/>
  <c r="BU57" i="2" s="1"/>
  <c r="BI57" i="2"/>
  <c r="BV57" i="2" s="1"/>
  <c r="BJ57" i="2"/>
  <c r="BK57" i="2"/>
  <c r="BX57" i="2" s="1"/>
  <c r="AZ58" i="2"/>
  <c r="BA58" i="2"/>
  <c r="BN58" i="2" s="1"/>
  <c r="BB58" i="2"/>
  <c r="BO58" i="2" s="1"/>
  <c r="BC58" i="2"/>
  <c r="BD58" i="2"/>
  <c r="BQ58" i="2" s="1"/>
  <c r="BE58" i="2"/>
  <c r="BR58" i="2" s="1"/>
  <c r="BF58" i="2"/>
  <c r="BS58" i="2" s="1"/>
  <c r="BG58" i="2"/>
  <c r="BT58" i="2" s="1"/>
  <c r="BH58" i="2"/>
  <c r="BU58" i="2" s="1"/>
  <c r="BI58" i="2"/>
  <c r="BV58" i="2" s="1"/>
  <c r="BJ58" i="2"/>
  <c r="BW58" i="2" s="1"/>
  <c r="BK58" i="2"/>
  <c r="AZ59" i="2"/>
  <c r="BA59" i="2"/>
  <c r="BN59" i="2" s="1"/>
  <c r="BB59" i="2"/>
  <c r="BO59" i="2" s="1"/>
  <c r="BC59" i="2"/>
  <c r="BP59" i="2" s="1"/>
  <c r="BD59" i="2"/>
  <c r="BQ59" i="2" s="1"/>
  <c r="BE59" i="2"/>
  <c r="BR59" i="2" s="1"/>
  <c r="BF59" i="2"/>
  <c r="BS59" i="2" s="1"/>
  <c r="BG59" i="2"/>
  <c r="BT59" i="2" s="1"/>
  <c r="BH59" i="2"/>
  <c r="BI59" i="2"/>
  <c r="BV59" i="2" s="1"/>
  <c r="BJ59" i="2"/>
  <c r="BW59" i="2" s="1"/>
  <c r="BK59" i="2"/>
  <c r="BX59" i="2" s="1"/>
  <c r="AZ60" i="2"/>
  <c r="BA60" i="2"/>
  <c r="BN60" i="2" s="1"/>
  <c r="BB60" i="2"/>
  <c r="BO60" i="2" s="1"/>
  <c r="BC60" i="2"/>
  <c r="BP60" i="2" s="1"/>
  <c r="BD60" i="2"/>
  <c r="BQ60" i="2" s="1"/>
  <c r="BE60" i="2"/>
  <c r="BR60" i="2" s="1"/>
  <c r="BF60" i="2"/>
  <c r="BG60" i="2"/>
  <c r="BT60" i="2" s="1"/>
  <c r="BH60" i="2"/>
  <c r="BU60" i="2" s="1"/>
  <c r="BI60" i="2"/>
  <c r="BV60" i="2" s="1"/>
  <c r="BJ60" i="2"/>
  <c r="BW60" i="2" s="1"/>
  <c r="BK60" i="2"/>
  <c r="BX60" i="2" s="1"/>
  <c r="AZ61" i="2"/>
  <c r="BA61" i="2"/>
  <c r="BN61" i="2" s="1"/>
  <c r="BB61" i="2"/>
  <c r="BC61" i="2"/>
  <c r="BD61" i="2"/>
  <c r="BQ61" i="2" s="1"/>
  <c r="BE61" i="2"/>
  <c r="BF61" i="2"/>
  <c r="BS61" i="2" s="1"/>
  <c r="BG61" i="2"/>
  <c r="BH61" i="2"/>
  <c r="BU61" i="2" s="1"/>
  <c r="BI61" i="2"/>
  <c r="BV61" i="2" s="1"/>
  <c r="BJ61" i="2"/>
  <c r="BK61" i="2"/>
  <c r="BX61" i="2" s="1"/>
  <c r="AZ62" i="2"/>
  <c r="BA62" i="2"/>
  <c r="BN62" i="2" s="1"/>
  <c r="BB62" i="2"/>
  <c r="BO62" i="2" s="1"/>
  <c r="BC62" i="2"/>
  <c r="BD62" i="2"/>
  <c r="BQ62" i="2" s="1"/>
  <c r="BE62" i="2"/>
  <c r="BR62" i="2" s="1"/>
  <c r="BF62" i="2"/>
  <c r="BS62" i="2" s="1"/>
  <c r="BG62" i="2"/>
  <c r="BT62" i="2" s="1"/>
  <c r="BH62" i="2"/>
  <c r="BU62" i="2" s="1"/>
  <c r="BI62" i="2"/>
  <c r="BV62" i="2" s="1"/>
  <c r="BJ62" i="2"/>
  <c r="BW62" i="2" s="1"/>
  <c r="BK62" i="2"/>
  <c r="AZ63" i="2"/>
  <c r="BA63" i="2"/>
  <c r="BN63" i="2" s="1"/>
  <c r="BB63" i="2"/>
  <c r="BO63" i="2" s="1"/>
  <c r="BC63" i="2"/>
  <c r="BP63" i="2" s="1"/>
  <c r="BD63" i="2"/>
  <c r="BQ63" i="2" s="1"/>
  <c r="BE63" i="2"/>
  <c r="BR63" i="2" s="1"/>
  <c r="BF63" i="2"/>
  <c r="BS63" i="2" s="1"/>
  <c r="BG63" i="2"/>
  <c r="BT63" i="2" s="1"/>
  <c r="BH63" i="2"/>
  <c r="BI63" i="2"/>
  <c r="BV63" i="2" s="1"/>
  <c r="BJ63" i="2"/>
  <c r="BW63" i="2" s="1"/>
  <c r="BK63" i="2"/>
  <c r="BX63" i="2" s="1"/>
  <c r="AZ64" i="2"/>
  <c r="BA64" i="2"/>
  <c r="BN64" i="2" s="1"/>
  <c r="BB64" i="2"/>
  <c r="BO64" i="2" s="1"/>
  <c r="BC64" i="2"/>
  <c r="BP64" i="2" s="1"/>
  <c r="BD64" i="2"/>
  <c r="BQ64" i="2" s="1"/>
  <c r="BE64" i="2"/>
  <c r="BR64" i="2" s="1"/>
  <c r="BF64" i="2"/>
  <c r="BG64" i="2"/>
  <c r="BT64" i="2" s="1"/>
  <c r="BH64" i="2"/>
  <c r="BU64" i="2" s="1"/>
  <c r="BI64" i="2"/>
  <c r="BV64" i="2" s="1"/>
  <c r="BJ64" i="2"/>
  <c r="BW64" i="2" s="1"/>
  <c r="BK64" i="2"/>
  <c r="BX64" i="2" s="1"/>
  <c r="AZ65" i="2"/>
  <c r="BA65" i="2"/>
  <c r="BN65" i="2" s="1"/>
  <c r="BB65" i="2"/>
  <c r="BC65" i="2"/>
  <c r="BD65" i="2"/>
  <c r="BQ65" i="2" s="1"/>
  <c r="BE65" i="2"/>
  <c r="BF65" i="2"/>
  <c r="BS65" i="2" s="1"/>
  <c r="BG65" i="2"/>
  <c r="BH65" i="2"/>
  <c r="BU65" i="2" s="1"/>
  <c r="BI65" i="2"/>
  <c r="BV65" i="2" s="1"/>
  <c r="BJ65" i="2"/>
  <c r="BK65" i="2"/>
  <c r="BX65" i="2" s="1"/>
  <c r="AZ66" i="2"/>
  <c r="BA66" i="2"/>
  <c r="BN66" i="2" s="1"/>
  <c r="BB66" i="2"/>
  <c r="BO66" i="2" s="1"/>
  <c r="BC66" i="2"/>
  <c r="BD66" i="2"/>
  <c r="BQ66" i="2" s="1"/>
  <c r="BE66" i="2"/>
  <c r="BR66" i="2" s="1"/>
  <c r="BF66" i="2"/>
  <c r="BS66" i="2" s="1"/>
  <c r="BG66" i="2"/>
  <c r="BT66" i="2" s="1"/>
  <c r="BH66" i="2"/>
  <c r="BU66" i="2" s="1"/>
  <c r="BI66" i="2"/>
  <c r="BV66" i="2" s="1"/>
  <c r="BJ66" i="2"/>
  <c r="BW66" i="2" s="1"/>
  <c r="BK66" i="2"/>
  <c r="AZ67" i="2"/>
  <c r="BA67" i="2"/>
  <c r="BN67" i="2" s="1"/>
  <c r="BB67" i="2"/>
  <c r="BO67" i="2" s="1"/>
  <c r="BC67" i="2"/>
  <c r="BP67" i="2" s="1"/>
  <c r="BD67" i="2"/>
  <c r="BQ67" i="2" s="1"/>
  <c r="BE67" i="2"/>
  <c r="BR67" i="2" s="1"/>
  <c r="BF67" i="2"/>
  <c r="BS67" i="2" s="1"/>
  <c r="BG67" i="2"/>
  <c r="BT67" i="2" s="1"/>
  <c r="BH67" i="2"/>
  <c r="BI67" i="2"/>
  <c r="BV67" i="2" s="1"/>
  <c r="BJ67" i="2"/>
  <c r="BW67" i="2" s="1"/>
  <c r="BK67" i="2"/>
  <c r="BX67" i="2" s="1"/>
  <c r="AZ68" i="2"/>
  <c r="BA68" i="2"/>
  <c r="BN68" i="2" s="1"/>
  <c r="BB68" i="2"/>
  <c r="BO68" i="2" s="1"/>
  <c r="BC68" i="2"/>
  <c r="BP68" i="2" s="1"/>
  <c r="BD68" i="2"/>
  <c r="BQ68" i="2" s="1"/>
  <c r="BE68" i="2"/>
  <c r="BR68" i="2" s="1"/>
  <c r="BF68" i="2"/>
  <c r="BG68" i="2"/>
  <c r="BT68" i="2" s="1"/>
  <c r="BH68" i="2"/>
  <c r="BU68" i="2" s="1"/>
  <c r="BI68" i="2"/>
  <c r="BV68" i="2" s="1"/>
  <c r="BJ68" i="2"/>
  <c r="BW68" i="2" s="1"/>
  <c r="BK68" i="2"/>
  <c r="BX68" i="2" s="1"/>
  <c r="AZ69" i="2"/>
  <c r="BA69" i="2"/>
  <c r="BN69" i="2" s="1"/>
  <c r="BB69" i="2"/>
  <c r="BC69" i="2"/>
  <c r="BD69" i="2"/>
  <c r="BQ69" i="2" s="1"/>
  <c r="BE69" i="2"/>
  <c r="BF69" i="2"/>
  <c r="BS69" i="2" s="1"/>
  <c r="BG69" i="2"/>
  <c r="BH69" i="2"/>
  <c r="BU69" i="2" s="1"/>
  <c r="BI69" i="2"/>
  <c r="BV69" i="2" s="1"/>
  <c r="BJ69" i="2"/>
  <c r="BK69" i="2"/>
  <c r="BX69" i="2" s="1"/>
  <c r="AZ70" i="2"/>
  <c r="BA70" i="2"/>
  <c r="BN70" i="2" s="1"/>
  <c r="BB70" i="2"/>
  <c r="BO70" i="2" s="1"/>
  <c r="BC70" i="2"/>
  <c r="BD70" i="2"/>
  <c r="BQ70" i="2" s="1"/>
  <c r="BE70" i="2"/>
  <c r="BR70" i="2" s="1"/>
  <c r="BF70" i="2"/>
  <c r="BS70" i="2" s="1"/>
  <c r="BG70" i="2"/>
  <c r="BT70" i="2" s="1"/>
  <c r="BH70" i="2"/>
  <c r="BU70" i="2" s="1"/>
  <c r="BI70" i="2"/>
  <c r="BV70" i="2" s="1"/>
  <c r="BJ70" i="2"/>
  <c r="BW70" i="2" s="1"/>
  <c r="BK70" i="2"/>
  <c r="AZ71" i="2"/>
  <c r="BA71" i="2"/>
  <c r="BN71" i="2" s="1"/>
  <c r="BB71" i="2"/>
  <c r="BO71" i="2" s="1"/>
  <c r="BC71" i="2"/>
  <c r="BP71" i="2" s="1"/>
  <c r="BD71" i="2"/>
  <c r="BQ71" i="2" s="1"/>
  <c r="BE71" i="2"/>
  <c r="BR71" i="2" s="1"/>
  <c r="BF71" i="2"/>
  <c r="BS71" i="2" s="1"/>
  <c r="BG71" i="2"/>
  <c r="BT71" i="2" s="1"/>
  <c r="BH71" i="2"/>
  <c r="BI71" i="2"/>
  <c r="BV71" i="2" s="1"/>
  <c r="BJ71" i="2"/>
  <c r="BW71" i="2" s="1"/>
  <c r="BK71" i="2"/>
  <c r="BX71" i="2" s="1"/>
  <c r="AZ72" i="2"/>
  <c r="BA72" i="2"/>
  <c r="BN72" i="2" s="1"/>
  <c r="BB72" i="2"/>
  <c r="BO72" i="2" s="1"/>
  <c r="BC72" i="2"/>
  <c r="BP72" i="2" s="1"/>
  <c r="BD72" i="2"/>
  <c r="BQ72" i="2" s="1"/>
  <c r="BE72" i="2"/>
  <c r="BR72" i="2" s="1"/>
  <c r="BF72" i="2"/>
  <c r="BG72" i="2"/>
  <c r="BT72" i="2" s="1"/>
  <c r="BH72" i="2"/>
  <c r="BU72" i="2" s="1"/>
  <c r="BI72" i="2"/>
  <c r="BV72" i="2" s="1"/>
  <c r="BJ72" i="2"/>
  <c r="BW72" i="2" s="1"/>
  <c r="BK72" i="2"/>
  <c r="BX72" i="2" s="1"/>
  <c r="AZ73" i="2"/>
  <c r="BA73" i="2"/>
  <c r="BN73" i="2" s="1"/>
  <c r="BB73" i="2"/>
  <c r="BC73" i="2"/>
  <c r="BP73" i="2" s="1"/>
  <c r="BD73" i="2"/>
  <c r="BQ73" i="2" s="1"/>
  <c r="BE73" i="2"/>
  <c r="BF73" i="2"/>
  <c r="BS73" i="2" s="1"/>
  <c r="BG73" i="2"/>
  <c r="BH73" i="2"/>
  <c r="BI73" i="2"/>
  <c r="BV73" i="2" s="1"/>
  <c r="BJ73" i="2"/>
  <c r="BK73" i="2"/>
  <c r="BX73" i="2" s="1"/>
  <c r="AZ74" i="2"/>
  <c r="BA74" i="2"/>
  <c r="BN74" i="2" s="1"/>
  <c r="BB74" i="2"/>
  <c r="BO74" i="2" s="1"/>
  <c r="BC74" i="2"/>
  <c r="BD74" i="2"/>
  <c r="BQ74" i="2" s="1"/>
  <c r="BE74" i="2"/>
  <c r="BR74" i="2" s="1"/>
  <c r="BF74" i="2"/>
  <c r="BS74" i="2" s="1"/>
  <c r="BG74" i="2"/>
  <c r="BT74" i="2" s="1"/>
  <c r="BH74" i="2"/>
  <c r="BU74" i="2" s="1"/>
  <c r="BI74" i="2"/>
  <c r="BV74" i="2" s="1"/>
  <c r="BJ74" i="2"/>
  <c r="BW74" i="2" s="1"/>
  <c r="BK74" i="2"/>
  <c r="AZ75" i="2"/>
  <c r="BA75" i="2"/>
  <c r="BN75" i="2" s="1"/>
  <c r="BB75" i="2"/>
  <c r="BO75" i="2" s="1"/>
  <c r="BC75" i="2"/>
  <c r="BP75" i="2" s="1"/>
  <c r="BD75" i="2"/>
  <c r="BQ75" i="2" s="1"/>
  <c r="BE75" i="2"/>
  <c r="BR75" i="2" s="1"/>
  <c r="BF75" i="2"/>
  <c r="BS75" i="2" s="1"/>
  <c r="BG75" i="2"/>
  <c r="BT75" i="2" s="1"/>
  <c r="BH75" i="2"/>
  <c r="BI75" i="2"/>
  <c r="BV75" i="2" s="1"/>
  <c r="BJ75" i="2"/>
  <c r="BW75" i="2" s="1"/>
  <c r="BK75" i="2"/>
  <c r="BX75" i="2" s="1"/>
  <c r="AZ76" i="2"/>
  <c r="BA76" i="2"/>
  <c r="BN76" i="2" s="1"/>
  <c r="BB76" i="2"/>
  <c r="BO76" i="2" s="1"/>
  <c r="BC76" i="2"/>
  <c r="BP76" i="2" s="1"/>
  <c r="BD76" i="2"/>
  <c r="BQ76" i="2" s="1"/>
  <c r="BE76" i="2"/>
  <c r="BR76" i="2" s="1"/>
  <c r="BF76" i="2"/>
  <c r="BG76" i="2"/>
  <c r="BT76" i="2" s="1"/>
  <c r="BH76" i="2"/>
  <c r="BU76" i="2" s="1"/>
  <c r="BI76" i="2"/>
  <c r="BV76" i="2" s="1"/>
  <c r="BJ76" i="2"/>
  <c r="BW76" i="2" s="1"/>
  <c r="BK76" i="2"/>
  <c r="BX76" i="2" s="1"/>
  <c r="AZ77" i="2"/>
  <c r="BA77" i="2"/>
  <c r="BN77" i="2" s="1"/>
  <c r="BB77" i="2"/>
  <c r="BC77" i="2"/>
  <c r="BP77" i="2" s="1"/>
  <c r="BD77" i="2"/>
  <c r="BQ77" i="2" s="1"/>
  <c r="BE77" i="2"/>
  <c r="BF77" i="2"/>
  <c r="BS77" i="2" s="1"/>
  <c r="BG77" i="2"/>
  <c r="BH77" i="2"/>
  <c r="BU77" i="2" s="1"/>
  <c r="BI77" i="2"/>
  <c r="BV77" i="2" s="1"/>
  <c r="BJ77" i="2"/>
  <c r="BK77" i="2"/>
  <c r="BX77" i="2" s="1"/>
  <c r="AZ78" i="2"/>
  <c r="BA78" i="2"/>
  <c r="BN78" i="2" s="1"/>
  <c r="BB78" i="2"/>
  <c r="BO78" i="2" s="1"/>
  <c r="BC78" i="2"/>
  <c r="BD78" i="2"/>
  <c r="BQ78" i="2" s="1"/>
  <c r="BE78" i="2"/>
  <c r="BR78" i="2" s="1"/>
  <c r="BF78" i="2"/>
  <c r="BS78" i="2" s="1"/>
  <c r="BG78" i="2"/>
  <c r="BT78" i="2" s="1"/>
  <c r="BH78" i="2"/>
  <c r="BU78" i="2" s="1"/>
  <c r="BI78" i="2"/>
  <c r="BV78" i="2" s="1"/>
  <c r="BJ78" i="2"/>
  <c r="BK78" i="2"/>
  <c r="AZ79" i="2"/>
  <c r="BA79" i="2"/>
  <c r="BN79" i="2" s="1"/>
  <c r="BB79" i="2"/>
  <c r="BO79" i="2" s="1"/>
  <c r="BC79" i="2"/>
  <c r="BP79" i="2" s="1"/>
  <c r="BD79" i="2"/>
  <c r="BQ79" i="2" s="1"/>
  <c r="BE79" i="2"/>
  <c r="BR79" i="2" s="1"/>
  <c r="BF79" i="2"/>
  <c r="BS79" i="2" s="1"/>
  <c r="BG79" i="2"/>
  <c r="BT79" i="2" s="1"/>
  <c r="BH79" i="2"/>
  <c r="BI79" i="2"/>
  <c r="BV79" i="2" s="1"/>
  <c r="BJ79" i="2"/>
  <c r="BW79" i="2" s="1"/>
  <c r="BK79" i="2"/>
  <c r="BX79" i="2" s="1"/>
  <c r="AZ80" i="2"/>
  <c r="BA80" i="2"/>
  <c r="BN80" i="2" s="1"/>
  <c r="BB80" i="2"/>
  <c r="BO80" i="2" s="1"/>
  <c r="BC80" i="2"/>
  <c r="BP80" i="2" s="1"/>
  <c r="BD80" i="2"/>
  <c r="BQ80" i="2" s="1"/>
  <c r="BE80" i="2"/>
  <c r="BR80" i="2" s="1"/>
  <c r="BF80" i="2"/>
  <c r="BG80" i="2"/>
  <c r="BT80" i="2" s="1"/>
  <c r="BH80" i="2"/>
  <c r="BU80" i="2" s="1"/>
  <c r="BI80" i="2"/>
  <c r="BV80" i="2" s="1"/>
  <c r="BJ80" i="2"/>
  <c r="BW80" i="2" s="1"/>
  <c r="BK80" i="2"/>
  <c r="BX80" i="2" s="1"/>
  <c r="AZ81" i="2"/>
  <c r="BA81" i="2"/>
  <c r="BN81" i="2" s="1"/>
  <c r="BB81" i="2"/>
  <c r="BC81" i="2"/>
  <c r="BP81" i="2" s="1"/>
  <c r="BD81" i="2"/>
  <c r="BQ81" i="2" s="1"/>
  <c r="BE81" i="2"/>
  <c r="BF81" i="2"/>
  <c r="BS81" i="2" s="1"/>
  <c r="BG81" i="2"/>
  <c r="BH81" i="2"/>
  <c r="BU81" i="2" s="1"/>
  <c r="BI81" i="2"/>
  <c r="BV81" i="2" s="1"/>
  <c r="BJ81" i="2"/>
  <c r="BK81" i="2"/>
  <c r="BX81" i="2" s="1"/>
  <c r="AZ82" i="2"/>
  <c r="BA82" i="2"/>
  <c r="BN82" i="2" s="1"/>
  <c r="BB82" i="2"/>
  <c r="BC82" i="2"/>
  <c r="BD82" i="2"/>
  <c r="BQ82" i="2" s="1"/>
  <c r="BE82" i="2"/>
  <c r="BR82" i="2" s="1"/>
  <c r="BF82" i="2"/>
  <c r="BS82" i="2" s="1"/>
  <c r="BG82" i="2"/>
  <c r="BT82" i="2" s="1"/>
  <c r="BH82" i="2"/>
  <c r="BU82" i="2" s="1"/>
  <c r="BI82" i="2"/>
  <c r="BV82" i="2" s="1"/>
  <c r="BJ82" i="2"/>
  <c r="BW82" i="2" s="1"/>
  <c r="BK82" i="2"/>
  <c r="AZ83" i="2"/>
  <c r="BA83" i="2"/>
  <c r="BN83" i="2" s="1"/>
  <c r="BB83" i="2"/>
  <c r="BO83" i="2" s="1"/>
  <c r="BC83" i="2"/>
  <c r="BP83" i="2" s="1"/>
  <c r="BD83" i="2"/>
  <c r="BQ83" i="2" s="1"/>
  <c r="BE83" i="2"/>
  <c r="BR83" i="2" s="1"/>
  <c r="BF83" i="2"/>
  <c r="BS83" i="2" s="1"/>
  <c r="BG83" i="2"/>
  <c r="BT83" i="2" s="1"/>
  <c r="BH83" i="2"/>
  <c r="BI83" i="2"/>
  <c r="BV83" i="2" s="1"/>
  <c r="BJ83" i="2"/>
  <c r="BW83" i="2" s="1"/>
  <c r="BK83" i="2"/>
  <c r="BX83" i="2" s="1"/>
  <c r="AZ84" i="2"/>
  <c r="BA84" i="2"/>
  <c r="BN84" i="2" s="1"/>
  <c r="BB84" i="2"/>
  <c r="BO84" i="2" s="1"/>
  <c r="BC84" i="2"/>
  <c r="BP84" i="2" s="1"/>
  <c r="BD84" i="2"/>
  <c r="BQ84" i="2" s="1"/>
  <c r="BE84" i="2"/>
  <c r="BR84" i="2" s="1"/>
  <c r="BF84" i="2"/>
  <c r="BG84" i="2"/>
  <c r="BT84" i="2" s="1"/>
  <c r="BH84" i="2"/>
  <c r="BU84" i="2" s="1"/>
  <c r="BI84" i="2"/>
  <c r="BV84" i="2" s="1"/>
  <c r="BJ84" i="2"/>
  <c r="BW84" i="2" s="1"/>
  <c r="BK84" i="2"/>
  <c r="BX84" i="2" s="1"/>
  <c r="AZ85" i="2"/>
  <c r="BA85" i="2"/>
  <c r="BN85" i="2" s="1"/>
  <c r="BB85" i="2"/>
  <c r="BC85" i="2"/>
  <c r="BD85" i="2"/>
  <c r="BQ85" i="2" s="1"/>
  <c r="BE85" i="2"/>
  <c r="BF85" i="2"/>
  <c r="BS85" i="2" s="1"/>
  <c r="BG85" i="2"/>
  <c r="BH85" i="2"/>
  <c r="BI85" i="2"/>
  <c r="BV85" i="2" s="1"/>
  <c r="BJ85" i="2"/>
  <c r="BK85" i="2"/>
  <c r="BX85" i="2" s="1"/>
  <c r="AZ86" i="2"/>
  <c r="BA86" i="2"/>
  <c r="BN86" i="2" s="1"/>
  <c r="BB86" i="2"/>
  <c r="BO86" i="2" s="1"/>
  <c r="BC86" i="2"/>
  <c r="BD86" i="2"/>
  <c r="BQ86" i="2" s="1"/>
  <c r="BE86" i="2"/>
  <c r="BR86" i="2" s="1"/>
  <c r="BF86" i="2"/>
  <c r="BS86" i="2" s="1"/>
  <c r="BG86" i="2"/>
  <c r="BT86" i="2" s="1"/>
  <c r="BH86" i="2"/>
  <c r="BU86" i="2" s="1"/>
  <c r="BI86" i="2"/>
  <c r="BV86" i="2" s="1"/>
  <c r="BJ86" i="2"/>
  <c r="BW86" i="2" s="1"/>
  <c r="BK86" i="2"/>
  <c r="AZ87" i="2"/>
  <c r="BA87" i="2"/>
  <c r="BN87" i="2" s="1"/>
  <c r="BB87" i="2"/>
  <c r="BO87" i="2" s="1"/>
  <c r="BC87" i="2"/>
  <c r="BP87" i="2" s="1"/>
  <c r="BD87" i="2"/>
  <c r="BQ87" i="2" s="1"/>
  <c r="BE87" i="2"/>
  <c r="BR87" i="2" s="1"/>
  <c r="BF87" i="2"/>
  <c r="BS87" i="2" s="1"/>
  <c r="BG87" i="2"/>
  <c r="BT87" i="2" s="1"/>
  <c r="BH87" i="2"/>
  <c r="BI87" i="2"/>
  <c r="BV87" i="2" s="1"/>
  <c r="BJ87" i="2"/>
  <c r="BW87" i="2" s="1"/>
  <c r="BK87" i="2"/>
  <c r="BX87" i="2" s="1"/>
  <c r="AZ88" i="2"/>
  <c r="BA88" i="2"/>
  <c r="BN88" i="2" s="1"/>
  <c r="BB88" i="2"/>
  <c r="BO88" i="2" s="1"/>
  <c r="BC88" i="2"/>
  <c r="BP88" i="2" s="1"/>
  <c r="BD88" i="2"/>
  <c r="BQ88" i="2" s="1"/>
  <c r="BE88" i="2"/>
  <c r="BR88" i="2" s="1"/>
  <c r="BF88" i="2"/>
  <c r="BG88" i="2"/>
  <c r="BT88" i="2" s="1"/>
  <c r="BH88" i="2"/>
  <c r="BU88" i="2" s="1"/>
  <c r="BI88" i="2"/>
  <c r="BV88" i="2" s="1"/>
  <c r="BJ88" i="2"/>
  <c r="BW88" i="2" s="1"/>
  <c r="BK88" i="2"/>
  <c r="BX88" i="2" s="1"/>
  <c r="AZ89" i="2"/>
  <c r="BA89" i="2"/>
  <c r="BN89" i="2" s="1"/>
  <c r="BB89" i="2"/>
  <c r="BC89" i="2"/>
  <c r="BP89" i="2" s="1"/>
  <c r="BD89" i="2"/>
  <c r="BQ89" i="2" s="1"/>
  <c r="BE89" i="2"/>
  <c r="BF89" i="2"/>
  <c r="BS89" i="2" s="1"/>
  <c r="BG89" i="2"/>
  <c r="BH89" i="2"/>
  <c r="BI89" i="2"/>
  <c r="BV89" i="2" s="1"/>
  <c r="BJ89" i="2"/>
  <c r="BK89" i="2"/>
  <c r="BX89" i="2" s="1"/>
  <c r="AZ90" i="2"/>
  <c r="BA90" i="2"/>
  <c r="BN90" i="2" s="1"/>
  <c r="BB90" i="2"/>
  <c r="BO90" i="2" s="1"/>
  <c r="BC90" i="2"/>
  <c r="BD90" i="2"/>
  <c r="BQ90" i="2" s="1"/>
  <c r="BE90" i="2"/>
  <c r="BR90" i="2" s="1"/>
  <c r="BF90" i="2"/>
  <c r="BS90" i="2" s="1"/>
  <c r="BG90" i="2"/>
  <c r="BT90" i="2" s="1"/>
  <c r="BH90" i="2"/>
  <c r="BU90" i="2" s="1"/>
  <c r="BI90" i="2"/>
  <c r="BV90" i="2" s="1"/>
  <c r="BJ90" i="2"/>
  <c r="BK90" i="2"/>
  <c r="AZ91" i="2"/>
  <c r="BA91" i="2"/>
  <c r="BN91" i="2" s="1"/>
  <c r="BB91" i="2"/>
  <c r="BO91" i="2" s="1"/>
  <c r="BC91" i="2"/>
  <c r="BP91" i="2" s="1"/>
  <c r="BD91" i="2"/>
  <c r="BQ91" i="2" s="1"/>
  <c r="BE91" i="2"/>
  <c r="BR91" i="2" s="1"/>
  <c r="BF91" i="2"/>
  <c r="BS91" i="2" s="1"/>
  <c r="BG91" i="2"/>
  <c r="BT91" i="2" s="1"/>
  <c r="BH91" i="2"/>
  <c r="BI91" i="2"/>
  <c r="BV91" i="2" s="1"/>
  <c r="BJ91" i="2"/>
  <c r="BW91" i="2" s="1"/>
  <c r="BK91" i="2"/>
  <c r="BX91" i="2" s="1"/>
  <c r="AZ92" i="2"/>
  <c r="BA92" i="2"/>
  <c r="BN92" i="2" s="1"/>
  <c r="BB92" i="2"/>
  <c r="BO92" i="2" s="1"/>
  <c r="BC92" i="2"/>
  <c r="BP92" i="2" s="1"/>
  <c r="BD92" i="2"/>
  <c r="BQ92" i="2" s="1"/>
  <c r="BE92" i="2"/>
  <c r="BR92" i="2" s="1"/>
  <c r="BF92" i="2"/>
  <c r="BG92" i="2"/>
  <c r="BT92" i="2" s="1"/>
  <c r="BH92" i="2"/>
  <c r="BU92" i="2" s="1"/>
  <c r="BI92" i="2"/>
  <c r="BV92" i="2" s="1"/>
  <c r="BJ92" i="2"/>
  <c r="BW92" i="2" s="1"/>
  <c r="BK92" i="2"/>
  <c r="BX92" i="2" s="1"/>
  <c r="AZ93" i="2"/>
  <c r="BA93" i="2"/>
  <c r="BN93" i="2" s="1"/>
  <c r="BB93" i="2"/>
  <c r="BC93" i="2"/>
  <c r="BP93" i="2" s="1"/>
  <c r="BD93" i="2"/>
  <c r="BQ93" i="2" s="1"/>
  <c r="BE93" i="2"/>
  <c r="BF93" i="2"/>
  <c r="BS93" i="2" s="1"/>
  <c r="BG93" i="2"/>
  <c r="BH93" i="2"/>
  <c r="BI93" i="2"/>
  <c r="BV93" i="2" s="1"/>
  <c r="BJ93" i="2"/>
  <c r="BK93" i="2"/>
  <c r="BX93" i="2" s="1"/>
  <c r="AZ94" i="2"/>
  <c r="BA94" i="2"/>
  <c r="BN94" i="2" s="1"/>
  <c r="BB94" i="2"/>
  <c r="BO94" i="2" s="1"/>
  <c r="BC94" i="2"/>
  <c r="BD94" i="2"/>
  <c r="BQ94" i="2" s="1"/>
  <c r="BE94" i="2"/>
  <c r="BR94" i="2" s="1"/>
  <c r="BF94" i="2"/>
  <c r="BS94" i="2" s="1"/>
  <c r="BG94" i="2"/>
  <c r="BT94" i="2" s="1"/>
  <c r="BH94" i="2"/>
  <c r="BU94" i="2" s="1"/>
  <c r="BI94" i="2"/>
  <c r="BV94" i="2" s="1"/>
  <c r="BJ94" i="2"/>
  <c r="BW94" i="2" s="1"/>
  <c r="BK94" i="2"/>
  <c r="AZ95" i="2"/>
  <c r="BA95" i="2"/>
  <c r="BN95" i="2" s="1"/>
  <c r="BB95" i="2"/>
  <c r="BO95" i="2" s="1"/>
  <c r="BC95" i="2"/>
  <c r="BP95" i="2" s="1"/>
  <c r="BD95" i="2"/>
  <c r="BQ95" i="2" s="1"/>
  <c r="BE95" i="2"/>
  <c r="BR95" i="2" s="1"/>
  <c r="BF95" i="2"/>
  <c r="BS95" i="2" s="1"/>
  <c r="BG95" i="2"/>
  <c r="BT95" i="2" s="1"/>
  <c r="BH95" i="2"/>
  <c r="BI95" i="2"/>
  <c r="BV95" i="2" s="1"/>
  <c r="BJ95" i="2"/>
  <c r="BW95" i="2" s="1"/>
  <c r="BK95" i="2"/>
  <c r="BX95" i="2" s="1"/>
  <c r="AZ96" i="2"/>
  <c r="BA96" i="2"/>
  <c r="BN96" i="2" s="1"/>
  <c r="BB96" i="2"/>
  <c r="BO96" i="2" s="1"/>
  <c r="BC96" i="2"/>
  <c r="BP96" i="2" s="1"/>
  <c r="BD96" i="2"/>
  <c r="BQ96" i="2" s="1"/>
  <c r="BE96" i="2"/>
  <c r="BR96" i="2" s="1"/>
  <c r="BF96" i="2"/>
  <c r="BG96" i="2"/>
  <c r="BT96" i="2" s="1"/>
  <c r="BH96" i="2"/>
  <c r="BU96" i="2" s="1"/>
  <c r="BI96" i="2"/>
  <c r="BV96" i="2" s="1"/>
  <c r="BJ96" i="2"/>
  <c r="BW96" i="2" s="1"/>
  <c r="BK96" i="2"/>
  <c r="BX96" i="2" s="1"/>
  <c r="AZ97" i="2"/>
  <c r="BA97" i="2"/>
  <c r="BN97" i="2" s="1"/>
  <c r="BB97" i="2"/>
  <c r="BC97" i="2"/>
  <c r="BP97" i="2" s="1"/>
  <c r="BD97" i="2"/>
  <c r="BQ97" i="2" s="1"/>
  <c r="BE97" i="2"/>
  <c r="BF97" i="2"/>
  <c r="BG97" i="2"/>
  <c r="BH97" i="2"/>
  <c r="BI97" i="2"/>
  <c r="BV97" i="2" s="1"/>
  <c r="BJ97" i="2"/>
  <c r="BK97" i="2"/>
  <c r="BX97" i="2" s="1"/>
  <c r="AZ98" i="2"/>
  <c r="BA98" i="2"/>
  <c r="BN98" i="2" s="1"/>
  <c r="BB98" i="2"/>
  <c r="BO98" i="2" s="1"/>
  <c r="BC98" i="2"/>
  <c r="BD98" i="2"/>
  <c r="BQ98" i="2" s="1"/>
  <c r="BE98" i="2"/>
  <c r="BR98" i="2" s="1"/>
  <c r="BF98" i="2"/>
  <c r="BS98" i="2" s="1"/>
  <c r="BG98" i="2"/>
  <c r="BT98" i="2" s="1"/>
  <c r="BH98" i="2"/>
  <c r="BU98" i="2" s="1"/>
  <c r="BI98" i="2"/>
  <c r="BV98" i="2" s="1"/>
  <c r="BJ98" i="2"/>
  <c r="BW98" i="2" s="1"/>
  <c r="BK98" i="2"/>
  <c r="AZ99" i="2"/>
  <c r="BA99" i="2"/>
  <c r="BN99" i="2" s="1"/>
  <c r="BB99" i="2"/>
  <c r="BO99" i="2" s="1"/>
  <c r="BC99" i="2"/>
  <c r="BP99" i="2" s="1"/>
  <c r="BD99" i="2"/>
  <c r="BQ99" i="2" s="1"/>
  <c r="BE99" i="2"/>
  <c r="BR99" i="2" s="1"/>
  <c r="BF99" i="2"/>
  <c r="BS99" i="2" s="1"/>
  <c r="BG99" i="2"/>
  <c r="BT99" i="2" s="1"/>
  <c r="BH99" i="2"/>
  <c r="BI99" i="2"/>
  <c r="BV99" i="2" s="1"/>
  <c r="BJ99" i="2"/>
  <c r="BW99" i="2" s="1"/>
  <c r="BK99" i="2"/>
  <c r="BX99" i="2" s="1"/>
  <c r="AZ100" i="2"/>
  <c r="BA100" i="2"/>
  <c r="BN100" i="2" s="1"/>
  <c r="BB100" i="2"/>
  <c r="BO100" i="2" s="1"/>
  <c r="BC100" i="2"/>
  <c r="BP100" i="2" s="1"/>
  <c r="BD100" i="2"/>
  <c r="BQ100" i="2" s="1"/>
  <c r="BE100" i="2"/>
  <c r="BR100" i="2" s="1"/>
  <c r="BF100" i="2"/>
  <c r="BG100" i="2"/>
  <c r="BT100" i="2" s="1"/>
  <c r="BH100" i="2"/>
  <c r="BU100" i="2" s="1"/>
  <c r="BI100" i="2"/>
  <c r="BV100" i="2" s="1"/>
  <c r="BJ100" i="2"/>
  <c r="BW100" i="2" s="1"/>
  <c r="BK100" i="2"/>
  <c r="BX100" i="2" s="1"/>
  <c r="AZ101" i="2"/>
  <c r="BA101" i="2"/>
  <c r="BN101" i="2" s="1"/>
  <c r="BB101" i="2"/>
  <c r="BC101" i="2"/>
  <c r="BP101" i="2" s="1"/>
  <c r="BD101" i="2"/>
  <c r="BQ101" i="2" s="1"/>
  <c r="BE101" i="2"/>
  <c r="BF101" i="2"/>
  <c r="BG101" i="2"/>
  <c r="BH101" i="2"/>
  <c r="BI101" i="2"/>
  <c r="BV101" i="2" s="1"/>
  <c r="BJ101" i="2"/>
  <c r="BK101" i="2"/>
  <c r="BX101" i="2" s="1"/>
  <c r="AZ102" i="2"/>
  <c r="BA102" i="2"/>
  <c r="BN102" i="2" s="1"/>
  <c r="BB102" i="2"/>
  <c r="BO102" i="2" s="1"/>
  <c r="BC102" i="2"/>
  <c r="BD102" i="2"/>
  <c r="BQ102" i="2" s="1"/>
  <c r="BE102" i="2"/>
  <c r="BR102" i="2" s="1"/>
  <c r="BF102" i="2"/>
  <c r="BS102" i="2" s="1"/>
  <c r="BG102" i="2"/>
  <c r="BT102" i="2" s="1"/>
  <c r="BH102" i="2"/>
  <c r="BU102" i="2" s="1"/>
  <c r="BI102" i="2"/>
  <c r="BV102" i="2" s="1"/>
  <c r="BJ102" i="2"/>
  <c r="BW102" i="2" s="1"/>
  <c r="BK102" i="2"/>
  <c r="AZ103" i="2"/>
  <c r="BA103" i="2"/>
  <c r="BN103" i="2" s="1"/>
  <c r="BB103" i="2"/>
  <c r="BO103" i="2" s="1"/>
  <c r="BC103" i="2"/>
  <c r="BP103" i="2" s="1"/>
  <c r="BD103" i="2"/>
  <c r="BQ103" i="2" s="1"/>
  <c r="BE103" i="2"/>
  <c r="BR103" i="2" s="1"/>
  <c r="BF103" i="2"/>
  <c r="BS103" i="2" s="1"/>
  <c r="BG103" i="2"/>
  <c r="BT103" i="2" s="1"/>
  <c r="BH103" i="2"/>
  <c r="BI103" i="2"/>
  <c r="BV103" i="2" s="1"/>
  <c r="BJ103" i="2"/>
  <c r="BW103" i="2" s="1"/>
  <c r="BK103" i="2"/>
  <c r="BX103" i="2" s="1"/>
  <c r="AZ104" i="2"/>
  <c r="BA104" i="2"/>
  <c r="BN104" i="2" s="1"/>
  <c r="BB104" i="2"/>
  <c r="BO104" i="2" s="1"/>
  <c r="BC104" i="2"/>
  <c r="BP104" i="2" s="1"/>
  <c r="BD104" i="2"/>
  <c r="BQ104" i="2" s="1"/>
  <c r="BE104" i="2"/>
  <c r="BR104" i="2" s="1"/>
  <c r="BF104" i="2"/>
  <c r="BG104" i="2"/>
  <c r="BT104" i="2" s="1"/>
  <c r="BH104" i="2"/>
  <c r="BU104" i="2" s="1"/>
  <c r="BI104" i="2"/>
  <c r="BV104" i="2" s="1"/>
  <c r="BJ104" i="2"/>
  <c r="BW104" i="2" s="1"/>
  <c r="BK104" i="2"/>
  <c r="BX104" i="2" s="1"/>
  <c r="AZ105" i="2"/>
  <c r="BA105" i="2"/>
  <c r="BN105" i="2" s="1"/>
  <c r="BB105" i="2"/>
  <c r="BC105" i="2"/>
  <c r="BP105" i="2" s="1"/>
  <c r="BD105" i="2"/>
  <c r="BQ105" i="2" s="1"/>
  <c r="BE105" i="2"/>
  <c r="BF105" i="2"/>
  <c r="BG105" i="2"/>
  <c r="BH105" i="2"/>
  <c r="BI105" i="2"/>
  <c r="BV105" i="2" s="1"/>
  <c r="BJ105" i="2"/>
  <c r="BK105" i="2"/>
  <c r="BX105" i="2" s="1"/>
  <c r="AZ106" i="2"/>
  <c r="BA106" i="2"/>
  <c r="BN106" i="2" s="1"/>
  <c r="BB106" i="2"/>
  <c r="BO106" i="2" s="1"/>
  <c r="BC106" i="2"/>
  <c r="BD106" i="2"/>
  <c r="BQ106" i="2" s="1"/>
  <c r="BE106" i="2"/>
  <c r="BR106" i="2" s="1"/>
  <c r="BF106" i="2"/>
  <c r="BS106" i="2" s="1"/>
  <c r="BG106" i="2"/>
  <c r="BT106" i="2" s="1"/>
  <c r="BH106" i="2"/>
  <c r="BU106" i="2" s="1"/>
  <c r="BI106" i="2"/>
  <c r="BV106" i="2" s="1"/>
  <c r="BJ106" i="2"/>
  <c r="BW106" i="2" s="1"/>
  <c r="BK106" i="2"/>
  <c r="AZ107" i="2"/>
  <c r="BA107" i="2"/>
  <c r="BN107" i="2" s="1"/>
  <c r="BB107" i="2"/>
  <c r="BO107" i="2" s="1"/>
  <c r="BC107" i="2"/>
  <c r="BP107" i="2" s="1"/>
  <c r="BD107" i="2"/>
  <c r="BQ107" i="2" s="1"/>
  <c r="BE107" i="2"/>
  <c r="BR107" i="2" s="1"/>
  <c r="BF107" i="2"/>
  <c r="BS107" i="2" s="1"/>
  <c r="BG107" i="2"/>
  <c r="BT107" i="2" s="1"/>
  <c r="BH107" i="2"/>
  <c r="BI107" i="2"/>
  <c r="BV107" i="2" s="1"/>
  <c r="BJ107" i="2"/>
  <c r="BW107" i="2" s="1"/>
  <c r="BK107" i="2"/>
  <c r="BX107" i="2" s="1"/>
  <c r="AZ108" i="2"/>
  <c r="BA108" i="2"/>
  <c r="BN108" i="2" s="1"/>
  <c r="BB108" i="2"/>
  <c r="BO108" i="2" s="1"/>
  <c r="BC108" i="2"/>
  <c r="BP108" i="2" s="1"/>
  <c r="BD108" i="2"/>
  <c r="BQ108" i="2" s="1"/>
  <c r="BE108" i="2"/>
  <c r="BR108" i="2" s="1"/>
  <c r="BF108" i="2"/>
  <c r="BG108" i="2"/>
  <c r="BT108" i="2" s="1"/>
  <c r="BH108" i="2"/>
  <c r="BU108" i="2" s="1"/>
  <c r="BI108" i="2"/>
  <c r="BV108" i="2" s="1"/>
  <c r="BJ108" i="2"/>
  <c r="BW108" i="2" s="1"/>
  <c r="BK108" i="2"/>
  <c r="BX108" i="2" s="1"/>
  <c r="AZ109" i="2"/>
  <c r="BA109" i="2"/>
  <c r="BN109" i="2" s="1"/>
  <c r="BB109" i="2"/>
  <c r="BC109" i="2"/>
  <c r="BP109" i="2" s="1"/>
  <c r="BD109" i="2"/>
  <c r="BQ109" i="2" s="1"/>
  <c r="BE109" i="2"/>
  <c r="BF109" i="2"/>
  <c r="BG109" i="2"/>
  <c r="BH109" i="2"/>
  <c r="BI109" i="2"/>
  <c r="BV109" i="2" s="1"/>
  <c r="BJ109" i="2"/>
  <c r="BK109" i="2"/>
  <c r="BX109" i="2" s="1"/>
  <c r="AZ110" i="2"/>
  <c r="BA110" i="2"/>
  <c r="BN110" i="2" s="1"/>
  <c r="BB110" i="2"/>
  <c r="BO110" i="2" s="1"/>
  <c r="BC110" i="2"/>
  <c r="BD110" i="2"/>
  <c r="BQ110" i="2" s="1"/>
  <c r="BE110" i="2"/>
  <c r="BR110" i="2" s="1"/>
  <c r="BF110" i="2"/>
  <c r="BS110" i="2" s="1"/>
  <c r="BG110" i="2"/>
  <c r="BT110" i="2" s="1"/>
  <c r="BH110" i="2"/>
  <c r="BU110" i="2" s="1"/>
  <c r="BI110" i="2"/>
  <c r="BV110" i="2" s="1"/>
  <c r="BJ110" i="2"/>
  <c r="BW110" i="2" s="1"/>
  <c r="BK110" i="2"/>
  <c r="AZ111" i="2"/>
  <c r="BA111" i="2"/>
  <c r="BN111" i="2" s="1"/>
  <c r="BB111" i="2"/>
  <c r="BO111" i="2" s="1"/>
  <c r="BC111" i="2"/>
  <c r="BP111" i="2" s="1"/>
  <c r="BD111" i="2"/>
  <c r="BQ111" i="2" s="1"/>
  <c r="BE111" i="2"/>
  <c r="BR111" i="2" s="1"/>
  <c r="BF111" i="2"/>
  <c r="BS111" i="2" s="1"/>
  <c r="BG111" i="2"/>
  <c r="BT111" i="2" s="1"/>
  <c r="BH111" i="2"/>
  <c r="BI111" i="2"/>
  <c r="BV111" i="2" s="1"/>
  <c r="BJ111" i="2"/>
  <c r="BW111" i="2" s="1"/>
  <c r="BK111" i="2"/>
  <c r="BX111" i="2" s="1"/>
  <c r="AZ112" i="2"/>
  <c r="BA112" i="2"/>
  <c r="BN112" i="2" s="1"/>
  <c r="BB112" i="2"/>
  <c r="BO112" i="2" s="1"/>
  <c r="BC112" i="2"/>
  <c r="BP112" i="2" s="1"/>
  <c r="BD112" i="2"/>
  <c r="BQ112" i="2" s="1"/>
  <c r="BE112" i="2"/>
  <c r="BR112" i="2" s="1"/>
  <c r="BF112" i="2"/>
  <c r="BG112" i="2"/>
  <c r="BT112" i="2" s="1"/>
  <c r="BH112" i="2"/>
  <c r="BU112" i="2" s="1"/>
  <c r="BI112" i="2"/>
  <c r="BV112" i="2" s="1"/>
  <c r="BJ112" i="2"/>
  <c r="BW112" i="2" s="1"/>
  <c r="BK112" i="2"/>
  <c r="BX112" i="2" s="1"/>
  <c r="AZ113" i="2"/>
  <c r="BA113" i="2"/>
  <c r="BN113" i="2" s="1"/>
  <c r="BB113" i="2"/>
  <c r="BC113" i="2"/>
  <c r="BP113" i="2" s="1"/>
  <c r="BD113" i="2"/>
  <c r="BQ113" i="2" s="1"/>
  <c r="BE113" i="2"/>
  <c r="BF113" i="2"/>
  <c r="BG113" i="2"/>
  <c r="BH113" i="2"/>
  <c r="BI113" i="2"/>
  <c r="BV113" i="2" s="1"/>
  <c r="BJ113" i="2"/>
  <c r="BK113" i="2"/>
  <c r="BX113" i="2" s="1"/>
  <c r="AZ114" i="2"/>
  <c r="BA114" i="2"/>
  <c r="BN114" i="2" s="1"/>
  <c r="BB114" i="2"/>
  <c r="BO114" i="2" s="1"/>
  <c r="BC114" i="2"/>
  <c r="BD114" i="2"/>
  <c r="BQ114" i="2" s="1"/>
  <c r="BE114" i="2"/>
  <c r="BR114" i="2" s="1"/>
  <c r="BF114" i="2"/>
  <c r="BS114" i="2" s="1"/>
  <c r="BG114" i="2"/>
  <c r="BT114" i="2" s="1"/>
  <c r="BH114" i="2"/>
  <c r="BU114" i="2" s="1"/>
  <c r="BI114" i="2"/>
  <c r="BV114" i="2" s="1"/>
  <c r="BJ114" i="2"/>
  <c r="BW114" i="2" s="1"/>
  <c r="BK114" i="2"/>
  <c r="AZ115" i="2"/>
  <c r="BA115" i="2"/>
  <c r="BN115" i="2" s="1"/>
  <c r="BB115" i="2"/>
  <c r="BO115" i="2" s="1"/>
  <c r="BC115" i="2"/>
  <c r="BP115" i="2" s="1"/>
  <c r="BD115" i="2"/>
  <c r="BQ115" i="2" s="1"/>
  <c r="BE115" i="2"/>
  <c r="BR115" i="2" s="1"/>
  <c r="BF115" i="2"/>
  <c r="BS115" i="2" s="1"/>
  <c r="BG115" i="2"/>
  <c r="BT115" i="2" s="1"/>
  <c r="BH115" i="2"/>
  <c r="BI115" i="2"/>
  <c r="BV115" i="2" s="1"/>
  <c r="BJ115" i="2"/>
  <c r="BW115" i="2" s="1"/>
  <c r="BK115" i="2"/>
  <c r="BX115" i="2" s="1"/>
  <c r="AZ116" i="2"/>
  <c r="BA116" i="2"/>
  <c r="BN116" i="2" s="1"/>
  <c r="BB116" i="2"/>
  <c r="BO116" i="2" s="1"/>
  <c r="BC116" i="2"/>
  <c r="BP116" i="2" s="1"/>
  <c r="BD116" i="2"/>
  <c r="BQ116" i="2" s="1"/>
  <c r="BE116" i="2"/>
  <c r="BR116" i="2" s="1"/>
  <c r="BF116" i="2"/>
  <c r="BG116" i="2"/>
  <c r="BT116" i="2" s="1"/>
  <c r="BH116" i="2"/>
  <c r="BU116" i="2" s="1"/>
  <c r="BI116" i="2"/>
  <c r="BV116" i="2" s="1"/>
  <c r="BJ116" i="2"/>
  <c r="BW116" i="2" s="1"/>
  <c r="BK116" i="2"/>
  <c r="BX116" i="2" s="1"/>
  <c r="AZ117" i="2"/>
  <c r="BA117" i="2"/>
  <c r="BN117" i="2" s="1"/>
  <c r="BB117" i="2"/>
  <c r="BC117" i="2"/>
  <c r="BP117" i="2" s="1"/>
  <c r="BZ117" i="2" s="1"/>
  <c r="BD117" i="2"/>
  <c r="BQ117" i="2" s="1"/>
  <c r="BE117" i="2"/>
  <c r="BF117" i="2"/>
  <c r="BS117" i="2" s="1"/>
  <c r="CA117" i="2" s="1"/>
  <c r="BG117" i="2"/>
  <c r="BH117" i="2"/>
  <c r="BI117" i="2"/>
  <c r="BV117" i="2" s="1"/>
  <c r="CB117" i="2" s="1"/>
  <c r="BJ117" i="2"/>
  <c r="BK117" i="2"/>
  <c r="BX117" i="2" s="1"/>
  <c r="AZ118" i="2"/>
  <c r="BA118" i="2"/>
  <c r="BN118" i="2" s="1"/>
  <c r="BB118" i="2"/>
  <c r="BO118" i="2" s="1"/>
  <c r="BC118" i="2"/>
  <c r="BD118" i="2"/>
  <c r="BQ118" i="2" s="1"/>
  <c r="BE118" i="2"/>
  <c r="BR118" i="2" s="1"/>
  <c r="BF118" i="2"/>
  <c r="BS118" i="2" s="1"/>
  <c r="BG118" i="2"/>
  <c r="BT118" i="2" s="1"/>
  <c r="BH118" i="2"/>
  <c r="BU118" i="2" s="1"/>
  <c r="BI118" i="2"/>
  <c r="BV118" i="2" s="1"/>
  <c r="BJ118" i="2"/>
  <c r="BW118" i="2" s="1"/>
  <c r="BK118" i="2"/>
  <c r="AZ119" i="2"/>
  <c r="BA119" i="2"/>
  <c r="BN119" i="2" s="1"/>
  <c r="BB119" i="2"/>
  <c r="BO119" i="2" s="1"/>
  <c r="BC119" i="2"/>
  <c r="BP119" i="2" s="1"/>
  <c r="BD119" i="2"/>
  <c r="BQ119" i="2" s="1"/>
  <c r="BE119" i="2"/>
  <c r="BR119" i="2" s="1"/>
  <c r="BF119" i="2"/>
  <c r="BS119" i="2" s="1"/>
  <c r="BG119" i="2"/>
  <c r="BT119" i="2" s="1"/>
  <c r="BH119" i="2"/>
  <c r="BI119" i="2"/>
  <c r="BV119" i="2" s="1"/>
  <c r="BJ119" i="2"/>
  <c r="BW119" i="2" s="1"/>
  <c r="BK119" i="2"/>
  <c r="BX119" i="2" s="1"/>
  <c r="AZ120" i="2"/>
  <c r="BA120" i="2"/>
  <c r="BN120" i="2" s="1"/>
  <c r="BB120" i="2"/>
  <c r="BO120" i="2" s="1"/>
  <c r="BC120" i="2"/>
  <c r="BP120" i="2" s="1"/>
  <c r="BD120" i="2"/>
  <c r="BQ120" i="2" s="1"/>
  <c r="BE120" i="2"/>
  <c r="BR120" i="2" s="1"/>
  <c r="BF120" i="2"/>
  <c r="BG120" i="2"/>
  <c r="BT120" i="2" s="1"/>
  <c r="BH120" i="2"/>
  <c r="BU120" i="2" s="1"/>
  <c r="BI120" i="2"/>
  <c r="BV120" i="2" s="1"/>
  <c r="BJ120" i="2"/>
  <c r="BW120" i="2" s="1"/>
  <c r="BK120" i="2"/>
  <c r="BX120" i="2" s="1"/>
  <c r="AZ121" i="2"/>
  <c r="BA121" i="2"/>
  <c r="BN121" i="2" s="1"/>
  <c r="BB121" i="2"/>
  <c r="BC121" i="2"/>
  <c r="BP121" i="2" s="1"/>
  <c r="BD121" i="2"/>
  <c r="BE121" i="2"/>
  <c r="BF121" i="2"/>
  <c r="BS121" i="2" s="1"/>
  <c r="BG121" i="2"/>
  <c r="BH121" i="2"/>
  <c r="BI121" i="2"/>
  <c r="BV121" i="2" s="1"/>
  <c r="BJ121" i="2"/>
  <c r="BK121" i="2"/>
  <c r="BX121" i="2" s="1"/>
  <c r="AZ122" i="2"/>
  <c r="BA122" i="2"/>
  <c r="BN122" i="2" s="1"/>
  <c r="BB122" i="2"/>
  <c r="BO122" i="2" s="1"/>
  <c r="BC122" i="2"/>
  <c r="BD122" i="2"/>
  <c r="BQ122" i="2" s="1"/>
  <c r="BE122" i="2"/>
  <c r="BR122" i="2" s="1"/>
  <c r="BF122" i="2"/>
  <c r="BS122" i="2" s="1"/>
  <c r="BG122" i="2"/>
  <c r="BT122" i="2" s="1"/>
  <c r="BH122" i="2"/>
  <c r="BU122" i="2" s="1"/>
  <c r="BI122" i="2"/>
  <c r="BV122" i="2" s="1"/>
  <c r="BJ122" i="2"/>
  <c r="BW122" i="2" s="1"/>
  <c r="BK122" i="2"/>
  <c r="AZ123" i="2"/>
  <c r="BA123" i="2"/>
  <c r="BN123" i="2" s="1"/>
  <c r="BB123" i="2"/>
  <c r="BO123" i="2" s="1"/>
  <c r="BC123" i="2"/>
  <c r="BP123" i="2" s="1"/>
  <c r="BD123" i="2"/>
  <c r="BQ123" i="2" s="1"/>
  <c r="BE123" i="2"/>
  <c r="BR123" i="2" s="1"/>
  <c r="BF123" i="2"/>
  <c r="BS123" i="2" s="1"/>
  <c r="BG123" i="2"/>
  <c r="BT123" i="2" s="1"/>
  <c r="BH123" i="2"/>
  <c r="BI123" i="2"/>
  <c r="BV123" i="2" s="1"/>
  <c r="BJ123" i="2"/>
  <c r="BW123" i="2" s="1"/>
  <c r="BK123" i="2"/>
  <c r="BX123" i="2" s="1"/>
  <c r="AZ124" i="2"/>
  <c r="BA124" i="2"/>
  <c r="BN124" i="2" s="1"/>
  <c r="BB124" i="2"/>
  <c r="BO124" i="2" s="1"/>
  <c r="BC124" i="2"/>
  <c r="BP124" i="2" s="1"/>
  <c r="BD124" i="2"/>
  <c r="BQ124" i="2" s="1"/>
  <c r="BE124" i="2"/>
  <c r="BR124" i="2" s="1"/>
  <c r="BF124" i="2"/>
  <c r="BG124" i="2"/>
  <c r="BT124" i="2" s="1"/>
  <c r="BH124" i="2"/>
  <c r="BU124" i="2" s="1"/>
  <c r="BI124" i="2"/>
  <c r="BV124" i="2" s="1"/>
  <c r="BJ124" i="2"/>
  <c r="BW124" i="2" s="1"/>
  <c r="BK124" i="2"/>
  <c r="BX124" i="2" s="1"/>
  <c r="AZ125" i="2"/>
  <c r="BA125" i="2"/>
  <c r="BB125" i="2"/>
  <c r="BC125" i="2"/>
  <c r="BD125" i="2"/>
  <c r="BE125" i="2"/>
  <c r="BF125" i="2"/>
  <c r="BG125" i="2"/>
  <c r="BH125" i="2"/>
  <c r="BI125" i="2"/>
  <c r="BJ125" i="2"/>
  <c r="BK125" i="2"/>
  <c r="AZ126" i="2"/>
  <c r="BA126" i="2"/>
  <c r="BN126" i="2" s="1"/>
  <c r="BB126" i="2"/>
  <c r="BO126" i="2" s="1"/>
  <c r="BC126" i="2"/>
  <c r="BD126" i="2"/>
  <c r="BQ126" i="2" s="1"/>
  <c r="BE126" i="2"/>
  <c r="BR126" i="2" s="1"/>
  <c r="BF126" i="2"/>
  <c r="BS126" i="2" s="1"/>
  <c r="BG126" i="2"/>
  <c r="BT126" i="2" s="1"/>
  <c r="BH126" i="2"/>
  <c r="BU126" i="2" s="1"/>
  <c r="BI126" i="2"/>
  <c r="BV126" i="2" s="1"/>
  <c r="BJ126" i="2"/>
  <c r="BW126" i="2" s="1"/>
  <c r="BK126" i="2"/>
  <c r="AZ127" i="2"/>
  <c r="BA127" i="2"/>
  <c r="BN127" i="2" s="1"/>
  <c r="BB127" i="2"/>
  <c r="BO127" i="2" s="1"/>
  <c r="BC127" i="2"/>
  <c r="BP127" i="2" s="1"/>
  <c r="BD127" i="2"/>
  <c r="BQ127" i="2" s="1"/>
  <c r="BE127" i="2"/>
  <c r="BR127" i="2" s="1"/>
  <c r="BF127" i="2"/>
  <c r="BS127" i="2" s="1"/>
  <c r="BG127" i="2"/>
  <c r="BT127" i="2" s="1"/>
  <c r="BH127" i="2"/>
  <c r="BI127" i="2"/>
  <c r="BV127" i="2" s="1"/>
  <c r="BJ127" i="2"/>
  <c r="BW127" i="2" s="1"/>
  <c r="BK127" i="2"/>
  <c r="BX127" i="2" s="1"/>
  <c r="AZ128" i="2"/>
  <c r="BA128" i="2"/>
  <c r="BN128" i="2" s="1"/>
  <c r="BB128" i="2"/>
  <c r="BO128" i="2" s="1"/>
  <c r="BC128" i="2"/>
  <c r="BP128" i="2" s="1"/>
  <c r="BD128" i="2"/>
  <c r="BQ128" i="2" s="1"/>
  <c r="BE128" i="2"/>
  <c r="BR128" i="2" s="1"/>
  <c r="BF128" i="2"/>
  <c r="BG128" i="2"/>
  <c r="BT128" i="2" s="1"/>
  <c r="BH128" i="2"/>
  <c r="BU128" i="2" s="1"/>
  <c r="BI128" i="2"/>
  <c r="BV128" i="2" s="1"/>
  <c r="BJ128" i="2"/>
  <c r="BW128" i="2" s="1"/>
  <c r="BK128" i="2"/>
  <c r="BX128" i="2" s="1"/>
  <c r="AZ129" i="2"/>
  <c r="BA129" i="2"/>
  <c r="BB129" i="2"/>
  <c r="BC129" i="2"/>
  <c r="BD129" i="2"/>
  <c r="BE129" i="2"/>
  <c r="BF129" i="2"/>
  <c r="BG129" i="2"/>
  <c r="BH129" i="2"/>
  <c r="BI129" i="2"/>
  <c r="BJ129" i="2"/>
  <c r="BK129" i="2"/>
  <c r="AZ130" i="2"/>
  <c r="BA130" i="2"/>
  <c r="BN130" i="2" s="1"/>
  <c r="BB130" i="2"/>
  <c r="BO130" i="2" s="1"/>
  <c r="BC130" i="2"/>
  <c r="BD130" i="2"/>
  <c r="BQ130" i="2" s="1"/>
  <c r="BE130" i="2"/>
  <c r="BR130" i="2" s="1"/>
  <c r="BF130" i="2"/>
  <c r="BS130" i="2" s="1"/>
  <c r="BG130" i="2"/>
  <c r="BT130" i="2" s="1"/>
  <c r="BH130" i="2"/>
  <c r="BU130" i="2" s="1"/>
  <c r="BI130" i="2"/>
  <c r="BV130" i="2" s="1"/>
  <c r="BJ130" i="2"/>
  <c r="BW130" i="2" s="1"/>
  <c r="BK130" i="2"/>
  <c r="AZ131" i="2"/>
  <c r="BA131" i="2"/>
  <c r="BN131" i="2" s="1"/>
  <c r="BB131" i="2"/>
  <c r="BO131" i="2" s="1"/>
  <c r="BC131" i="2"/>
  <c r="BP131" i="2" s="1"/>
  <c r="BD131" i="2"/>
  <c r="BQ131" i="2" s="1"/>
  <c r="BE131" i="2"/>
  <c r="BR131" i="2" s="1"/>
  <c r="BF131" i="2"/>
  <c r="BS131" i="2" s="1"/>
  <c r="BG131" i="2"/>
  <c r="BT131" i="2" s="1"/>
  <c r="BH131" i="2"/>
  <c r="BI131" i="2"/>
  <c r="BV131" i="2" s="1"/>
  <c r="BJ131" i="2"/>
  <c r="BW131" i="2" s="1"/>
  <c r="BK131" i="2"/>
  <c r="BX131" i="2" s="1"/>
  <c r="AZ132" i="2"/>
  <c r="BA132" i="2"/>
  <c r="BN132" i="2" s="1"/>
  <c r="BB132" i="2"/>
  <c r="BO132" i="2" s="1"/>
  <c r="BC132" i="2"/>
  <c r="BP132" i="2" s="1"/>
  <c r="BD132" i="2"/>
  <c r="BQ132" i="2" s="1"/>
  <c r="BE132" i="2"/>
  <c r="BR132" i="2" s="1"/>
  <c r="BF132" i="2"/>
  <c r="BG132" i="2"/>
  <c r="BT132" i="2" s="1"/>
  <c r="BH132" i="2"/>
  <c r="BU132" i="2" s="1"/>
  <c r="BI132" i="2"/>
  <c r="BV132" i="2" s="1"/>
  <c r="BJ132" i="2"/>
  <c r="BW132" i="2" s="1"/>
  <c r="BK132" i="2"/>
  <c r="BX132" i="2" s="1"/>
  <c r="AZ133" i="2"/>
  <c r="BA133" i="2"/>
  <c r="BB133" i="2"/>
  <c r="BC133" i="2"/>
  <c r="BD133" i="2"/>
  <c r="BE133" i="2"/>
  <c r="BF133" i="2"/>
  <c r="BG133" i="2"/>
  <c r="BH133" i="2"/>
  <c r="BI133" i="2"/>
  <c r="BJ133" i="2"/>
  <c r="BK133" i="2"/>
  <c r="AZ134" i="2"/>
  <c r="BA134" i="2"/>
  <c r="BN134" i="2" s="1"/>
  <c r="BB134" i="2"/>
  <c r="BO134" i="2" s="1"/>
  <c r="BC134" i="2"/>
  <c r="BD134" i="2"/>
  <c r="BQ134" i="2" s="1"/>
  <c r="BE134" i="2"/>
  <c r="BR134" i="2" s="1"/>
  <c r="BF134" i="2"/>
  <c r="BS134" i="2" s="1"/>
  <c r="BG134" i="2"/>
  <c r="BT134" i="2" s="1"/>
  <c r="BH134" i="2"/>
  <c r="BU134" i="2" s="1"/>
  <c r="BI134" i="2"/>
  <c r="BV134" i="2" s="1"/>
  <c r="BJ134" i="2"/>
  <c r="BW134" i="2" s="1"/>
  <c r="BK134" i="2"/>
  <c r="AZ135" i="2"/>
  <c r="BA135" i="2"/>
  <c r="BN135" i="2" s="1"/>
  <c r="BB135" i="2"/>
  <c r="BO135" i="2" s="1"/>
  <c r="BC135" i="2"/>
  <c r="BP135" i="2" s="1"/>
  <c r="BD135" i="2"/>
  <c r="BQ135" i="2" s="1"/>
  <c r="BE135" i="2"/>
  <c r="BR135" i="2" s="1"/>
  <c r="BF135" i="2"/>
  <c r="BS135" i="2" s="1"/>
  <c r="BG135" i="2"/>
  <c r="BT135" i="2" s="1"/>
  <c r="BH135" i="2"/>
  <c r="BI135" i="2"/>
  <c r="BV135" i="2" s="1"/>
  <c r="BJ135" i="2"/>
  <c r="BW135" i="2" s="1"/>
  <c r="BK135" i="2"/>
  <c r="BX135" i="2" s="1"/>
  <c r="AZ136" i="2"/>
  <c r="BA136" i="2"/>
  <c r="BN136" i="2" s="1"/>
  <c r="BB136" i="2"/>
  <c r="BO136" i="2" s="1"/>
  <c r="BC136" i="2"/>
  <c r="BP136" i="2" s="1"/>
  <c r="BD136" i="2"/>
  <c r="BQ136" i="2" s="1"/>
  <c r="BE136" i="2"/>
  <c r="BR136" i="2" s="1"/>
  <c r="BF136" i="2"/>
  <c r="BG136" i="2"/>
  <c r="BT136" i="2" s="1"/>
  <c r="BH136" i="2"/>
  <c r="BU136" i="2" s="1"/>
  <c r="BI136" i="2"/>
  <c r="BV136" i="2" s="1"/>
  <c r="BJ136" i="2"/>
  <c r="BK136" i="2"/>
  <c r="BX136" i="2" s="1"/>
  <c r="AZ137" i="2"/>
  <c r="BA137" i="2"/>
  <c r="BB137" i="2"/>
  <c r="BC137" i="2"/>
  <c r="BD137" i="2"/>
  <c r="BE137" i="2"/>
  <c r="BF137" i="2"/>
  <c r="BG137" i="2"/>
  <c r="BH137" i="2"/>
  <c r="BI137" i="2"/>
  <c r="BJ137" i="2"/>
  <c r="BK137" i="2"/>
  <c r="AZ138" i="2"/>
  <c r="BA138" i="2"/>
  <c r="BN138" i="2" s="1"/>
  <c r="BB138" i="2"/>
  <c r="BO138" i="2" s="1"/>
  <c r="BC138" i="2"/>
  <c r="BD138" i="2"/>
  <c r="BQ138" i="2" s="1"/>
  <c r="BE138" i="2"/>
  <c r="BR138" i="2" s="1"/>
  <c r="BF138" i="2"/>
  <c r="BS138" i="2" s="1"/>
  <c r="BG138" i="2"/>
  <c r="BT138" i="2" s="1"/>
  <c r="BH138" i="2"/>
  <c r="BU138" i="2" s="1"/>
  <c r="BI138" i="2"/>
  <c r="BV138" i="2" s="1"/>
  <c r="BJ138" i="2"/>
  <c r="BW138" i="2" s="1"/>
  <c r="BK138" i="2"/>
  <c r="AZ139" i="2"/>
  <c r="BA139" i="2"/>
  <c r="BN139" i="2" s="1"/>
  <c r="BB139" i="2"/>
  <c r="BC139" i="2"/>
  <c r="BP139" i="2" s="1"/>
  <c r="BD139" i="2"/>
  <c r="BQ139" i="2" s="1"/>
  <c r="BE139" i="2"/>
  <c r="BR139" i="2" s="1"/>
  <c r="BF139" i="2"/>
  <c r="BS139" i="2" s="1"/>
  <c r="BG139" i="2"/>
  <c r="BH139" i="2"/>
  <c r="BI139" i="2"/>
  <c r="BV139" i="2" s="1"/>
  <c r="BJ139" i="2"/>
  <c r="BK139" i="2"/>
  <c r="BX139" i="2" s="1"/>
  <c r="AZ140" i="2"/>
  <c r="BA140" i="2"/>
  <c r="BN140" i="2" s="1"/>
  <c r="BB140" i="2"/>
  <c r="BC140" i="2"/>
  <c r="BP140" i="2" s="1"/>
  <c r="BD140" i="2"/>
  <c r="BQ140" i="2" s="1"/>
  <c r="BE140" i="2"/>
  <c r="BR140" i="2" s="1"/>
  <c r="BF140" i="2"/>
  <c r="BG140" i="2"/>
  <c r="BT140" i="2" s="1"/>
  <c r="BH140" i="2"/>
  <c r="BU140" i="2" s="1"/>
  <c r="BI140" i="2"/>
  <c r="BV140" i="2" s="1"/>
  <c r="BJ140" i="2"/>
  <c r="BK140" i="2"/>
  <c r="BX140" i="2" s="1"/>
  <c r="AZ141" i="2"/>
  <c r="BA141" i="2"/>
  <c r="BB141" i="2"/>
  <c r="BC141" i="2"/>
  <c r="BD141" i="2"/>
  <c r="BE141" i="2"/>
  <c r="BF141" i="2"/>
  <c r="BG141" i="2"/>
  <c r="BH141" i="2"/>
  <c r="BI141" i="2"/>
  <c r="BJ141" i="2"/>
  <c r="BK141" i="2"/>
  <c r="AZ142" i="2"/>
  <c r="BA142" i="2"/>
  <c r="BN142" i="2" s="1"/>
  <c r="BB142" i="2"/>
  <c r="BO142" i="2" s="1"/>
  <c r="BC142" i="2"/>
  <c r="BD142" i="2"/>
  <c r="BQ142" i="2" s="1"/>
  <c r="BE142" i="2"/>
  <c r="BR142" i="2" s="1"/>
  <c r="BF142" i="2"/>
  <c r="BS142" i="2" s="1"/>
  <c r="BG142" i="2"/>
  <c r="BT142" i="2" s="1"/>
  <c r="BH142" i="2"/>
  <c r="BU142" i="2" s="1"/>
  <c r="BI142" i="2"/>
  <c r="BV142" i="2" s="1"/>
  <c r="BJ142" i="2"/>
  <c r="BW142" i="2" s="1"/>
  <c r="BK142" i="2"/>
  <c r="AZ143" i="2"/>
  <c r="BA143" i="2"/>
  <c r="BN143" i="2" s="1"/>
  <c r="BB143" i="2"/>
  <c r="BC143" i="2"/>
  <c r="BP143" i="2" s="1"/>
  <c r="BD143" i="2"/>
  <c r="BQ143" i="2" s="1"/>
  <c r="BE143" i="2"/>
  <c r="BR143" i="2" s="1"/>
  <c r="BF143" i="2"/>
  <c r="BS143" i="2" s="1"/>
  <c r="BG143" i="2"/>
  <c r="BH143" i="2"/>
  <c r="BI143" i="2"/>
  <c r="BV143" i="2" s="1"/>
  <c r="BJ143" i="2"/>
  <c r="BK143" i="2"/>
  <c r="BX143" i="2" s="1"/>
  <c r="AZ144" i="2"/>
  <c r="BA144" i="2"/>
  <c r="BB144" i="2"/>
  <c r="BC144" i="2"/>
  <c r="BP144" i="2" s="1"/>
  <c r="BD144" i="2"/>
  <c r="BQ144" i="2" s="1"/>
  <c r="BE144" i="2"/>
  <c r="BR144" i="2" s="1"/>
  <c r="BF144" i="2"/>
  <c r="BG144" i="2"/>
  <c r="BT144" i="2" s="1"/>
  <c r="BH144" i="2"/>
  <c r="BU144" i="2" s="1"/>
  <c r="BI144" i="2"/>
  <c r="BJ144" i="2"/>
  <c r="BK144" i="2"/>
  <c r="BX144" i="2" s="1"/>
  <c r="AZ145" i="2"/>
  <c r="BA145" i="2"/>
  <c r="BB145" i="2"/>
  <c r="BC145" i="2"/>
  <c r="BD145" i="2"/>
  <c r="BE145" i="2"/>
  <c r="BF145" i="2"/>
  <c r="BG145" i="2"/>
  <c r="BH145" i="2"/>
  <c r="BI145" i="2"/>
  <c r="BJ145" i="2"/>
  <c r="BK145" i="2"/>
  <c r="AZ146" i="2"/>
  <c r="BA146" i="2"/>
  <c r="BN146" i="2" s="1"/>
  <c r="BB146" i="2"/>
  <c r="BO146" i="2" s="1"/>
  <c r="BC146" i="2"/>
  <c r="BD146" i="2"/>
  <c r="BQ146" i="2" s="1"/>
  <c r="BE146" i="2"/>
  <c r="BR146" i="2" s="1"/>
  <c r="BF146" i="2"/>
  <c r="BS146" i="2" s="1"/>
  <c r="BG146" i="2"/>
  <c r="BT146" i="2" s="1"/>
  <c r="BH146" i="2"/>
  <c r="BU146" i="2" s="1"/>
  <c r="BI146" i="2"/>
  <c r="BV146" i="2" s="1"/>
  <c r="BJ146" i="2"/>
  <c r="BW146" i="2" s="1"/>
  <c r="BK146" i="2"/>
  <c r="AZ147" i="2"/>
  <c r="BA147" i="2"/>
  <c r="BN147" i="2" s="1"/>
  <c r="BB147" i="2"/>
  <c r="BC147" i="2"/>
  <c r="BP147" i="2" s="1"/>
  <c r="BD147" i="2"/>
  <c r="BQ147" i="2" s="1"/>
  <c r="BE147" i="2"/>
  <c r="BF147" i="2"/>
  <c r="BS147" i="2" s="1"/>
  <c r="BG147" i="2"/>
  <c r="BH147" i="2"/>
  <c r="BI147" i="2"/>
  <c r="BV147" i="2" s="1"/>
  <c r="BJ147" i="2"/>
  <c r="BK147" i="2"/>
  <c r="BX147" i="2" s="1"/>
  <c r="AZ148" i="2"/>
  <c r="BA148" i="2"/>
  <c r="BB148" i="2"/>
  <c r="BC148" i="2"/>
  <c r="BP148" i="2" s="1"/>
  <c r="BD148" i="2"/>
  <c r="BQ148" i="2" s="1"/>
  <c r="BE148" i="2"/>
  <c r="BF148" i="2"/>
  <c r="BG148" i="2"/>
  <c r="BT148" i="2" s="1"/>
  <c r="BH148" i="2"/>
  <c r="BU148" i="2" s="1"/>
  <c r="BI148" i="2"/>
  <c r="BJ148" i="2"/>
  <c r="BK148" i="2"/>
  <c r="BX148" i="2" s="1"/>
  <c r="AZ149" i="2"/>
  <c r="BA149" i="2"/>
  <c r="BB149" i="2"/>
  <c r="BC149" i="2"/>
  <c r="BD149" i="2"/>
  <c r="BE149" i="2"/>
  <c r="BF149" i="2"/>
  <c r="BG149" i="2"/>
  <c r="BH149" i="2"/>
  <c r="BI149" i="2"/>
  <c r="BJ149" i="2"/>
  <c r="BK149" i="2"/>
  <c r="AZ150" i="2"/>
  <c r="BA150" i="2"/>
  <c r="BN150" i="2" s="1"/>
  <c r="BB150" i="2"/>
  <c r="BC150" i="2"/>
  <c r="BD150" i="2"/>
  <c r="BQ150" i="2" s="1"/>
  <c r="BE150" i="2"/>
  <c r="BR150" i="2" s="1"/>
  <c r="BF150" i="2"/>
  <c r="BS150" i="2" s="1"/>
  <c r="BG150" i="2"/>
  <c r="BT150" i="2" s="1"/>
  <c r="BH150" i="2"/>
  <c r="BU150" i="2" s="1"/>
  <c r="BI150" i="2"/>
  <c r="BV150" i="2" s="1"/>
  <c r="BJ150" i="2"/>
  <c r="BW150" i="2" s="1"/>
  <c r="BK150" i="2"/>
  <c r="AZ151" i="2"/>
  <c r="BA151" i="2"/>
  <c r="BB151" i="2"/>
  <c r="BC151" i="2"/>
  <c r="BP151" i="2" s="1"/>
  <c r="BD151" i="2"/>
  <c r="BQ151" i="2" s="1"/>
  <c r="BE151" i="2"/>
  <c r="BF151" i="2"/>
  <c r="BS151" i="2" s="1"/>
  <c r="BG151" i="2"/>
  <c r="BH151" i="2"/>
  <c r="BI151" i="2"/>
  <c r="BJ151" i="2"/>
  <c r="BK151" i="2"/>
  <c r="BX151" i="2" s="1"/>
  <c r="AZ152" i="2"/>
  <c r="BA152" i="2"/>
  <c r="BB152" i="2"/>
  <c r="BC152" i="2"/>
  <c r="BD152" i="2"/>
  <c r="BQ152" i="2" s="1"/>
  <c r="BE152" i="2"/>
  <c r="BF152" i="2"/>
  <c r="BG152" i="2"/>
  <c r="BH152" i="2"/>
  <c r="BU152" i="2" s="1"/>
  <c r="BI152" i="2"/>
  <c r="BJ152" i="2"/>
  <c r="BK152" i="2"/>
  <c r="AZ153" i="2"/>
  <c r="BA153" i="2"/>
  <c r="BB153" i="2"/>
  <c r="BC153" i="2"/>
  <c r="BD153" i="2"/>
  <c r="BE153" i="2"/>
  <c r="BF153" i="2"/>
  <c r="BG153" i="2"/>
  <c r="BH153" i="2"/>
  <c r="BI153" i="2"/>
  <c r="BJ153" i="2"/>
  <c r="BK153" i="2"/>
  <c r="AZ154" i="2"/>
  <c r="BA154" i="2"/>
  <c r="BN154" i="2" s="1"/>
  <c r="BB154" i="2"/>
  <c r="BC154" i="2"/>
  <c r="BD154" i="2"/>
  <c r="BQ154" i="2" s="1"/>
  <c r="BE154" i="2"/>
  <c r="BR154" i="2" s="1"/>
  <c r="BF154" i="2"/>
  <c r="BS154" i="2" s="1"/>
  <c r="BG154" i="2"/>
  <c r="BT154" i="2" s="1"/>
  <c r="BH154" i="2"/>
  <c r="BU154" i="2" s="1"/>
  <c r="BI154" i="2"/>
  <c r="BV154" i="2" s="1"/>
  <c r="BJ154" i="2"/>
  <c r="BW154" i="2" s="1"/>
  <c r="BK154" i="2"/>
  <c r="AZ155" i="2"/>
  <c r="BA155" i="2"/>
  <c r="BB155" i="2"/>
  <c r="BC155" i="2"/>
  <c r="BD155" i="2"/>
  <c r="BE155" i="2"/>
  <c r="BF155" i="2"/>
  <c r="BG155" i="2"/>
  <c r="BH155" i="2"/>
  <c r="BI155" i="2"/>
  <c r="BJ155" i="2"/>
  <c r="BK155" i="2"/>
  <c r="AZ156" i="2"/>
  <c r="BA156" i="2"/>
  <c r="BB156" i="2"/>
  <c r="BC156" i="2"/>
  <c r="BD156" i="2"/>
  <c r="BE156" i="2"/>
  <c r="BF156" i="2"/>
  <c r="BG156" i="2"/>
  <c r="BH156" i="2"/>
  <c r="BI156" i="2"/>
  <c r="BJ156" i="2"/>
  <c r="BK156" i="2"/>
  <c r="AZ157" i="2"/>
  <c r="BA157" i="2"/>
  <c r="BB157" i="2"/>
  <c r="BC157" i="2"/>
  <c r="BD157" i="2"/>
  <c r="BE157" i="2"/>
  <c r="BF157" i="2"/>
  <c r="BG157" i="2"/>
  <c r="BH157" i="2"/>
  <c r="BI157" i="2"/>
  <c r="BJ157" i="2"/>
  <c r="BK157" i="2"/>
  <c r="AZ158" i="2"/>
  <c r="BA158" i="2"/>
  <c r="BN158" i="2" s="1"/>
  <c r="BB158" i="2"/>
  <c r="BC158" i="2"/>
  <c r="BD158" i="2"/>
  <c r="BQ158" i="2" s="1"/>
  <c r="BE158" i="2"/>
  <c r="BR158" i="2" s="1"/>
  <c r="BF158" i="2"/>
  <c r="BS158" i="2" s="1"/>
  <c r="BG158" i="2"/>
  <c r="BT158" i="2" s="1"/>
  <c r="BH158" i="2"/>
  <c r="BU158" i="2" s="1"/>
  <c r="BI158" i="2"/>
  <c r="BV158" i="2" s="1"/>
  <c r="BJ158" i="2"/>
  <c r="BW158" i="2" s="1"/>
  <c r="BK158" i="2"/>
  <c r="AZ159" i="2"/>
  <c r="BA159" i="2"/>
  <c r="BB159" i="2"/>
  <c r="BC159" i="2"/>
  <c r="BD159" i="2"/>
  <c r="BE159" i="2"/>
  <c r="BF159" i="2"/>
  <c r="BG159" i="2"/>
  <c r="BH159" i="2"/>
  <c r="BI159" i="2"/>
  <c r="BJ159" i="2"/>
  <c r="BK159" i="2"/>
  <c r="AZ160" i="2"/>
  <c r="BA160" i="2"/>
  <c r="BB160" i="2"/>
  <c r="BC160" i="2"/>
  <c r="BD160" i="2"/>
  <c r="BE160" i="2"/>
  <c r="BF160" i="2"/>
  <c r="BG160" i="2"/>
  <c r="BH160" i="2"/>
  <c r="BI160" i="2"/>
  <c r="BJ160" i="2"/>
  <c r="BK160" i="2"/>
  <c r="AZ161" i="2"/>
  <c r="BA161" i="2"/>
  <c r="BB161" i="2"/>
  <c r="BC161" i="2"/>
  <c r="BD161" i="2"/>
  <c r="BE161" i="2"/>
  <c r="BF161" i="2"/>
  <c r="BG161" i="2"/>
  <c r="BH161" i="2"/>
  <c r="BI161" i="2"/>
  <c r="BJ161" i="2"/>
  <c r="BK161" i="2"/>
  <c r="AZ162" i="2"/>
  <c r="BA162" i="2"/>
  <c r="BN162" i="2" s="1"/>
  <c r="BB162" i="2"/>
  <c r="BO162" i="2" s="1"/>
  <c r="BC162" i="2"/>
  <c r="BD162" i="2"/>
  <c r="BQ162" i="2" s="1"/>
  <c r="BE162" i="2"/>
  <c r="BR162" i="2" s="1"/>
  <c r="BF162" i="2"/>
  <c r="BS162" i="2" s="1"/>
  <c r="BG162" i="2"/>
  <c r="BT162" i="2" s="1"/>
  <c r="BH162" i="2"/>
  <c r="BU162" i="2" s="1"/>
  <c r="BI162" i="2"/>
  <c r="BV162" i="2" s="1"/>
  <c r="BJ162" i="2"/>
  <c r="BW162" i="2" s="1"/>
  <c r="BK162" i="2"/>
  <c r="AZ163" i="2"/>
  <c r="BA163" i="2"/>
  <c r="BB163" i="2"/>
  <c r="BC163" i="2"/>
  <c r="BD163" i="2"/>
  <c r="BE163" i="2"/>
  <c r="BF163" i="2"/>
  <c r="BG163" i="2"/>
  <c r="BH163" i="2"/>
  <c r="BI163" i="2"/>
  <c r="BJ163" i="2"/>
  <c r="BK163" i="2"/>
  <c r="AZ164" i="2"/>
  <c r="BA164" i="2"/>
  <c r="BB164" i="2"/>
  <c r="BC164" i="2"/>
  <c r="BD164" i="2"/>
  <c r="BE164" i="2"/>
  <c r="BF164" i="2"/>
  <c r="BG164" i="2"/>
  <c r="BH164" i="2"/>
  <c r="BI164" i="2"/>
  <c r="BJ164" i="2"/>
  <c r="BK164" i="2"/>
  <c r="AZ165" i="2"/>
  <c r="BA165" i="2"/>
  <c r="BB165" i="2"/>
  <c r="BC165" i="2"/>
  <c r="BD165" i="2"/>
  <c r="BE165" i="2"/>
  <c r="BF165" i="2"/>
  <c r="BG165" i="2"/>
  <c r="BH165" i="2"/>
  <c r="BI165" i="2"/>
  <c r="BJ165" i="2"/>
  <c r="BK165" i="2"/>
  <c r="AZ166" i="2"/>
  <c r="BA166" i="2"/>
  <c r="BN166" i="2" s="1"/>
  <c r="BB166" i="2"/>
  <c r="BO166" i="2" s="1"/>
  <c r="BC166" i="2"/>
  <c r="BD166" i="2"/>
  <c r="BQ166" i="2" s="1"/>
  <c r="BE166" i="2"/>
  <c r="BR166" i="2" s="1"/>
  <c r="BF166" i="2"/>
  <c r="BS166" i="2" s="1"/>
  <c r="BG166" i="2"/>
  <c r="BT166" i="2" s="1"/>
  <c r="BH166" i="2"/>
  <c r="BU166" i="2" s="1"/>
  <c r="BI166" i="2"/>
  <c r="BV166" i="2" s="1"/>
  <c r="BJ166" i="2"/>
  <c r="BW166" i="2" s="1"/>
  <c r="BK166" i="2"/>
  <c r="AZ167" i="2"/>
  <c r="BA167" i="2"/>
  <c r="BB167" i="2"/>
  <c r="BC167" i="2"/>
  <c r="BD167" i="2"/>
  <c r="BE167" i="2"/>
  <c r="BF167" i="2"/>
  <c r="BG167" i="2"/>
  <c r="BH167" i="2"/>
  <c r="BI167" i="2"/>
  <c r="BJ167" i="2"/>
  <c r="BK167" i="2"/>
  <c r="AZ168" i="2"/>
  <c r="BA168" i="2"/>
  <c r="BB168" i="2"/>
  <c r="BC168" i="2"/>
  <c r="BD168" i="2"/>
  <c r="BE168" i="2"/>
  <c r="BF168" i="2"/>
  <c r="BG168" i="2"/>
  <c r="BH168" i="2"/>
  <c r="BI168" i="2"/>
  <c r="BJ168" i="2"/>
  <c r="BK168" i="2"/>
  <c r="AZ169" i="2"/>
  <c r="BA169" i="2"/>
  <c r="BB169" i="2"/>
  <c r="BC169" i="2"/>
  <c r="BD169" i="2"/>
  <c r="BE169" i="2"/>
  <c r="BF169" i="2"/>
  <c r="BG169" i="2"/>
  <c r="BH169" i="2"/>
  <c r="BI169" i="2"/>
  <c r="BJ169" i="2"/>
  <c r="BK169" i="2"/>
  <c r="AZ170" i="2"/>
  <c r="BA170" i="2"/>
  <c r="BN170" i="2" s="1"/>
  <c r="BB170" i="2"/>
  <c r="BO170" i="2" s="1"/>
  <c r="BC170" i="2"/>
  <c r="BD170" i="2"/>
  <c r="BQ170" i="2" s="1"/>
  <c r="BE170" i="2"/>
  <c r="BR170" i="2" s="1"/>
  <c r="BF170" i="2"/>
  <c r="BS170" i="2" s="1"/>
  <c r="BG170" i="2"/>
  <c r="BT170" i="2" s="1"/>
  <c r="BH170" i="2"/>
  <c r="BU170" i="2" s="1"/>
  <c r="BI170" i="2"/>
  <c r="BV170" i="2" s="1"/>
  <c r="BJ170" i="2"/>
  <c r="BW170" i="2" s="1"/>
  <c r="BK170" i="2"/>
  <c r="AZ171" i="2"/>
  <c r="BA171" i="2"/>
  <c r="BB171" i="2"/>
  <c r="BC171" i="2"/>
  <c r="BD171" i="2"/>
  <c r="BE171" i="2"/>
  <c r="BF171" i="2"/>
  <c r="BG171" i="2"/>
  <c r="BH171" i="2"/>
  <c r="BI171" i="2"/>
  <c r="BJ171" i="2"/>
  <c r="BK171" i="2"/>
  <c r="AZ172" i="2"/>
  <c r="BA172" i="2"/>
  <c r="BB172" i="2"/>
  <c r="BC172" i="2"/>
  <c r="BD172" i="2"/>
  <c r="BE172" i="2"/>
  <c r="BF172" i="2"/>
  <c r="BG172" i="2"/>
  <c r="BH172" i="2"/>
  <c r="BI172" i="2"/>
  <c r="BJ172" i="2"/>
  <c r="BK172" i="2"/>
  <c r="AZ173" i="2"/>
  <c r="BA173" i="2"/>
  <c r="BB173" i="2"/>
  <c r="BC173" i="2"/>
  <c r="BD173" i="2"/>
  <c r="BE173" i="2"/>
  <c r="BF173" i="2"/>
  <c r="BG173" i="2"/>
  <c r="BH173" i="2"/>
  <c r="BI173" i="2"/>
  <c r="BJ173" i="2"/>
  <c r="BK173" i="2"/>
  <c r="AZ174" i="2"/>
  <c r="BA174" i="2"/>
  <c r="BN174" i="2" s="1"/>
  <c r="BB174" i="2"/>
  <c r="BO174" i="2" s="1"/>
  <c r="BC174" i="2"/>
  <c r="BD174" i="2"/>
  <c r="BQ174" i="2" s="1"/>
  <c r="BE174" i="2"/>
  <c r="BR174" i="2" s="1"/>
  <c r="BF174" i="2"/>
  <c r="BS174" i="2" s="1"/>
  <c r="BG174" i="2"/>
  <c r="BT174" i="2" s="1"/>
  <c r="BH174" i="2"/>
  <c r="BU174" i="2" s="1"/>
  <c r="BI174" i="2"/>
  <c r="BV174" i="2" s="1"/>
  <c r="BJ174" i="2"/>
  <c r="BW174" i="2" s="1"/>
  <c r="BK174" i="2"/>
  <c r="AZ175" i="2"/>
  <c r="BA175" i="2"/>
  <c r="BB175" i="2"/>
  <c r="BC175" i="2"/>
  <c r="BD175" i="2"/>
  <c r="BE175" i="2"/>
  <c r="BF175" i="2"/>
  <c r="BG175" i="2"/>
  <c r="BH175" i="2"/>
  <c r="BI175" i="2"/>
  <c r="BJ175" i="2"/>
  <c r="BK175" i="2"/>
  <c r="AZ176" i="2"/>
  <c r="BA176" i="2"/>
  <c r="BB176" i="2"/>
  <c r="BC176" i="2"/>
  <c r="BD176" i="2"/>
  <c r="BE176" i="2"/>
  <c r="BF176" i="2"/>
  <c r="BG176" i="2"/>
  <c r="BH176" i="2"/>
  <c r="BI176" i="2"/>
  <c r="BJ176" i="2"/>
  <c r="BK176" i="2"/>
  <c r="AZ177" i="2"/>
  <c r="BA177" i="2"/>
  <c r="BB177" i="2"/>
  <c r="BC177" i="2"/>
  <c r="BD177" i="2"/>
  <c r="BE177" i="2"/>
  <c r="BF177" i="2"/>
  <c r="BG177" i="2"/>
  <c r="BH177" i="2"/>
  <c r="BI177" i="2"/>
  <c r="BJ177" i="2"/>
  <c r="BK177" i="2"/>
  <c r="AZ178" i="2"/>
  <c r="BA178" i="2"/>
  <c r="BN178" i="2" s="1"/>
  <c r="BB178" i="2"/>
  <c r="BO178" i="2" s="1"/>
  <c r="BC178" i="2"/>
  <c r="BD178" i="2"/>
  <c r="BQ178" i="2" s="1"/>
  <c r="BE178" i="2"/>
  <c r="BR178" i="2" s="1"/>
  <c r="BF178" i="2"/>
  <c r="BS178" i="2" s="1"/>
  <c r="BG178" i="2"/>
  <c r="BT178" i="2" s="1"/>
  <c r="BH178" i="2"/>
  <c r="BU178" i="2" s="1"/>
  <c r="BI178" i="2"/>
  <c r="BV178" i="2" s="1"/>
  <c r="BJ178" i="2"/>
  <c r="BW178" i="2" s="1"/>
  <c r="BK178" i="2"/>
  <c r="AZ179" i="2"/>
  <c r="BA179" i="2"/>
  <c r="BB179" i="2"/>
  <c r="BC179" i="2"/>
  <c r="BD179" i="2"/>
  <c r="BE179" i="2"/>
  <c r="BF179" i="2"/>
  <c r="BG179" i="2"/>
  <c r="BH179" i="2"/>
  <c r="BI179" i="2"/>
  <c r="BJ179" i="2"/>
  <c r="BK179" i="2"/>
  <c r="AZ180" i="2"/>
  <c r="BA180" i="2"/>
  <c r="BB180" i="2"/>
  <c r="BC180" i="2"/>
  <c r="BD180" i="2"/>
  <c r="BE180" i="2"/>
  <c r="BF180" i="2"/>
  <c r="BG180" i="2"/>
  <c r="BH180" i="2"/>
  <c r="BI180" i="2"/>
  <c r="BJ180" i="2"/>
  <c r="BK180" i="2"/>
  <c r="AZ181" i="2"/>
  <c r="BA181" i="2"/>
  <c r="BB181" i="2"/>
  <c r="BC181" i="2"/>
  <c r="BD181" i="2"/>
  <c r="BE181" i="2"/>
  <c r="BF181" i="2"/>
  <c r="BG181" i="2"/>
  <c r="BH181" i="2"/>
  <c r="BI181" i="2"/>
  <c r="BJ181" i="2"/>
  <c r="BK181" i="2"/>
  <c r="AZ182" i="2"/>
  <c r="BA182" i="2"/>
  <c r="BN182" i="2" s="1"/>
  <c r="BB182" i="2"/>
  <c r="BO182" i="2" s="1"/>
  <c r="BC182" i="2"/>
  <c r="BD182" i="2"/>
  <c r="BQ182" i="2" s="1"/>
  <c r="BE182" i="2"/>
  <c r="BR182" i="2" s="1"/>
  <c r="BF182" i="2"/>
  <c r="BS182" i="2" s="1"/>
  <c r="BG182" i="2"/>
  <c r="BT182" i="2" s="1"/>
  <c r="BH182" i="2"/>
  <c r="BU182" i="2" s="1"/>
  <c r="BI182" i="2"/>
  <c r="BV182" i="2" s="1"/>
  <c r="BJ182" i="2"/>
  <c r="BW182" i="2" s="1"/>
  <c r="BK182" i="2"/>
  <c r="AZ183" i="2"/>
  <c r="BA183" i="2"/>
  <c r="BB183" i="2"/>
  <c r="BC183" i="2"/>
  <c r="BD183" i="2"/>
  <c r="BE183" i="2"/>
  <c r="BF183" i="2"/>
  <c r="BG183" i="2"/>
  <c r="BH183" i="2"/>
  <c r="BI183" i="2"/>
  <c r="BJ183" i="2"/>
  <c r="BK183" i="2"/>
  <c r="AZ184" i="2"/>
  <c r="BA184" i="2"/>
  <c r="BB184" i="2"/>
  <c r="BC184" i="2"/>
  <c r="BD184" i="2"/>
  <c r="BE184" i="2"/>
  <c r="BF184" i="2"/>
  <c r="BG184" i="2"/>
  <c r="BH184" i="2"/>
  <c r="BI184" i="2"/>
  <c r="BJ184" i="2"/>
  <c r="BK184" i="2"/>
  <c r="AZ185" i="2"/>
  <c r="BA185" i="2"/>
  <c r="BB185" i="2"/>
  <c r="BC185" i="2"/>
  <c r="BD185" i="2"/>
  <c r="BE185" i="2"/>
  <c r="BF185" i="2"/>
  <c r="BG185" i="2"/>
  <c r="BH185" i="2"/>
  <c r="BI185" i="2"/>
  <c r="BJ185" i="2"/>
  <c r="BK185" i="2"/>
  <c r="AZ186" i="2"/>
  <c r="BA186" i="2"/>
  <c r="BN186" i="2" s="1"/>
  <c r="BB186" i="2"/>
  <c r="BO186" i="2" s="1"/>
  <c r="BC186" i="2"/>
  <c r="BD186" i="2"/>
  <c r="BQ186" i="2" s="1"/>
  <c r="BE186" i="2"/>
  <c r="BR186" i="2" s="1"/>
  <c r="BF186" i="2"/>
  <c r="BG186" i="2"/>
  <c r="BT186" i="2" s="1"/>
  <c r="BH186" i="2"/>
  <c r="BU186" i="2" s="1"/>
  <c r="BI186" i="2"/>
  <c r="BV186" i="2" s="1"/>
  <c r="BJ186" i="2"/>
  <c r="BW186" i="2" s="1"/>
  <c r="BK186" i="2"/>
  <c r="AZ187" i="2"/>
  <c r="BA187" i="2"/>
  <c r="BB187" i="2"/>
  <c r="BC187" i="2"/>
  <c r="BD187" i="2"/>
  <c r="BE187" i="2"/>
  <c r="BF187" i="2"/>
  <c r="BG187" i="2"/>
  <c r="BH187" i="2"/>
  <c r="BI187" i="2"/>
  <c r="BJ187" i="2"/>
  <c r="BK187" i="2"/>
  <c r="AZ188" i="2"/>
  <c r="BA188" i="2"/>
  <c r="BB188" i="2"/>
  <c r="BC188" i="2"/>
  <c r="BD188" i="2"/>
  <c r="BE188" i="2"/>
  <c r="BF188" i="2"/>
  <c r="BG188" i="2"/>
  <c r="BH188" i="2"/>
  <c r="BI188" i="2"/>
  <c r="BJ188" i="2"/>
  <c r="BK188" i="2"/>
  <c r="AZ189" i="2"/>
  <c r="BA189" i="2"/>
  <c r="BB189" i="2"/>
  <c r="BC189" i="2"/>
  <c r="BD189" i="2"/>
  <c r="BE189" i="2"/>
  <c r="BF189" i="2"/>
  <c r="BG189" i="2"/>
  <c r="BH189" i="2"/>
  <c r="BI189" i="2"/>
  <c r="BJ189" i="2"/>
  <c r="BK189" i="2"/>
  <c r="AZ190" i="2"/>
  <c r="BA190" i="2"/>
  <c r="BB190" i="2"/>
  <c r="BC190" i="2"/>
  <c r="BD190" i="2"/>
  <c r="BE190" i="2"/>
  <c r="BF190" i="2"/>
  <c r="BG190" i="2"/>
  <c r="BH190" i="2"/>
  <c r="BI190" i="2"/>
  <c r="BJ190" i="2"/>
  <c r="BK190" i="2"/>
  <c r="AZ191" i="2"/>
  <c r="BA191" i="2"/>
  <c r="BB191" i="2"/>
  <c r="BC191" i="2"/>
  <c r="BD191" i="2"/>
  <c r="BE191" i="2"/>
  <c r="BF191" i="2"/>
  <c r="BG191" i="2"/>
  <c r="BH191" i="2"/>
  <c r="BI191" i="2"/>
  <c r="BJ191" i="2"/>
  <c r="BK191" i="2"/>
  <c r="AZ192" i="2"/>
  <c r="BA192" i="2"/>
  <c r="BB192" i="2"/>
  <c r="BC192" i="2"/>
  <c r="BD192" i="2"/>
  <c r="BE192" i="2"/>
  <c r="BF192" i="2"/>
  <c r="BG192" i="2"/>
  <c r="BH192" i="2"/>
  <c r="BI192" i="2"/>
  <c r="BJ192" i="2"/>
  <c r="BK192" i="2"/>
  <c r="AZ193" i="2"/>
  <c r="BA193" i="2"/>
  <c r="BN193" i="2" s="1"/>
  <c r="BB193" i="2"/>
  <c r="BO193" i="2" s="1"/>
  <c r="BC193" i="2"/>
  <c r="BD193" i="2"/>
  <c r="BQ193" i="2" s="1"/>
  <c r="BE193" i="2"/>
  <c r="BR193" i="2" s="1"/>
  <c r="BF193" i="2"/>
  <c r="BS193" i="2" s="1"/>
  <c r="BG193" i="2"/>
  <c r="BT193" i="2" s="1"/>
  <c r="BH193" i="2"/>
  <c r="BU193" i="2" s="1"/>
  <c r="BI193" i="2"/>
  <c r="BV193" i="2" s="1"/>
  <c r="BJ193" i="2"/>
  <c r="BW193" i="2" s="1"/>
  <c r="BK193" i="2"/>
  <c r="AZ194" i="2"/>
  <c r="BA194" i="2"/>
  <c r="BB194" i="2"/>
  <c r="BC194" i="2"/>
  <c r="BD194" i="2"/>
  <c r="BE194" i="2"/>
  <c r="BF194" i="2"/>
  <c r="BG194" i="2"/>
  <c r="BH194" i="2"/>
  <c r="BI194" i="2"/>
  <c r="BJ194" i="2"/>
  <c r="BK194" i="2"/>
  <c r="AZ195" i="2"/>
  <c r="BA195" i="2"/>
  <c r="BB195" i="2"/>
  <c r="BC195" i="2"/>
  <c r="BD195" i="2"/>
  <c r="BE195" i="2"/>
  <c r="BF195" i="2"/>
  <c r="BG195" i="2"/>
  <c r="BH195" i="2"/>
  <c r="BI195" i="2"/>
  <c r="BJ195" i="2"/>
  <c r="BK195" i="2"/>
  <c r="AZ196" i="2"/>
  <c r="BA196" i="2"/>
  <c r="BB196" i="2"/>
  <c r="BC196" i="2"/>
  <c r="BD196" i="2"/>
  <c r="BE196" i="2"/>
  <c r="BF196" i="2"/>
  <c r="BG196" i="2"/>
  <c r="BH196" i="2"/>
  <c r="BI196" i="2"/>
  <c r="BJ196" i="2"/>
  <c r="BK196" i="2"/>
  <c r="AZ197" i="2"/>
  <c r="BA197" i="2"/>
  <c r="BN197" i="2" s="1"/>
  <c r="BB197" i="2"/>
  <c r="BO197" i="2" s="1"/>
  <c r="BC197" i="2"/>
  <c r="BD197" i="2"/>
  <c r="BQ197" i="2" s="1"/>
  <c r="BE197" i="2"/>
  <c r="BR197" i="2" s="1"/>
  <c r="BF197" i="2"/>
  <c r="BS197" i="2" s="1"/>
  <c r="BG197" i="2"/>
  <c r="BT197" i="2" s="1"/>
  <c r="BH197" i="2"/>
  <c r="BU197" i="2" s="1"/>
  <c r="BI197" i="2"/>
  <c r="BV197" i="2" s="1"/>
  <c r="BJ197" i="2"/>
  <c r="BK197" i="2"/>
  <c r="AZ198" i="2"/>
  <c r="BA198" i="2"/>
  <c r="BB198" i="2"/>
  <c r="BC198" i="2"/>
  <c r="BD198" i="2"/>
  <c r="BE198" i="2"/>
  <c r="BF198" i="2"/>
  <c r="BG198" i="2"/>
  <c r="BH198" i="2"/>
  <c r="BI198" i="2"/>
  <c r="BJ198" i="2"/>
  <c r="BK198" i="2"/>
  <c r="AZ199" i="2"/>
  <c r="BA199" i="2"/>
  <c r="BB199" i="2"/>
  <c r="BC199" i="2"/>
  <c r="BD199" i="2"/>
  <c r="BE199" i="2"/>
  <c r="BF199" i="2"/>
  <c r="BG199" i="2"/>
  <c r="BH199" i="2"/>
  <c r="BI199" i="2"/>
  <c r="BJ199" i="2"/>
  <c r="BK199" i="2"/>
  <c r="AZ200" i="2"/>
  <c r="BA200" i="2"/>
  <c r="BB200" i="2"/>
  <c r="BC200" i="2"/>
  <c r="BD200" i="2"/>
  <c r="BE200" i="2"/>
  <c r="BF200" i="2"/>
  <c r="BG200" i="2"/>
  <c r="BH200" i="2"/>
  <c r="BI200" i="2"/>
  <c r="BJ200" i="2"/>
  <c r="BK200" i="2"/>
  <c r="AZ201" i="2"/>
  <c r="BA201" i="2"/>
  <c r="BN201" i="2" s="1"/>
  <c r="BB201" i="2"/>
  <c r="BO201" i="2" s="1"/>
  <c r="BC201" i="2"/>
  <c r="BD201" i="2"/>
  <c r="BQ201" i="2" s="1"/>
  <c r="BE201" i="2"/>
  <c r="BR201" i="2" s="1"/>
  <c r="BF201" i="2"/>
  <c r="BS201" i="2" s="1"/>
  <c r="BG201" i="2"/>
  <c r="BT201" i="2" s="1"/>
  <c r="BH201" i="2"/>
  <c r="BU201" i="2" s="1"/>
  <c r="BI201" i="2"/>
  <c r="BV201" i="2" s="1"/>
  <c r="BJ201" i="2"/>
  <c r="BW201" i="2" s="1"/>
  <c r="BK201" i="2"/>
  <c r="AZ202" i="2"/>
  <c r="BA202" i="2"/>
  <c r="BB202" i="2"/>
  <c r="BC202" i="2"/>
  <c r="BD202" i="2"/>
  <c r="BE202" i="2"/>
  <c r="BF202" i="2"/>
  <c r="BG202" i="2"/>
  <c r="BH202" i="2"/>
  <c r="BI202" i="2"/>
  <c r="BJ202" i="2"/>
  <c r="BK202" i="2"/>
  <c r="AZ203" i="2"/>
  <c r="BA203" i="2"/>
  <c r="BB203" i="2"/>
  <c r="BC203" i="2"/>
  <c r="BD203" i="2"/>
  <c r="BE203" i="2"/>
  <c r="BF203" i="2"/>
  <c r="BG203" i="2"/>
  <c r="BH203" i="2"/>
  <c r="BI203" i="2"/>
  <c r="BJ203" i="2"/>
  <c r="BK203" i="2"/>
  <c r="AZ204" i="2"/>
  <c r="BA204" i="2"/>
  <c r="BB204" i="2"/>
  <c r="BC204" i="2"/>
  <c r="BD204" i="2"/>
  <c r="BE204" i="2"/>
  <c r="BF204" i="2"/>
  <c r="BG204" i="2"/>
  <c r="BH204" i="2"/>
  <c r="BI204" i="2"/>
  <c r="BJ204" i="2"/>
  <c r="BK204" i="2"/>
  <c r="AZ205" i="2"/>
  <c r="BA205" i="2"/>
  <c r="BN205" i="2" s="1"/>
  <c r="BB205" i="2"/>
  <c r="BO205" i="2" s="1"/>
  <c r="BC205" i="2"/>
  <c r="BD205" i="2"/>
  <c r="BQ205" i="2" s="1"/>
  <c r="BE205" i="2"/>
  <c r="BR205" i="2" s="1"/>
  <c r="BF205" i="2"/>
  <c r="BS205" i="2" s="1"/>
  <c r="BG205" i="2"/>
  <c r="BT205" i="2" s="1"/>
  <c r="BH205" i="2"/>
  <c r="BU205" i="2" s="1"/>
  <c r="BI205" i="2"/>
  <c r="BV205" i="2" s="1"/>
  <c r="BJ205" i="2"/>
  <c r="BW205" i="2" s="1"/>
  <c r="BK205" i="2"/>
  <c r="AZ206" i="2"/>
  <c r="BA206" i="2"/>
  <c r="BB206" i="2"/>
  <c r="BC206" i="2"/>
  <c r="BD206" i="2"/>
  <c r="BE206" i="2"/>
  <c r="BF206" i="2"/>
  <c r="BG206" i="2"/>
  <c r="BH206" i="2"/>
  <c r="BI206" i="2"/>
  <c r="BJ206" i="2"/>
  <c r="BK206" i="2"/>
  <c r="AZ207" i="2"/>
  <c r="BA207" i="2"/>
  <c r="BB207" i="2"/>
  <c r="BC207" i="2"/>
  <c r="BD207" i="2"/>
  <c r="BE207" i="2"/>
  <c r="BF207" i="2"/>
  <c r="BG207" i="2"/>
  <c r="BH207" i="2"/>
  <c r="BI207" i="2"/>
  <c r="BJ207" i="2"/>
  <c r="BK207" i="2"/>
  <c r="AZ208" i="2"/>
  <c r="BA208" i="2"/>
  <c r="BB208" i="2"/>
  <c r="BC208" i="2"/>
  <c r="BD208" i="2"/>
  <c r="BE208" i="2"/>
  <c r="BF208" i="2"/>
  <c r="BG208" i="2"/>
  <c r="BH208" i="2"/>
  <c r="BI208" i="2"/>
  <c r="BJ208" i="2"/>
  <c r="BK208" i="2"/>
  <c r="AZ209" i="2"/>
  <c r="BA209" i="2"/>
  <c r="BN209" i="2" s="1"/>
  <c r="BB209" i="2"/>
  <c r="BO209" i="2" s="1"/>
  <c r="BC209" i="2"/>
  <c r="BD209" i="2"/>
  <c r="BQ209" i="2" s="1"/>
  <c r="BE209" i="2"/>
  <c r="BR209" i="2" s="1"/>
  <c r="BF209" i="2"/>
  <c r="BS209" i="2" s="1"/>
  <c r="BG209" i="2"/>
  <c r="BT209" i="2" s="1"/>
  <c r="BH209" i="2"/>
  <c r="BU209" i="2" s="1"/>
  <c r="BI209" i="2"/>
  <c r="BV209" i="2" s="1"/>
  <c r="BJ209" i="2"/>
  <c r="BW209" i="2" s="1"/>
  <c r="BK209" i="2"/>
  <c r="AZ210" i="2"/>
  <c r="BA210" i="2"/>
  <c r="BB210" i="2"/>
  <c r="BC210" i="2"/>
  <c r="BD210" i="2"/>
  <c r="BE210" i="2"/>
  <c r="BF210" i="2"/>
  <c r="BG210" i="2"/>
  <c r="BH210" i="2"/>
  <c r="BI210" i="2"/>
  <c r="BJ210" i="2"/>
  <c r="BK210" i="2"/>
  <c r="AZ211" i="2"/>
  <c r="BA211" i="2"/>
  <c r="BB211" i="2"/>
  <c r="BC211" i="2"/>
  <c r="BD211" i="2"/>
  <c r="BE211" i="2"/>
  <c r="BF211" i="2"/>
  <c r="BG211" i="2"/>
  <c r="BH211" i="2"/>
  <c r="BI211" i="2"/>
  <c r="BJ211" i="2"/>
  <c r="BK211" i="2"/>
  <c r="AZ212" i="2"/>
  <c r="BA212" i="2"/>
  <c r="BB212" i="2"/>
  <c r="BC212" i="2"/>
  <c r="BD212" i="2"/>
  <c r="BE212" i="2"/>
  <c r="BF212" i="2"/>
  <c r="BG212" i="2"/>
  <c r="BH212" i="2"/>
  <c r="BI212" i="2"/>
  <c r="BJ212" i="2"/>
  <c r="BK212" i="2"/>
  <c r="AZ213" i="2"/>
  <c r="BA213" i="2"/>
  <c r="BN213" i="2" s="1"/>
  <c r="BB213" i="2"/>
  <c r="BO213" i="2" s="1"/>
  <c r="BC213" i="2"/>
  <c r="BD213" i="2"/>
  <c r="BQ213" i="2" s="1"/>
  <c r="BE213" i="2"/>
  <c r="BR213" i="2" s="1"/>
  <c r="BF213" i="2"/>
  <c r="BS213" i="2" s="1"/>
  <c r="BG213" i="2"/>
  <c r="BT213" i="2" s="1"/>
  <c r="BH213" i="2"/>
  <c r="BU213" i="2" s="1"/>
  <c r="BI213" i="2"/>
  <c r="BV213" i="2" s="1"/>
  <c r="BJ213" i="2"/>
  <c r="BW213" i="2" s="1"/>
  <c r="BK213" i="2"/>
  <c r="AZ214" i="2"/>
  <c r="BA214" i="2"/>
  <c r="BB214" i="2"/>
  <c r="BC214" i="2"/>
  <c r="BD214" i="2"/>
  <c r="BE214" i="2"/>
  <c r="BF214" i="2"/>
  <c r="BG214" i="2"/>
  <c r="BH214" i="2"/>
  <c r="BI214" i="2"/>
  <c r="BJ214" i="2"/>
  <c r="BK214" i="2"/>
  <c r="AZ215" i="2"/>
  <c r="BA215" i="2"/>
  <c r="BB215" i="2"/>
  <c r="BC215" i="2"/>
  <c r="BD215" i="2"/>
  <c r="BE215" i="2"/>
  <c r="BF215" i="2"/>
  <c r="BG215" i="2"/>
  <c r="BH215" i="2"/>
  <c r="BI215" i="2"/>
  <c r="BJ215" i="2"/>
  <c r="BK215" i="2"/>
  <c r="AZ216" i="2"/>
  <c r="BA216" i="2"/>
  <c r="BB216" i="2"/>
  <c r="BC216" i="2"/>
  <c r="BD216" i="2"/>
  <c r="BE216" i="2"/>
  <c r="BF216" i="2"/>
  <c r="BG216" i="2"/>
  <c r="BH216" i="2"/>
  <c r="BI216" i="2"/>
  <c r="BJ216" i="2"/>
  <c r="BK216" i="2"/>
  <c r="AZ217" i="2"/>
  <c r="BA217" i="2"/>
  <c r="BN217" i="2" s="1"/>
  <c r="BB217" i="2"/>
  <c r="BO217" i="2" s="1"/>
  <c r="BC217" i="2"/>
  <c r="BD217" i="2"/>
  <c r="BQ217" i="2" s="1"/>
  <c r="BE217" i="2"/>
  <c r="BR217" i="2" s="1"/>
  <c r="BF217" i="2"/>
  <c r="BS217" i="2" s="1"/>
  <c r="BG217" i="2"/>
  <c r="BT217" i="2" s="1"/>
  <c r="BH217" i="2"/>
  <c r="BU217" i="2" s="1"/>
  <c r="BI217" i="2"/>
  <c r="BV217" i="2" s="1"/>
  <c r="BJ217" i="2"/>
  <c r="BW217" i="2" s="1"/>
  <c r="BK217" i="2"/>
  <c r="AZ218" i="2"/>
  <c r="BA218" i="2"/>
  <c r="BB218" i="2"/>
  <c r="BC218" i="2"/>
  <c r="BD218" i="2"/>
  <c r="BE218" i="2"/>
  <c r="BF218" i="2"/>
  <c r="BG218" i="2"/>
  <c r="BH218" i="2"/>
  <c r="BI218" i="2"/>
  <c r="BJ218" i="2"/>
  <c r="BK218" i="2"/>
  <c r="AZ219" i="2"/>
  <c r="BA219" i="2"/>
  <c r="BB219" i="2"/>
  <c r="BC219" i="2"/>
  <c r="BD219" i="2"/>
  <c r="BE219" i="2"/>
  <c r="BF219" i="2"/>
  <c r="BG219" i="2"/>
  <c r="BH219" i="2"/>
  <c r="BI219" i="2"/>
  <c r="BJ219" i="2"/>
  <c r="BK219" i="2"/>
  <c r="AZ220" i="2"/>
  <c r="BA220" i="2"/>
  <c r="BB220" i="2"/>
  <c r="BC220" i="2"/>
  <c r="BD220" i="2"/>
  <c r="BE220" i="2"/>
  <c r="BF220" i="2"/>
  <c r="BG220" i="2"/>
  <c r="BH220" i="2"/>
  <c r="BI220" i="2"/>
  <c r="BJ220" i="2"/>
  <c r="BK220" i="2"/>
  <c r="AZ221" i="2"/>
  <c r="BA221" i="2"/>
  <c r="BN221" i="2" s="1"/>
  <c r="BB221" i="2"/>
  <c r="BO221" i="2" s="1"/>
  <c r="BC221" i="2"/>
  <c r="BD221" i="2"/>
  <c r="BQ221" i="2" s="1"/>
  <c r="BE221" i="2"/>
  <c r="BR221" i="2" s="1"/>
  <c r="BF221" i="2"/>
  <c r="BS221" i="2" s="1"/>
  <c r="BG221" i="2"/>
  <c r="BT221" i="2" s="1"/>
  <c r="BH221" i="2"/>
  <c r="BU221" i="2" s="1"/>
  <c r="BI221" i="2"/>
  <c r="BV221" i="2" s="1"/>
  <c r="BJ221" i="2"/>
  <c r="BW221" i="2" s="1"/>
  <c r="BK221" i="2"/>
  <c r="AZ222" i="2"/>
  <c r="BA222" i="2"/>
  <c r="BB222" i="2"/>
  <c r="BC222" i="2"/>
  <c r="BD222" i="2"/>
  <c r="BE222" i="2"/>
  <c r="BF222" i="2"/>
  <c r="BG222" i="2"/>
  <c r="BH222" i="2"/>
  <c r="BI222" i="2"/>
  <c r="BJ222" i="2"/>
  <c r="BK222" i="2"/>
  <c r="AZ223" i="2"/>
  <c r="BA223" i="2"/>
  <c r="BB223" i="2"/>
  <c r="BC223" i="2"/>
  <c r="BD223" i="2"/>
  <c r="BE223" i="2"/>
  <c r="BF223" i="2"/>
  <c r="BG223" i="2"/>
  <c r="BH223" i="2"/>
  <c r="BI223" i="2"/>
  <c r="BJ223" i="2"/>
  <c r="BK223" i="2"/>
  <c r="AZ224" i="2"/>
  <c r="BA224" i="2"/>
  <c r="BB224" i="2"/>
  <c r="BC224" i="2"/>
  <c r="BD224" i="2"/>
  <c r="BE224" i="2"/>
  <c r="BF224" i="2"/>
  <c r="BG224" i="2"/>
  <c r="BH224" i="2"/>
  <c r="BI224" i="2"/>
  <c r="BJ224" i="2"/>
  <c r="BK224" i="2"/>
  <c r="AZ225" i="2"/>
  <c r="BA225" i="2"/>
  <c r="BN225" i="2" s="1"/>
  <c r="BB225" i="2"/>
  <c r="BO225" i="2" s="1"/>
  <c r="BC225" i="2"/>
  <c r="BD225" i="2"/>
  <c r="BQ225" i="2" s="1"/>
  <c r="BE225" i="2"/>
  <c r="BR225" i="2" s="1"/>
  <c r="BF225" i="2"/>
  <c r="BS225" i="2" s="1"/>
  <c r="BG225" i="2"/>
  <c r="BT225" i="2" s="1"/>
  <c r="BH225" i="2"/>
  <c r="BU225" i="2" s="1"/>
  <c r="BI225" i="2"/>
  <c r="BV225" i="2" s="1"/>
  <c r="BJ225" i="2"/>
  <c r="BW225" i="2" s="1"/>
  <c r="BK225" i="2"/>
  <c r="AZ226" i="2"/>
  <c r="BA226" i="2"/>
  <c r="BB226" i="2"/>
  <c r="BC226" i="2"/>
  <c r="BD226" i="2"/>
  <c r="BE226" i="2"/>
  <c r="BF226" i="2"/>
  <c r="BG226" i="2"/>
  <c r="BH226" i="2"/>
  <c r="BI226" i="2"/>
  <c r="BJ226" i="2"/>
  <c r="BK226" i="2"/>
  <c r="AZ227" i="2"/>
  <c r="BA227" i="2"/>
  <c r="BB227" i="2"/>
  <c r="BC227" i="2"/>
  <c r="BD227" i="2"/>
  <c r="BE227" i="2"/>
  <c r="BF227" i="2"/>
  <c r="BG227" i="2"/>
  <c r="BH227" i="2"/>
  <c r="BI227" i="2"/>
  <c r="BJ227" i="2"/>
  <c r="BK227" i="2"/>
  <c r="AZ228" i="2"/>
  <c r="BA228" i="2"/>
  <c r="BB228" i="2"/>
  <c r="BC228" i="2"/>
  <c r="BD228" i="2"/>
  <c r="BE228" i="2"/>
  <c r="BF228" i="2"/>
  <c r="BG228" i="2"/>
  <c r="BH228" i="2"/>
  <c r="BI228" i="2"/>
  <c r="BJ228" i="2"/>
  <c r="BK228" i="2"/>
  <c r="AZ229" i="2"/>
  <c r="BA229" i="2"/>
  <c r="BN229" i="2" s="1"/>
  <c r="BB229" i="2"/>
  <c r="BO229" i="2" s="1"/>
  <c r="BC229" i="2"/>
  <c r="BD229" i="2"/>
  <c r="BQ229" i="2" s="1"/>
  <c r="BE229" i="2"/>
  <c r="BR229" i="2" s="1"/>
  <c r="BF229" i="2"/>
  <c r="BS229" i="2" s="1"/>
  <c r="BG229" i="2"/>
  <c r="BT229" i="2" s="1"/>
  <c r="BH229" i="2"/>
  <c r="BU229" i="2" s="1"/>
  <c r="BI229" i="2"/>
  <c r="BV229" i="2" s="1"/>
  <c r="BJ229" i="2"/>
  <c r="BW229" i="2" s="1"/>
  <c r="BK229" i="2"/>
  <c r="AZ230" i="2"/>
  <c r="BA230" i="2"/>
  <c r="BB230" i="2"/>
  <c r="BC230" i="2"/>
  <c r="BD230" i="2"/>
  <c r="BE230" i="2"/>
  <c r="BF230" i="2"/>
  <c r="BG230" i="2"/>
  <c r="BH230" i="2"/>
  <c r="BI230" i="2"/>
  <c r="BJ230" i="2"/>
  <c r="BK230" i="2"/>
  <c r="AZ231" i="2"/>
  <c r="BA231" i="2"/>
  <c r="BB231" i="2"/>
  <c r="BC231" i="2"/>
  <c r="BD231" i="2"/>
  <c r="BE231" i="2"/>
  <c r="BF231" i="2"/>
  <c r="BG231" i="2"/>
  <c r="BH231" i="2"/>
  <c r="BI231" i="2"/>
  <c r="BJ231" i="2"/>
  <c r="BK231" i="2"/>
  <c r="AZ232" i="2"/>
  <c r="BA232" i="2"/>
  <c r="BB232" i="2"/>
  <c r="BC232" i="2"/>
  <c r="BD232" i="2"/>
  <c r="BE232" i="2"/>
  <c r="BF232" i="2"/>
  <c r="BG232" i="2"/>
  <c r="BH232" i="2"/>
  <c r="BI232" i="2"/>
  <c r="BJ232" i="2"/>
  <c r="BK232" i="2"/>
  <c r="AZ233" i="2"/>
  <c r="BA233" i="2"/>
  <c r="BN233" i="2" s="1"/>
  <c r="BB233" i="2"/>
  <c r="BO233" i="2" s="1"/>
  <c r="BC233" i="2"/>
  <c r="BD233" i="2"/>
  <c r="BQ233" i="2" s="1"/>
  <c r="BE233" i="2"/>
  <c r="BR233" i="2" s="1"/>
  <c r="BF233" i="2"/>
  <c r="BS233" i="2" s="1"/>
  <c r="BG233" i="2"/>
  <c r="BT233" i="2" s="1"/>
  <c r="BH233" i="2"/>
  <c r="BU233" i="2" s="1"/>
  <c r="BI233" i="2"/>
  <c r="BV233" i="2" s="1"/>
  <c r="BJ233" i="2"/>
  <c r="BW233" i="2" s="1"/>
  <c r="BK233" i="2"/>
  <c r="AZ234" i="2"/>
  <c r="BA234" i="2"/>
  <c r="BB234" i="2"/>
  <c r="BC234" i="2"/>
  <c r="BD234" i="2"/>
  <c r="BE234" i="2"/>
  <c r="BF234" i="2"/>
  <c r="BG234" i="2"/>
  <c r="BH234" i="2"/>
  <c r="BI234" i="2"/>
  <c r="BJ234" i="2"/>
  <c r="BK234" i="2"/>
  <c r="AZ235" i="2"/>
  <c r="BA235" i="2"/>
  <c r="BB235" i="2"/>
  <c r="BC235" i="2"/>
  <c r="BD235" i="2"/>
  <c r="BE235" i="2"/>
  <c r="BF235" i="2"/>
  <c r="BG235" i="2"/>
  <c r="BH235" i="2"/>
  <c r="BI235" i="2"/>
  <c r="BJ235" i="2"/>
  <c r="BK235" i="2"/>
  <c r="AZ236" i="2"/>
  <c r="BA236" i="2"/>
  <c r="BB236" i="2"/>
  <c r="BC236" i="2"/>
  <c r="BD236" i="2"/>
  <c r="BE236" i="2"/>
  <c r="BF236" i="2"/>
  <c r="BG236" i="2"/>
  <c r="BH236" i="2"/>
  <c r="BI236" i="2"/>
  <c r="BJ236" i="2"/>
  <c r="BK236" i="2"/>
  <c r="AZ237" i="2"/>
  <c r="BA237" i="2"/>
  <c r="BN237" i="2" s="1"/>
  <c r="BB237" i="2"/>
  <c r="BO237" i="2" s="1"/>
  <c r="BC237" i="2"/>
  <c r="BD237" i="2"/>
  <c r="BQ237" i="2" s="1"/>
  <c r="BE237" i="2"/>
  <c r="BR237" i="2" s="1"/>
  <c r="BF237" i="2"/>
  <c r="BG237" i="2"/>
  <c r="BT237" i="2" s="1"/>
  <c r="BH237" i="2"/>
  <c r="BU237" i="2" s="1"/>
  <c r="BI237" i="2"/>
  <c r="BV237" i="2" s="1"/>
  <c r="BJ237" i="2"/>
  <c r="BW237" i="2" s="1"/>
  <c r="BK237" i="2"/>
  <c r="AZ238" i="2"/>
  <c r="BA238" i="2"/>
  <c r="BB238" i="2"/>
  <c r="BC238" i="2"/>
  <c r="BD238" i="2"/>
  <c r="BE238" i="2"/>
  <c r="BF238" i="2"/>
  <c r="BG238" i="2"/>
  <c r="BH238" i="2"/>
  <c r="BI238" i="2"/>
  <c r="BJ238" i="2"/>
  <c r="BK238" i="2"/>
  <c r="AZ239" i="2"/>
  <c r="BA239" i="2"/>
  <c r="BB239" i="2"/>
  <c r="BC239" i="2"/>
  <c r="BD239" i="2"/>
  <c r="BE239" i="2"/>
  <c r="BF239" i="2"/>
  <c r="BG239" i="2"/>
  <c r="BH239" i="2"/>
  <c r="BI239" i="2"/>
  <c r="BJ239" i="2"/>
  <c r="BK239" i="2"/>
  <c r="AZ240" i="2"/>
  <c r="BA240" i="2"/>
  <c r="BB240" i="2"/>
  <c r="BC240" i="2"/>
  <c r="BD240" i="2"/>
  <c r="BE240" i="2"/>
  <c r="BF240" i="2"/>
  <c r="BG240" i="2"/>
  <c r="BH240" i="2"/>
  <c r="BI240" i="2"/>
  <c r="BJ240" i="2"/>
  <c r="BK240" i="2"/>
  <c r="AZ241" i="2"/>
  <c r="BA241" i="2"/>
  <c r="BN241" i="2" s="1"/>
  <c r="BB241" i="2"/>
  <c r="BO241" i="2" s="1"/>
  <c r="BC241" i="2"/>
  <c r="BD241" i="2"/>
  <c r="BQ241" i="2" s="1"/>
  <c r="BE241" i="2"/>
  <c r="BR241" i="2" s="1"/>
  <c r="BF241" i="2"/>
  <c r="BG241" i="2"/>
  <c r="BT241" i="2" s="1"/>
  <c r="BH241" i="2"/>
  <c r="BU241" i="2" s="1"/>
  <c r="BI241" i="2"/>
  <c r="BV241" i="2" s="1"/>
  <c r="BJ241" i="2"/>
  <c r="BW241" i="2" s="1"/>
  <c r="BK241" i="2"/>
  <c r="AZ242" i="2"/>
  <c r="BA242" i="2"/>
  <c r="BB242" i="2"/>
  <c r="BC242" i="2"/>
  <c r="BD242" i="2"/>
  <c r="BE242" i="2"/>
  <c r="BF242" i="2"/>
  <c r="BG242" i="2"/>
  <c r="BH242" i="2"/>
  <c r="BI242" i="2"/>
  <c r="BJ242" i="2"/>
  <c r="BK242" i="2"/>
  <c r="AZ243" i="2"/>
  <c r="BA243" i="2"/>
  <c r="BB243" i="2"/>
  <c r="BC243" i="2"/>
  <c r="BD243" i="2"/>
  <c r="BE243" i="2"/>
  <c r="BF243" i="2"/>
  <c r="BG243" i="2"/>
  <c r="BH243" i="2"/>
  <c r="BI243" i="2"/>
  <c r="BJ243" i="2"/>
  <c r="BK243" i="2"/>
  <c r="AZ244" i="2"/>
  <c r="BA244" i="2"/>
  <c r="BB244" i="2"/>
  <c r="BC244" i="2"/>
  <c r="BD244" i="2"/>
  <c r="BE244" i="2"/>
  <c r="BF244" i="2"/>
  <c r="BG244" i="2"/>
  <c r="BH244" i="2"/>
  <c r="BI244" i="2"/>
  <c r="BJ244" i="2"/>
  <c r="BK244" i="2"/>
  <c r="AZ245" i="2"/>
  <c r="BA245" i="2"/>
  <c r="BN245" i="2" s="1"/>
  <c r="BB245" i="2"/>
  <c r="BO245" i="2" s="1"/>
  <c r="BC245" i="2"/>
  <c r="BD245" i="2"/>
  <c r="BQ245" i="2" s="1"/>
  <c r="BE245" i="2"/>
  <c r="BR245" i="2" s="1"/>
  <c r="BF245" i="2"/>
  <c r="BG245" i="2"/>
  <c r="BT245" i="2" s="1"/>
  <c r="BH245" i="2"/>
  <c r="BU245" i="2" s="1"/>
  <c r="BI245" i="2"/>
  <c r="BV245" i="2" s="1"/>
  <c r="BJ245" i="2"/>
  <c r="BW245" i="2" s="1"/>
  <c r="BK245" i="2"/>
  <c r="AZ246" i="2"/>
  <c r="BA246" i="2"/>
  <c r="BB246" i="2"/>
  <c r="BC246" i="2"/>
  <c r="BD246" i="2"/>
  <c r="BE246" i="2"/>
  <c r="BF246" i="2"/>
  <c r="BG246" i="2"/>
  <c r="BH246" i="2"/>
  <c r="BI246" i="2"/>
  <c r="BJ246" i="2"/>
  <c r="BK246" i="2"/>
  <c r="AZ247" i="2"/>
  <c r="BA247" i="2"/>
  <c r="BB247" i="2"/>
  <c r="BC247" i="2"/>
  <c r="BD247" i="2"/>
  <c r="BE247" i="2"/>
  <c r="BF247" i="2"/>
  <c r="BG247" i="2"/>
  <c r="BH247" i="2"/>
  <c r="BI247" i="2"/>
  <c r="BJ247" i="2"/>
  <c r="BK247" i="2"/>
  <c r="AZ248" i="2"/>
  <c r="BA248" i="2"/>
  <c r="BB248" i="2"/>
  <c r="BC248" i="2"/>
  <c r="BD248" i="2"/>
  <c r="BE248" i="2"/>
  <c r="BF248" i="2"/>
  <c r="BG248" i="2"/>
  <c r="BH248" i="2"/>
  <c r="BI248" i="2"/>
  <c r="BJ248" i="2"/>
  <c r="BK248" i="2"/>
  <c r="AZ249" i="2"/>
  <c r="BA249" i="2"/>
  <c r="BN249" i="2" s="1"/>
  <c r="BB249" i="2"/>
  <c r="BO249" i="2" s="1"/>
  <c r="BC249" i="2"/>
  <c r="BD249" i="2"/>
  <c r="BQ249" i="2" s="1"/>
  <c r="BE249" i="2"/>
  <c r="BR249" i="2" s="1"/>
  <c r="BF249" i="2"/>
  <c r="BG249" i="2"/>
  <c r="BT249" i="2" s="1"/>
  <c r="BH249" i="2"/>
  <c r="BU249" i="2" s="1"/>
  <c r="BI249" i="2"/>
  <c r="BV249" i="2" s="1"/>
  <c r="BJ249" i="2"/>
  <c r="BW249" i="2" s="1"/>
  <c r="BK249" i="2"/>
  <c r="AZ250" i="2"/>
  <c r="BA250" i="2"/>
  <c r="BB250" i="2"/>
  <c r="BC250" i="2"/>
  <c r="BD250" i="2"/>
  <c r="BE250" i="2"/>
  <c r="BF250" i="2"/>
  <c r="BG250" i="2"/>
  <c r="BH250" i="2"/>
  <c r="BI250" i="2"/>
  <c r="BJ250" i="2"/>
  <c r="BK250" i="2"/>
  <c r="AZ251" i="2"/>
  <c r="BA251" i="2"/>
  <c r="BB251" i="2"/>
  <c r="BC251" i="2"/>
  <c r="BD251" i="2"/>
  <c r="BE251" i="2"/>
  <c r="BF251" i="2"/>
  <c r="BG251" i="2"/>
  <c r="BH251" i="2"/>
  <c r="BI251" i="2"/>
  <c r="BJ251" i="2"/>
  <c r="BK251" i="2"/>
  <c r="AZ252" i="2"/>
  <c r="BA252" i="2"/>
  <c r="BB252" i="2"/>
  <c r="BC252" i="2"/>
  <c r="BD252" i="2"/>
  <c r="BE252" i="2"/>
  <c r="BF252" i="2"/>
  <c r="BG252" i="2"/>
  <c r="BH252" i="2"/>
  <c r="BI252" i="2"/>
  <c r="BJ252" i="2"/>
  <c r="BK252" i="2"/>
  <c r="AZ253" i="2"/>
  <c r="BA253" i="2"/>
  <c r="BN253" i="2" s="1"/>
  <c r="BB253" i="2"/>
  <c r="BO253" i="2" s="1"/>
  <c r="BC253" i="2"/>
  <c r="BD253" i="2"/>
  <c r="BQ253" i="2" s="1"/>
  <c r="BE253" i="2"/>
  <c r="BR253" i="2" s="1"/>
  <c r="BF253" i="2"/>
  <c r="BS253" i="2" s="1"/>
  <c r="BG253" i="2"/>
  <c r="BT253" i="2" s="1"/>
  <c r="BH253" i="2"/>
  <c r="BU253" i="2" s="1"/>
  <c r="BI253" i="2"/>
  <c r="BV253" i="2" s="1"/>
  <c r="BJ253" i="2"/>
  <c r="BW253" i="2" s="1"/>
  <c r="BK253" i="2"/>
  <c r="AZ254" i="2"/>
  <c r="BA254" i="2"/>
  <c r="BB254" i="2"/>
  <c r="BC254" i="2"/>
  <c r="BD254" i="2"/>
  <c r="BE254" i="2"/>
  <c r="BF254" i="2"/>
  <c r="BG254" i="2"/>
  <c r="BH254" i="2"/>
  <c r="BI254" i="2"/>
  <c r="BJ254" i="2"/>
  <c r="BK254" i="2"/>
  <c r="AZ255" i="2"/>
  <c r="BA255" i="2"/>
  <c r="BB255" i="2"/>
  <c r="BC255" i="2"/>
  <c r="BD255" i="2"/>
  <c r="BE255" i="2"/>
  <c r="BF255" i="2"/>
  <c r="BG255" i="2"/>
  <c r="BH255" i="2"/>
  <c r="BI255" i="2"/>
  <c r="BJ255" i="2"/>
  <c r="BK255" i="2"/>
  <c r="AZ256" i="2"/>
  <c r="BA256" i="2"/>
  <c r="BB256" i="2"/>
  <c r="BC256" i="2"/>
  <c r="BD256" i="2"/>
  <c r="BE256" i="2"/>
  <c r="BF256" i="2"/>
  <c r="BG256" i="2"/>
  <c r="BH256" i="2"/>
  <c r="BI256" i="2"/>
  <c r="BJ256" i="2"/>
  <c r="BK256" i="2"/>
  <c r="AZ257" i="2"/>
  <c r="BA257" i="2"/>
  <c r="BN257" i="2" s="1"/>
  <c r="BB257" i="2"/>
  <c r="BO257" i="2" s="1"/>
  <c r="BC257" i="2"/>
  <c r="BD257" i="2"/>
  <c r="BQ257" i="2" s="1"/>
  <c r="BE257" i="2"/>
  <c r="BR257" i="2" s="1"/>
  <c r="BF257" i="2"/>
  <c r="BS257" i="2" s="1"/>
  <c r="BG257" i="2"/>
  <c r="BT257" i="2" s="1"/>
  <c r="BH257" i="2"/>
  <c r="BU257" i="2" s="1"/>
  <c r="BI257" i="2"/>
  <c r="BV257" i="2" s="1"/>
  <c r="BJ257" i="2"/>
  <c r="BW257" i="2" s="1"/>
  <c r="BK257" i="2"/>
  <c r="AZ258" i="2"/>
  <c r="BA258" i="2"/>
  <c r="BB258" i="2"/>
  <c r="BC258" i="2"/>
  <c r="BD258" i="2"/>
  <c r="BE258" i="2"/>
  <c r="BF258" i="2"/>
  <c r="BG258" i="2"/>
  <c r="BH258" i="2"/>
  <c r="BI258" i="2"/>
  <c r="BJ258" i="2"/>
  <c r="BK258" i="2"/>
  <c r="AZ259" i="2"/>
  <c r="BA259" i="2"/>
  <c r="BB259" i="2"/>
  <c r="BC259" i="2"/>
  <c r="BD259" i="2"/>
  <c r="BE259" i="2"/>
  <c r="BF259" i="2"/>
  <c r="BG259" i="2"/>
  <c r="BH259" i="2"/>
  <c r="BI259" i="2"/>
  <c r="BJ259" i="2"/>
  <c r="BK259" i="2"/>
  <c r="AZ260" i="2"/>
  <c r="BA260" i="2"/>
  <c r="BB260" i="2"/>
  <c r="BC260" i="2"/>
  <c r="BD260" i="2"/>
  <c r="BE260" i="2"/>
  <c r="BF260" i="2"/>
  <c r="BG260" i="2"/>
  <c r="BH260" i="2"/>
  <c r="BI260" i="2"/>
  <c r="BJ260" i="2"/>
  <c r="BK260" i="2"/>
  <c r="AZ261" i="2"/>
  <c r="BA261" i="2"/>
  <c r="BN261" i="2" s="1"/>
  <c r="BB261" i="2"/>
  <c r="BO261" i="2" s="1"/>
  <c r="BC261" i="2"/>
  <c r="BD261" i="2"/>
  <c r="BQ261" i="2" s="1"/>
  <c r="BE261" i="2"/>
  <c r="BR261" i="2" s="1"/>
  <c r="BF261" i="2"/>
  <c r="BS261" i="2" s="1"/>
  <c r="BG261" i="2"/>
  <c r="BT261" i="2" s="1"/>
  <c r="BH261" i="2"/>
  <c r="BU261" i="2" s="1"/>
  <c r="BI261" i="2"/>
  <c r="BV261" i="2" s="1"/>
  <c r="BJ261" i="2"/>
  <c r="BW261" i="2" s="1"/>
  <c r="BK261" i="2"/>
  <c r="AZ262" i="2"/>
  <c r="BA262" i="2"/>
  <c r="BB262" i="2"/>
  <c r="BC262" i="2"/>
  <c r="BD262" i="2"/>
  <c r="BE262" i="2"/>
  <c r="BF262" i="2"/>
  <c r="BG262" i="2"/>
  <c r="BH262" i="2"/>
  <c r="BI262" i="2"/>
  <c r="BJ262" i="2"/>
  <c r="BK262" i="2"/>
  <c r="AZ263" i="2"/>
  <c r="BA263" i="2"/>
  <c r="BB263" i="2"/>
  <c r="BC263" i="2"/>
  <c r="BD263" i="2"/>
  <c r="BE263" i="2"/>
  <c r="BF263" i="2"/>
  <c r="BG263" i="2"/>
  <c r="BH263" i="2"/>
  <c r="BI263" i="2"/>
  <c r="BJ263" i="2"/>
  <c r="BK263" i="2"/>
  <c r="AZ264" i="2"/>
  <c r="BA264" i="2"/>
  <c r="BB264" i="2"/>
  <c r="BC264" i="2"/>
  <c r="BD264" i="2"/>
  <c r="BE264" i="2"/>
  <c r="BF264" i="2"/>
  <c r="BG264" i="2"/>
  <c r="BH264" i="2"/>
  <c r="BI264" i="2"/>
  <c r="BJ264" i="2"/>
  <c r="BK264" i="2"/>
  <c r="AZ265" i="2"/>
  <c r="BA265" i="2"/>
  <c r="BN265" i="2" s="1"/>
  <c r="BB265" i="2"/>
  <c r="BO265" i="2" s="1"/>
  <c r="BC265" i="2"/>
  <c r="BD265" i="2"/>
  <c r="BQ265" i="2" s="1"/>
  <c r="BE265" i="2"/>
  <c r="BR265" i="2" s="1"/>
  <c r="BF265" i="2"/>
  <c r="BS265" i="2" s="1"/>
  <c r="BG265" i="2"/>
  <c r="BT265" i="2" s="1"/>
  <c r="BH265" i="2"/>
  <c r="BU265" i="2" s="1"/>
  <c r="BI265" i="2"/>
  <c r="BV265" i="2" s="1"/>
  <c r="BJ265" i="2"/>
  <c r="BW265" i="2" s="1"/>
  <c r="BK265" i="2"/>
  <c r="AZ266" i="2"/>
  <c r="BA266" i="2"/>
  <c r="BB266" i="2"/>
  <c r="BC266" i="2"/>
  <c r="BD266" i="2"/>
  <c r="BE266" i="2"/>
  <c r="BF266" i="2"/>
  <c r="BG266" i="2"/>
  <c r="BH266" i="2"/>
  <c r="BI266" i="2"/>
  <c r="BJ266" i="2"/>
  <c r="BK266" i="2"/>
  <c r="AZ267" i="2"/>
  <c r="BA267" i="2"/>
  <c r="BB267" i="2"/>
  <c r="BC267" i="2"/>
  <c r="BD267" i="2"/>
  <c r="BE267" i="2"/>
  <c r="BF267" i="2"/>
  <c r="BG267" i="2"/>
  <c r="BH267" i="2"/>
  <c r="BI267" i="2"/>
  <c r="BJ267" i="2"/>
  <c r="BK267" i="2"/>
  <c r="AZ268" i="2"/>
  <c r="BA268" i="2"/>
  <c r="BB268" i="2"/>
  <c r="BC268" i="2"/>
  <c r="BD268" i="2"/>
  <c r="BE268" i="2"/>
  <c r="BF268" i="2"/>
  <c r="BG268" i="2"/>
  <c r="BH268" i="2"/>
  <c r="BI268" i="2"/>
  <c r="BJ268" i="2"/>
  <c r="BK268" i="2"/>
  <c r="AZ269" i="2"/>
  <c r="BA269" i="2"/>
  <c r="BN269" i="2" s="1"/>
  <c r="BB269" i="2"/>
  <c r="BO269" i="2" s="1"/>
  <c r="BC269" i="2"/>
  <c r="BD269" i="2"/>
  <c r="BQ269" i="2" s="1"/>
  <c r="BE269" i="2"/>
  <c r="BR269" i="2" s="1"/>
  <c r="BF269" i="2"/>
  <c r="BS269" i="2" s="1"/>
  <c r="BG269" i="2"/>
  <c r="BT269" i="2" s="1"/>
  <c r="BH269" i="2"/>
  <c r="BU269" i="2" s="1"/>
  <c r="BI269" i="2"/>
  <c r="BV269" i="2" s="1"/>
  <c r="BJ269" i="2"/>
  <c r="BW269" i="2" s="1"/>
  <c r="BK269" i="2"/>
  <c r="AZ270" i="2"/>
  <c r="BA270" i="2"/>
  <c r="BB270" i="2"/>
  <c r="BC270" i="2"/>
  <c r="BD270" i="2"/>
  <c r="BE270" i="2"/>
  <c r="BF270" i="2"/>
  <c r="BG270" i="2"/>
  <c r="BH270" i="2"/>
  <c r="BI270" i="2"/>
  <c r="BJ270" i="2"/>
  <c r="BK270" i="2"/>
  <c r="AZ271" i="2"/>
  <c r="BA271" i="2"/>
  <c r="BB271" i="2"/>
  <c r="BC271" i="2"/>
  <c r="BD271" i="2"/>
  <c r="BE271" i="2"/>
  <c r="BF271" i="2"/>
  <c r="BG271" i="2"/>
  <c r="BH271" i="2"/>
  <c r="BI271" i="2"/>
  <c r="BJ271" i="2"/>
  <c r="BK271" i="2"/>
  <c r="AZ272" i="2"/>
  <c r="BA272" i="2"/>
  <c r="BB272" i="2"/>
  <c r="BC272" i="2"/>
  <c r="BD272" i="2"/>
  <c r="BE272" i="2"/>
  <c r="BF272" i="2"/>
  <c r="BG272" i="2"/>
  <c r="BH272" i="2"/>
  <c r="BI272" i="2"/>
  <c r="BJ272" i="2"/>
  <c r="BK272" i="2"/>
  <c r="AZ273" i="2"/>
  <c r="BA273" i="2"/>
  <c r="BN273" i="2" s="1"/>
  <c r="BB273" i="2"/>
  <c r="BO273" i="2" s="1"/>
  <c r="BC273" i="2"/>
  <c r="BD273" i="2"/>
  <c r="BQ273" i="2" s="1"/>
  <c r="BE273" i="2"/>
  <c r="BR273" i="2" s="1"/>
  <c r="BF273" i="2"/>
  <c r="BS273" i="2" s="1"/>
  <c r="BG273" i="2"/>
  <c r="BT273" i="2" s="1"/>
  <c r="BH273" i="2"/>
  <c r="BU273" i="2" s="1"/>
  <c r="BI273" i="2"/>
  <c r="BV273" i="2" s="1"/>
  <c r="BJ273" i="2"/>
  <c r="BW273" i="2" s="1"/>
  <c r="BK273" i="2"/>
  <c r="AZ274" i="2"/>
  <c r="BA274" i="2"/>
  <c r="BB274" i="2"/>
  <c r="BC274" i="2"/>
  <c r="BD274" i="2"/>
  <c r="BE274" i="2"/>
  <c r="BF274" i="2"/>
  <c r="BG274" i="2"/>
  <c r="BH274" i="2"/>
  <c r="BI274" i="2"/>
  <c r="BJ274" i="2"/>
  <c r="BK274" i="2"/>
  <c r="AZ275" i="2"/>
  <c r="BA275" i="2"/>
  <c r="BB275" i="2"/>
  <c r="BC275" i="2"/>
  <c r="BD275" i="2"/>
  <c r="BE275" i="2"/>
  <c r="BF275" i="2"/>
  <c r="BG275" i="2"/>
  <c r="BH275" i="2"/>
  <c r="BI275" i="2"/>
  <c r="BJ275" i="2"/>
  <c r="BK275" i="2"/>
  <c r="AZ276" i="2"/>
  <c r="BA276" i="2"/>
  <c r="BB276" i="2"/>
  <c r="BC276" i="2"/>
  <c r="BD276" i="2"/>
  <c r="BE276" i="2"/>
  <c r="BF276" i="2"/>
  <c r="BG276" i="2"/>
  <c r="BH276" i="2"/>
  <c r="BI276" i="2"/>
  <c r="BJ276" i="2"/>
  <c r="BK276" i="2"/>
  <c r="AZ277" i="2"/>
  <c r="BA277" i="2"/>
  <c r="BN277" i="2" s="1"/>
  <c r="BB277" i="2"/>
  <c r="BO277" i="2" s="1"/>
  <c r="BC277" i="2"/>
  <c r="BD277" i="2"/>
  <c r="BQ277" i="2" s="1"/>
  <c r="BE277" i="2"/>
  <c r="BR277" i="2" s="1"/>
  <c r="BF277" i="2"/>
  <c r="BS277" i="2" s="1"/>
  <c r="BG277" i="2"/>
  <c r="BT277" i="2" s="1"/>
  <c r="BH277" i="2"/>
  <c r="BU277" i="2" s="1"/>
  <c r="BI277" i="2"/>
  <c r="BV277" i="2" s="1"/>
  <c r="BJ277" i="2"/>
  <c r="BW277" i="2" s="1"/>
  <c r="BK277" i="2"/>
  <c r="BK3" i="2"/>
  <c r="BX3" i="2" s="1"/>
  <c r="BJ3" i="2"/>
  <c r="BI3" i="2"/>
  <c r="BH3" i="2"/>
  <c r="BU3" i="2" s="1"/>
  <c r="BG3" i="2"/>
  <c r="BF3" i="2"/>
  <c r="BS3" i="2" s="1"/>
  <c r="BE3" i="2"/>
  <c r="BD3" i="2"/>
  <c r="BQ3" i="2" s="1"/>
  <c r="BC3" i="2"/>
  <c r="BP3" i="2" s="1"/>
  <c r="BB3" i="2"/>
  <c r="BA3" i="2"/>
  <c r="AZ3" i="2"/>
  <c r="Y4" i="2" l="1"/>
  <c r="Y274" i="2"/>
  <c r="Y270" i="2"/>
  <c r="Y266" i="2"/>
  <c r="Y262" i="2"/>
  <c r="Y258" i="2"/>
  <c r="Y254" i="2"/>
  <c r="Y250" i="2"/>
  <c r="Y246" i="2"/>
  <c r="Y242" i="2"/>
  <c r="Y238" i="2"/>
  <c r="Y234" i="2"/>
  <c r="Y230" i="2"/>
  <c r="Y226" i="2"/>
  <c r="Y222" i="2"/>
  <c r="Y218" i="2"/>
  <c r="Y214" i="2"/>
  <c r="Y210" i="2"/>
  <c r="Y206" i="2"/>
  <c r="Y202" i="2"/>
  <c r="Y198" i="2"/>
  <c r="Y194" i="2"/>
  <c r="Y190" i="2"/>
  <c r="Y187" i="2"/>
  <c r="Y183" i="2"/>
  <c r="Y179" i="2"/>
  <c r="Y175" i="2"/>
  <c r="Y171" i="2"/>
  <c r="Y167" i="2"/>
  <c r="Y163" i="2"/>
  <c r="Y159" i="2"/>
  <c r="Y155" i="2"/>
  <c r="Y151" i="2"/>
  <c r="Y147" i="2"/>
  <c r="Y143" i="2"/>
  <c r="Y139" i="2"/>
  <c r="Y135" i="2"/>
  <c r="Y131" i="2"/>
  <c r="Y127" i="2"/>
  <c r="Y123" i="2"/>
  <c r="AL123" i="2" s="1"/>
  <c r="Y119" i="2"/>
  <c r="Y115" i="2"/>
  <c r="Y111" i="2"/>
  <c r="Y107" i="2"/>
  <c r="Y103" i="2"/>
  <c r="Y99" i="2"/>
  <c r="Y95" i="2"/>
  <c r="Y91" i="2"/>
  <c r="Y87" i="2"/>
  <c r="Y83" i="2"/>
  <c r="Y79" i="2"/>
  <c r="Y75" i="2"/>
  <c r="Y71" i="2"/>
  <c r="Y67" i="2"/>
  <c r="Y63" i="2"/>
  <c r="Y59" i="2"/>
  <c r="Y55" i="2"/>
  <c r="Y51" i="2"/>
  <c r="Y47" i="2"/>
  <c r="Y43" i="2"/>
  <c r="Y39" i="2"/>
  <c r="Y35" i="2"/>
  <c r="Y31" i="2"/>
  <c r="Y27" i="2"/>
  <c r="Y20" i="2"/>
  <c r="Y16" i="2"/>
  <c r="Y12" i="2"/>
  <c r="Y8" i="2"/>
  <c r="Y277" i="2"/>
  <c r="Y273" i="2"/>
  <c r="Y269" i="2"/>
  <c r="Y265" i="2"/>
  <c r="Y261" i="2"/>
  <c r="Y257" i="2"/>
  <c r="Y253" i="2"/>
  <c r="Y249" i="2"/>
  <c r="Y245" i="2"/>
  <c r="Y241" i="2"/>
  <c r="Y237" i="2"/>
  <c r="Y233" i="2"/>
  <c r="Y229" i="2"/>
  <c r="Y225" i="2"/>
  <c r="Y221" i="2"/>
  <c r="Y217" i="2"/>
  <c r="Y213" i="2"/>
  <c r="Y209" i="2"/>
  <c r="Y205" i="2"/>
  <c r="Y201" i="2"/>
  <c r="Y197" i="2"/>
  <c r="Y193" i="2"/>
  <c r="Y186" i="2"/>
  <c r="Y182" i="2"/>
  <c r="Y178" i="2"/>
  <c r="Y174" i="2"/>
  <c r="Y170" i="2"/>
  <c r="Y166" i="2"/>
  <c r="Y162" i="2"/>
  <c r="Y158" i="2"/>
  <c r="Y154" i="2"/>
  <c r="Y150" i="2"/>
  <c r="Y146" i="2"/>
  <c r="Y142" i="2"/>
  <c r="Y138" i="2"/>
  <c r="Y134" i="2"/>
  <c r="Y130" i="2"/>
  <c r="Y126" i="2"/>
  <c r="Y122" i="2"/>
  <c r="Y118" i="2"/>
  <c r="Y114" i="2"/>
  <c r="Y110" i="2"/>
  <c r="Y106" i="2"/>
  <c r="Y102" i="2"/>
  <c r="Y98" i="2"/>
  <c r="Y94" i="2"/>
  <c r="Y90" i="2"/>
  <c r="Y86" i="2"/>
  <c r="AL86" i="2" s="1"/>
  <c r="Y82" i="2"/>
  <c r="Y78" i="2"/>
  <c r="Y74" i="2"/>
  <c r="Y70" i="2"/>
  <c r="Y66" i="2"/>
  <c r="Y62" i="2"/>
  <c r="Y58" i="2"/>
  <c r="Y54" i="2"/>
  <c r="Y50" i="2"/>
  <c r="Y46" i="2"/>
  <c r="Y42" i="2"/>
  <c r="Y38" i="2"/>
  <c r="Y34" i="2"/>
  <c r="Y30" i="2"/>
  <c r="Y26" i="2"/>
  <c r="Y23" i="2"/>
  <c r="Y19" i="2"/>
  <c r="Y15" i="2"/>
  <c r="Y11" i="2"/>
  <c r="Y7" i="2"/>
  <c r="Y276" i="2"/>
  <c r="Y272" i="2"/>
  <c r="Y268" i="2"/>
  <c r="Y264" i="2"/>
  <c r="Y260" i="2"/>
  <c r="Y256" i="2"/>
  <c r="Y252" i="2"/>
  <c r="Y248" i="2"/>
  <c r="Y244" i="2"/>
  <c r="Y240" i="2"/>
  <c r="Y236" i="2"/>
  <c r="Y232" i="2"/>
  <c r="Y228" i="2"/>
  <c r="Y224" i="2"/>
  <c r="Y220" i="2"/>
  <c r="Y216" i="2"/>
  <c r="Y212" i="2"/>
  <c r="Y208" i="2"/>
  <c r="Y204" i="2"/>
  <c r="Y200" i="2"/>
  <c r="Y196" i="2"/>
  <c r="Y192" i="2"/>
  <c r="Y189" i="2"/>
  <c r="Y185" i="2"/>
  <c r="Y181" i="2"/>
  <c r="Y177" i="2"/>
  <c r="Y173" i="2"/>
  <c r="Y169" i="2"/>
  <c r="Y165" i="2"/>
  <c r="Y161" i="2"/>
  <c r="Y157" i="2"/>
  <c r="Y153" i="2"/>
  <c r="Y149" i="2"/>
  <c r="Y145" i="2"/>
  <c r="Y141" i="2"/>
  <c r="Y137" i="2"/>
  <c r="Y133" i="2"/>
  <c r="Y129" i="2"/>
  <c r="Y125" i="2"/>
  <c r="Y121" i="2"/>
  <c r="Y117" i="2"/>
  <c r="Y113" i="2"/>
  <c r="Y109" i="2"/>
  <c r="Y105" i="2"/>
  <c r="Y101" i="2"/>
  <c r="Y97" i="2"/>
  <c r="Y93" i="2"/>
  <c r="Y89" i="2"/>
  <c r="Y85" i="2"/>
  <c r="Y81" i="2"/>
  <c r="Y77" i="2"/>
  <c r="Y73" i="2"/>
  <c r="Y69" i="2"/>
  <c r="Y65" i="2"/>
  <c r="Y61" i="2"/>
  <c r="Y57" i="2"/>
  <c r="Y53" i="2"/>
  <c r="Y49" i="2"/>
  <c r="Y45" i="2"/>
  <c r="Y41" i="2"/>
  <c r="Y37" i="2"/>
  <c r="Y33" i="2"/>
  <c r="Y29" i="2"/>
  <c r="Y25" i="2"/>
  <c r="Y22" i="2"/>
  <c r="Y18" i="2"/>
  <c r="Y14" i="2"/>
  <c r="Y10" i="2"/>
  <c r="Y6" i="2"/>
  <c r="Y3" i="2"/>
  <c r="Y275" i="2"/>
  <c r="Y271" i="2"/>
  <c r="Y267" i="2"/>
  <c r="Y263" i="2"/>
  <c r="Y259" i="2"/>
  <c r="Y255" i="2"/>
  <c r="Y251" i="2"/>
  <c r="Y247" i="2"/>
  <c r="Y243" i="2"/>
  <c r="Y239" i="2"/>
  <c r="Y235" i="2"/>
  <c r="Y231" i="2"/>
  <c r="Y227" i="2"/>
  <c r="Y223" i="2"/>
  <c r="Y219" i="2"/>
  <c r="Y215" i="2"/>
  <c r="Y211" i="2"/>
  <c r="Y207" i="2"/>
  <c r="Y203" i="2"/>
  <c r="Y199" i="2"/>
  <c r="Y195" i="2"/>
  <c r="Y191" i="2"/>
  <c r="Y188" i="2"/>
  <c r="Y184" i="2"/>
  <c r="Y180" i="2"/>
  <c r="Y176" i="2"/>
  <c r="Y172" i="2"/>
  <c r="Y168" i="2"/>
  <c r="Y164" i="2"/>
  <c r="Y160" i="2"/>
  <c r="Y156" i="2"/>
  <c r="AL156" i="2" s="1"/>
  <c r="Y152" i="2"/>
  <c r="Y148" i="2"/>
  <c r="Y144" i="2"/>
  <c r="Y140" i="2"/>
  <c r="Y136" i="2"/>
  <c r="Y132" i="2"/>
  <c r="Y128" i="2"/>
  <c r="Y124" i="2"/>
  <c r="Y120" i="2"/>
  <c r="Y116" i="2"/>
  <c r="Y112" i="2"/>
  <c r="Y108" i="2"/>
  <c r="Y104" i="2"/>
  <c r="Y100" i="2"/>
  <c r="Y96" i="2"/>
  <c r="Y92" i="2"/>
  <c r="Y88" i="2"/>
  <c r="Y84" i="2"/>
  <c r="Y80" i="2"/>
  <c r="Y76" i="2"/>
  <c r="Y72" i="2"/>
  <c r="AL72" i="2" s="1"/>
  <c r="Y68" i="2"/>
  <c r="Y64" i="2"/>
  <c r="Y60" i="2"/>
  <c r="Y56" i="2"/>
  <c r="Y52" i="2"/>
  <c r="Y48" i="2"/>
  <c r="Y44" i="2"/>
  <c r="Y40" i="2"/>
  <c r="Y36" i="2"/>
  <c r="Y32" i="2"/>
  <c r="Y28" i="2"/>
  <c r="Y24" i="2"/>
  <c r="Y21" i="2"/>
  <c r="Y17" i="2"/>
  <c r="Y13" i="2"/>
  <c r="Y9" i="2"/>
  <c r="Y5" i="2"/>
  <c r="Q3" i="2"/>
  <c r="AB275" i="2"/>
  <c r="Z275" i="2"/>
  <c r="AA275" i="2"/>
  <c r="X275" i="2"/>
  <c r="W275" i="2"/>
  <c r="S275" i="2"/>
  <c r="V275" i="2"/>
  <c r="T275" i="2"/>
  <c r="R275" i="2"/>
  <c r="U275" i="2"/>
  <c r="Q275" i="2"/>
  <c r="AA271" i="2"/>
  <c r="AB271" i="2"/>
  <c r="Z271" i="2"/>
  <c r="W271" i="2"/>
  <c r="V271" i="2"/>
  <c r="T271" i="2"/>
  <c r="S271" i="2"/>
  <c r="R271" i="2"/>
  <c r="Q271" i="2"/>
  <c r="X271" i="2"/>
  <c r="U271" i="2"/>
  <c r="AB267" i="2"/>
  <c r="AO267" i="2" s="1"/>
  <c r="Z267" i="2"/>
  <c r="X267" i="2"/>
  <c r="W267" i="2"/>
  <c r="S267" i="2"/>
  <c r="V267" i="2"/>
  <c r="T267" i="2"/>
  <c r="U267" i="2"/>
  <c r="AA267" i="2"/>
  <c r="R267" i="2"/>
  <c r="Q267" i="2"/>
  <c r="AA263" i="2"/>
  <c r="AB263" i="2"/>
  <c r="Z263" i="2"/>
  <c r="W263" i="2"/>
  <c r="X263" i="2"/>
  <c r="V263" i="2"/>
  <c r="T263" i="2"/>
  <c r="Q263" i="2"/>
  <c r="U263" i="2"/>
  <c r="S263" i="2"/>
  <c r="R263" i="2"/>
  <c r="AB259" i="2"/>
  <c r="Z259" i="2"/>
  <c r="AA259" i="2"/>
  <c r="X259" i="2"/>
  <c r="AK259" i="2" s="1"/>
  <c r="V259" i="2"/>
  <c r="T259" i="2"/>
  <c r="S259" i="2"/>
  <c r="W259" i="2"/>
  <c r="R259" i="2"/>
  <c r="Q259" i="2"/>
  <c r="U259" i="2"/>
  <c r="AA255" i="2"/>
  <c r="Z255" i="2"/>
  <c r="W255" i="2"/>
  <c r="AB255" i="2"/>
  <c r="X255" i="2"/>
  <c r="V255" i="2"/>
  <c r="T255" i="2"/>
  <c r="Q255" i="2"/>
  <c r="R255" i="2"/>
  <c r="S255" i="2"/>
  <c r="U255" i="2"/>
  <c r="AB251" i="2"/>
  <c r="Z251" i="2"/>
  <c r="X251" i="2"/>
  <c r="AA251" i="2"/>
  <c r="W251" i="2"/>
  <c r="S251" i="2"/>
  <c r="V251" i="2"/>
  <c r="T251" i="2"/>
  <c r="R251" i="2"/>
  <c r="U251" i="2"/>
  <c r="Q251" i="2"/>
  <c r="AA247" i="2"/>
  <c r="AB247" i="2"/>
  <c r="Z247" i="2"/>
  <c r="X247" i="2"/>
  <c r="W247" i="2"/>
  <c r="V247" i="2"/>
  <c r="Q247" i="2"/>
  <c r="U247" i="2"/>
  <c r="T247" i="2"/>
  <c r="S247" i="2"/>
  <c r="R247" i="2"/>
  <c r="AB243" i="2"/>
  <c r="AO243" i="2" s="1"/>
  <c r="Z243" i="2"/>
  <c r="AA243" i="2"/>
  <c r="AN243" i="2" s="1"/>
  <c r="X243" i="2"/>
  <c r="V243" i="2"/>
  <c r="AI243" i="2" s="1"/>
  <c r="T243" i="2"/>
  <c r="W243" i="2"/>
  <c r="S243" i="2"/>
  <c r="U243" i="2"/>
  <c r="R243" i="2"/>
  <c r="AE243" i="2" s="1"/>
  <c r="Q243" i="2"/>
  <c r="AA239" i="2"/>
  <c r="AB239" i="2"/>
  <c r="Z239" i="2"/>
  <c r="W239" i="2"/>
  <c r="V239" i="2"/>
  <c r="T239" i="2"/>
  <c r="R239" i="2"/>
  <c r="Q239" i="2"/>
  <c r="S239" i="2"/>
  <c r="X239" i="2"/>
  <c r="U239" i="2"/>
  <c r="AB235" i="2"/>
  <c r="Z235" i="2"/>
  <c r="X235" i="2"/>
  <c r="W235" i="2"/>
  <c r="S235" i="2"/>
  <c r="U235" i="2"/>
  <c r="AA235" i="2"/>
  <c r="V235" i="2"/>
  <c r="Q235" i="2"/>
  <c r="T235" i="2"/>
  <c r="R235" i="2"/>
  <c r="AA231" i="2"/>
  <c r="AB231" i="2"/>
  <c r="Z231" i="2"/>
  <c r="W231" i="2"/>
  <c r="X231" i="2"/>
  <c r="AK231" i="2" s="1"/>
  <c r="V231" i="2"/>
  <c r="T231" i="2"/>
  <c r="Q231" i="2"/>
  <c r="R231" i="2"/>
  <c r="S231" i="2"/>
  <c r="U231" i="2"/>
  <c r="AB227" i="2"/>
  <c r="Z227" i="2"/>
  <c r="AA227" i="2"/>
  <c r="AN227" i="2" s="1"/>
  <c r="X227" i="2"/>
  <c r="V227" i="2"/>
  <c r="T227" i="2"/>
  <c r="S227" i="2"/>
  <c r="R227" i="2"/>
  <c r="U227" i="2"/>
  <c r="Q227" i="2"/>
  <c r="AD227" i="2" s="1"/>
  <c r="W227" i="2"/>
  <c r="AA223" i="2"/>
  <c r="Z223" i="2"/>
  <c r="AB223" i="2"/>
  <c r="W223" i="2"/>
  <c r="X223" i="2"/>
  <c r="AK223" i="2" s="1"/>
  <c r="V223" i="2"/>
  <c r="S223" i="2"/>
  <c r="Q223" i="2"/>
  <c r="R223" i="2"/>
  <c r="T223" i="2"/>
  <c r="U223" i="2"/>
  <c r="AB219" i="2"/>
  <c r="Z219" i="2"/>
  <c r="X219" i="2"/>
  <c r="AA219" i="2"/>
  <c r="W219" i="2"/>
  <c r="V219" i="2"/>
  <c r="T219" i="2"/>
  <c r="U219" i="2"/>
  <c r="R219" i="2"/>
  <c r="Q219" i="2"/>
  <c r="S219" i="2"/>
  <c r="AA215" i="2"/>
  <c r="AB215" i="2"/>
  <c r="Z215" i="2"/>
  <c r="W215" i="2"/>
  <c r="X215" i="2"/>
  <c r="V215" i="2"/>
  <c r="Q215" i="2"/>
  <c r="T215" i="2"/>
  <c r="AG215" i="2" s="1"/>
  <c r="S215" i="2"/>
  <c r="U215" i="2"/>
  <c r="R215" i="2"/>
  <c r="AB211" i="2"/>
  <c r="Z211" i="2"/>
  <c r="AA211" i="2"/>
  <c r="X211" i="2"/>
  <c r="W211" i="2"/>
  <c r="Q211" i="2"/>
  <c r="V211" i="2"/>
  <c r="T211" i="2"/>
  <c r="U211" i="2"/>
  <c r="R211" i="2"/>
  <c r="S211" i="2"/>
  <c r="AA207" i="2"/>
  <c r="AB207" i="2"/>
  <c r="Z207" i="2"/>
  <c r="W207" i="2"/>
  <c r="V207" i="2"/>
  <c r="T207" i="2"/>
  <c r="S207" i="2"/>
  <c r="X207" i="2"/>
  <c r="R207" i="2"/>
  <c r="Q207" i="2"/>
  <c r="U207" i="2"/>
  <c r="AB203" i="2"/>
  <c r="Z203" i="2"/>
  <c r="X203" i="2"/>
  <c r="AA203" i="2"/>
  <c r="W203" i="2"/>
  <c r="Q203" i="2"/>
  <c r="S203" i="2"/>
  <c r="V203" i="2"/>
  <c r="T203" i="2"/>
  <c r="R203" i="2"/>
  <c r="U203" i="2"/>
  <c r="AA199" i="2"/>
  <c r="AB199" i="2"/>
  <c r="Z199" i="2"/>
  <c r="W199" i="2"/>
  <c r="X199" i="2"/>
  <c r="V199" i="2"/>
  <c r="T199" i="2"/>
  <c r="R199" i="2"/>
  <c r="Q199" i="2"/>
  <c r="U199" i="2"/>
  <c r="S199" i="2"/>
  <c r="AB195" i="2"/>
  <c r="Z195" i="2"/>
  <c r="AA195" i="2"/>
  <c r="X195" i="2"/>
  <c r="V195" i="2"/>
  <c r="T195" i="2"/>
  <c r="Q195" i="2"/>
  <c r="W195" i="2"/>
  <c r="S195" i="2"/>
  <c r="R195" i="2"/>
  <c r="U195" i="2"/>
  <c r="AA191" i="2"/>
  <c r="Z191" i="2"/>
  <c r="AB191" i="2"/>
  <c r="W191" i="2"/>
  <c r="V191" i="2"/>
  <c r="U191" i="2"/>
  <c r="S191" i="2"/>
  <c r="X191" i="2"/>
  <c r="T191" i="2"/>
  <c r="R191" i="2"/>
  <c r="Q191" i="2"/>
  <c r="AB188" i="2"/>
  <c r="Z188" i="2"/>
  <c r="X188" i="2"/>
  <c r="AA188" i="2"/>
  <c r="W188" i="2"/>
  <c r="S188" i="2"/>
  <c r="V188" i="2"/>
  <c r="T188" i="2"/>
  <c r="Q188" i="2"/>
  <c r="R188" i="2"/>
  <c r="AE188" i="2" s="1"/>
  <c r="U188" i="2"/>
  <c r="AA184" i="2"/>
  <c r="AB184" i="2"/>
  <c r="Z184" i="2"/>
  <c r="X184" i="2"/>
  <c r="W184" i="2"/>
  <c r="V184" i="2"/>
  <c r="T184" i="2"/>
  <c r="S184" i="2"/>
  <c r="U184" i="2"/>
  <c r="R184" i="2"/>
  <c r="Q184" i="2"/>
  <c r="AB180" i="2"/>
  <c r="Z180" i="2"/>
  <c r="AA180" i="2"/>
  <c r="X180" i="2"/>
  <c r="Q180" i="2"/>
  <c r="U180" i="2"/>
  <c r="W180" i="2"/>
  <c r="S180" i="2"/>
  <c r="V180" i="2"/>
  <c r="R180" i="2"/>
  <c r="T180" i="2"/>
  <c r="AA176" i="2"/>
  <c r="AB176" i="2"/>
  <c r="Z176" i="2"/>
  <c r="W176" i="2"/>
  <c r="V176" i="2"/>
  <c r="X176" i="2"/>
  <c r="T176" i="2"/>
  <c r="U176" i="2"/>
  <c r="S176" i="2"/>
  <c r="R176" i="2"/>
  <c r="Q176" i="2"/>
  <c r="AB172" i="2"/>
  <c r="Z172" i="2"/>
  <c r="X172" i="2"/>
  <c r="S172" i="2"/>
  <c r="Q172" i="2"/>
  <c r="V172" i="2"/>
  <c r="T172" i="2"/>
  <c r="AA172" i="2"/>
  <c r="R172" i="2"/>
  <c r="U172" i="2"/>
  <c r="W172" i="2"/>
  <c r="AA168" i="2"/>
  <c r="AB168" i="2"/>
  <c r="Z168" i="2"/>
  <c r="W168" i="2"/>
  <c r="V168" i="2"/>
  <c r="T168" i="2"/>
  <c r="X168" i="2"/>
  <c r="R168" i="2"/>
  <c r="S168" i="2"/>
  <c r="U168" i="2"/>
  <c r="Q168" i="2"/>
  <c r="AB164" i="2"/>
  <c r="Z164" i="2"/>
  <c r="AA164" i="2"/>
  <c r="X164" i="2"/>
  <c r="V164" i="2"/>
  <c r="T164" i="2"/>
  <c r="Q164" i="2"/>
  <c r="U164" i="2"/>
  <c r="S164" i="2"/>
  <c r="W164" i="2"/>
  <c r="R164" i="2"/>
  <c r="AA160" i="2"/>
  <c r="Z160" i="2"/>
  <c r="W160" i="2"/>
  <c r="X160" i="2"/>
  <c r="AB160" i="2"/>
  <c r="V160" i="2"/>
  <c r="S160" i="2"/>
  <c r="T160" i="2"/>
  <c r="R160" i="2"/>
  <c r="U160" i="2"/>
  <c r="Q160" i="2"/>
  <c r="AB156" i="2"/>
  <c r="Z156" i="2"/>
  <c r="X156" i="2"/>
  <c r="AA156" i="2"/>
  <c r="V156" i="2"/>
  <c r="T156" i="2"/>
  <c r="Q156" i="2"/>
  <c r="R156" i="2"/>
  <c r="W156" i="2"/>
  <c r="S156" i="2"/>
  <c r="U156" i="2"/>
  <c r="AA152" i="2"/>
  <c r="AB152" i="2"/>
  <c r="Z152" i="2"/>
  <c r="W152" i="2"/>
  <c r="X152" i="2"/>
  <c r="V152" i="2"/>
  <c r="S152" i="2"/>
  <c r="Q152" i="2"/>
  <c r="U152" i="2"/>
  <c r="R152" i="2"/>
  <c r="T152" i="2"/>
  <c r="AB148" i="2"/>
  <c r="Z148" i="2"/>
  <c r="AA148" i="2"/>
  <c r="X148" i="2"/>
  <c r="W148" i="2"/>
  <c r="Q148" i="2"/>
  <c r="V148" i="2"/>
  <c r="T148" i="2"/>
  <c r="S148" i="2"/>
  <c r="R148" i="2"/>
  <c r="U148" i="2"/>
  <c r="AA144" i="2"/>
  <c r="AB144" i="2"/>
  <c r="Z144" i="2"/>
  <c r="W144" i="2"/>
  <c r="V144" i="2"/>
  <c r="T144" i="2"/>
  <c r="X144" i="2"/>
  <c r="S144" i="2"/>
  <c r="R144" i="2"/>
  <c r="Q144" i="2"/>
  <c r="U144" i="2"/>
  <c r="AB140" i="2"/>
  <c r="Z140" i="2"/>
  <c r="AA140" i="2"/>
  <c r="X140" i="2"/>
  <c r="W140" i="2"/>
  <c r="Q140" i="2"/>
  <c r="T140" i="2"/>
  <c r="S140" i="2"/>
  <c r="V140" i="2"/>
  <c r="U140" i="2"/>
  <c r="R140" i="2"/>
  <c r="AA136" i="2"/>
  <c r="AB136" i="2"/>
  <c r="Z136" i="2"/>
  <c r="W136" i="2"/>
  <c r="X136" i="2"/>
  <c r="V136" i="2"/>
  <c r="T136" i="2"/>
  <c r="U136" i="2"/>
  <c r="R136" i="2"/>
  <c r="Q136" i="2"/>
  <c r="S136" i="2"/>
  <c r="AB132" i="2"/>
  <c r="Z132" i="2"/>
  <c r="X132" i="2"/>
  <c r="AA132" i="2"/>
  <c r="W132" i="2"/>
  <c r="V132" i="2"/>
  <c r="T132" i="2"/>
  <c r="Q132" i="2"/>
  <c r="U132" i="2"/>
  <c r="R132" i="2"/>
  <c r="S132" i="2"/>
  <c r="AA128" i="2"/>
  <c r="AN128" i="2" s="1"/>
  <c r="Z128" i="2"/>
  <c r="AB128" i="2"/>
  <c r="W128" i="2"/>
  <c r="X128" i="2"/>
  <c r="V128" i="2"/>
  <c r="T128" i="2"/>
  <c r="S128" i="2"/>
  <c r="U128" i="2"/>
  <c r="R128" i="2"/>
  <c r="Q128" i="2"/>
  <c r="AB124" i="2"/>
  <c r="Z124" i="2"/>
  <c r="AA124" i="2"/>
  <c r="X124" i="2"/>
  <c r="W124" i="2"/>
  <c r="S124" i="2"/>
  <c r="V124" i="2"/>
  <c r="T124" i="2"/>
  <c r="Q124" i="2"/>
  <c r="R124" i="2"/>
  <c r="U124" i="2"/>
  <c r="AA120" i="2"/>
  <c r="AB120" i="2"/>
  <c r="Z120" i="2"/>
  <c r="W120" i="2"/>
  <c r="X120" i="2"/>
  <c r="V120" i="2"/>
  <c r="U120" i="2"/>
  <c r="T120" i="2"/>
  <c r="S120" i="2"/>
  <c r="R120" i="2"/>
  <c r="Q120" i="2"/>
  <c r="AB116" i="2"/>
  <c r="Z116" i="2"/>
  <c r="X116" i="2"/>
  <c r="AA116" i="2"/>
  <c r="W116" i="2"/>
  <c r="Q116" i="2"/>
  <c r="S116" i="2"/>
  <c r="T116" i="2"/>
  <c r="V116" i="2"/>
  <c r="U116" i="2"/>
  <c r="R116" i="2"/>
  <c r="AA112" i="2"/>
  <c r="AB112" i="2"/>
  <c r="Z112" i="2"/>
  <c r="W112" i="2"/>
  <c r="V112" i="2"/>
  <c r="T112" i="2"/>
  <c r="X112" i="2"/>
  <c r="R112" i="2"/>
  <c r="U112" i="2"/>
  <c r="Q112" i="2"/>
  <c r="S112" i="2"/>
  <c r="AB108" i="2"/>
  <c r="Z108" i="2"/>
  <c r="X108" i="2"/>
  <c r="AA108" i="2"/>
  <c r="W108" i="2"/>
  <c r="S108" i="2"/>
  <c r="Q108" i="2"/>
  <c r="U108" i="2"/>
  <c r="V108" i="2"/>
  <c r="T108" i="2"/>
  <c r="R108" i="2"/>
  <c r="AA104" i="2"/>
  <c r="AB104" i="2"/>
  <c r="Z104" i="2"/>
  <c r="W104" i="2"/>
  <c r="X104" i="2"/>
  <c r="V104" i="2"/>
  <c r="T104" i="2"/>
  <c r="S104" i="2"/>
  <c r="R104" i="2"/>
  <c r="Q104" i="2"/>
  <c r="U104" i="2"/>
  <c r="AB100" i="2"/>
  <c r="Z100" i="2"/>
  <c r="X100" i="2"/>
  <c r="AA100" i="2"/>
  <c r="W100" i="2"/>
  <c r="T100" i="2"/>
  <c r="V100" i="2"/>
  <c r="Q100" i="2"/>
  <c r="U100" i="2"/>
  <c r="S100" i="2"/>
  <c r="R100" i="2"/>
  <c r="AA96" i="2"/>
  <c r="Z96" i="2"/>
  <c r="W96" i="2"/>
  <c r="X96" i="2"/>
  <c r="AB96" i="2"/>
  <c r="S96" i="2"/>
  <c r="V96" i="2"/>
  <c r="U96" i="2"/>
  <c r="R96" i="2"/>
  <c r="Q96" i="2"/>
  <c r="T96" i="2"/>
  <c r="AB92" i="2"/>
  <c r="Z92" i="2"/>
  <c r="AA92" i="2"/>
  <c r="X92" i="2"/>
  <c r="V92" i="2"/>
  <c r="W92" i="2"/>
  <c r="T92" i="2"/>
  <c r="Q92" i="2"/>
  <c r="U92" i="2"/>
  <c r="S92" i="2"/>
  <c r="R92" i="2"/>
  <c r="AA88" i="2"/>
  <c r="AB88" i="2"/>
  <c r="Z88" i="2"/>
  <c r="W88" i="2"/>
  <c r="X88" i="2"/>
  <c r="V88" i="2"/>
  <c r="Q88" i="2"/>
  <c r="T88" i="2"/>
  <c r="S88" i="2"/>
  <c r="U88" i="2"/>
  <c r="R88" i="2"/>
  <c r="AB84" i="2"/>
  <c r="Z84" i="2"/>
  <c r="AA84" i="2"/>
  <c r="AN84" i="2" s="1"/>
  <c r="X84" i="2"/>
  <c r="V84" i="2"/>
  <c r="W84" i="2"/>
  <c r="Q84" i="2"/>
  <c r="T84" i="2"/>
  <c r="R84" i="2"/>
  <c r="U84" i="2"/>
  <c r="S84" i="2"/>
  <c r="AA80" i="2"/>
  <c r="AB80" i="2"/>
  <c r="Z80" i="2"/>
  <c r="W80" i="2"/>
  <c r="T80" i="2"/>
  <c r="S80" i="2"/>
  <c r="R80" i="2"/>
  <c r="Q80" i="2"/>
  <c r="U80" i="2"/>
  <c r="V80" i="2"/>
  <c r="X80" i="2"/>
  <c r="AB76" i="2"/>
  <c r="Z76" i="2"/>
  <c r="AA76" i="2"/>
  <c r="AN76" i="2" s="1"/>
  <c r="X76" i="2"/>
  <c r="AL76" i="2"/>
  <c r="V76" i="2"/>
  <c r="W76" i="2"/>
  <c r="AJ76" i="2" s="1"/>
  <c r="Q76" i="2"/>
  <c r="T76" i="2"/>
  <c r="AG76" i="2" s="1"/>
  <c r="S76" i="2"/>
  <c r="U76" i="2"/>
  <c r="AH76" i="2" s="1"/>
  <c r="R76" i="2"/>
  <c r="AA72" i="2"/>
  <c r="AB72" i="2"/>
  <c r="Z72" i="2"/>
  <c r="W72" i="2"/>
  <c r="X72" i="2"/>
  <c r="V72" i="2"/>
  <c r="T72" i="2"/>
  <c r="R72" i="2"/>
  <c r="AE72" i="2" s="1"/>
  <c r="Q72" i="2"/>
  <c r="S72" i="2"/>
  <c r="U72" i="2"/>
  <c r="AB68" i="2"/>
  <c r="Z68" i="2"/>
  <c r="X68" i="2"/>
  <c r="V68" i="2"/>
  <c r="W68" i="2"/>
  <c r="T68" i="2"/>
  <c r="Q68" i="2"/>
  <c r="AA68" i="2"/>
  <c r="S68" i="2"/>
  <c r="U68" i="2"/>
  <c r="R68" i="2"/>
  <c r="AA64" i="2"/>
  <c r="Z64" i="2"/>
  <c r="W64" i="2"/>
  <c r="AB64" i="2"/>
  <c r="X64" i="2"/>
  <c r="V64" i="2"/>
  <c r="U64" i="2"/>
  <c r="T64" i="2"/>
  <c r="Q64" i="2"/>
  <c r="S64" i="2"/>
  <c r="R64" i="2"/>
  <c r="AB60" i="2"/>
  <c r="Z60" i="2"/>
  <c r="AA60" i="2"/>
  <c r="X60" i="2"/>
  <c r="V60" i="2"/>
  <c r="W60" i="2"/>
  <c r="S60" i="2"/>
  <c r="T60" i="2"/>
  <c r="Q60" i="2"/>
  <c r="R60" i="2"/>
  <c r="U60" i="2"/>
  <c r="AA56" i="2"/>
  <c r="AN56" i="2" s="1"/>
  <c r="AB56" i="2"/>
  <c r="Z56" i="2"/>
  <c r="W56" i="2"/>
  <c r="X56" i="2"/>
  <c r="T56" i="2"/>
  <c r="AG56" i="2" s="1"/>
  <c r="S56" i="2"/>
  <c r="R56" i="2"/>
  <c r="AE56" i="2" s="1"/>
  <c r="U56" i="2"/>
  <c r="Q56" i="2"/>
  <c r="V56" i="2"/>
  <c r="AB52" i="2"/>
  <c r="AO52" i="2" s="1"/>
  <c r="Z52" i="2"/>
  <c r="AA52" i="2"/>
  <c r="AN52" i="2" s="1"/>
  <c r="X52" i="2"/>
  <c r="W52" i="2"/>
  <c r="AJ52" i="2" s="1"/>
  <c r="V52" i="2"/>
  <c r="Q52" i="2"/>
  <c r="U52" i="2"/>
  <c r="T52" i="2"/>
  <c r="S52" i="2"/>
  <c r="AF52" i="2" s="1"/>
  <c r="R52" i="2"/>
  <c r="AA48" i="2"/>
  <c r="AB48" i="2"/>
  <c r="Z48" i="2"/>
  <c r="W48" i="2"/>
  <c r="T48" i="2"/>
  <c r="U48" i="2"/>
  <c r="R48" i="2"/>
  <c r="X48" i="2"/>
  <c r="V48" i="2"/>
  <c r="S48" i="2"/>
  <c r="Q48" i="2"/>
  <c r="AB44" i="2"/>
  <c r="AO44" i="2" s="1"/>
  <c r="Z44" i="2"/>
  <c r="X44" i="2"/>
  <c r="V44" i="2"/>
  <c r="AI44" i="2" s="1"/>
  <c r="W44" i="2"/>
  <c r="S44" i="2"/>
  <c r="Q44" i="2"/>
  <c r="AA44" i="2"/>
  <c r="T44" i="2"/>
  <c r="U44" i="2"/>
  <c r="R44" i="2"/>
  <c r="AA40" i="2"/>
  <c r="AB40" i="2"/>
  <c r="W40" i="2"/>
  <c r="Z40" i="2"/>
  <c r="X40" i="2"/>
  <c r="T40" i="2"/>
  <c r="V40" i="2"/>
  <c r="R40" i="2"/>
  <c r="U40" i="2"/>
  <c r="Q40" i="2"/>
  <c r="S40" i="2"/>
  <c r="AB36" i="2"/>
  <c r="Z36" i="2"/>
  <c r="X36" i="2"/>
  <c r="V36" i="2"/>
  <c r="AA36" i="2"/>
  <c r="W36" i="2"/>
  <c r="T36" i="2"/>
  <c r="Q36" i="2"/>
  <c r="U36" i="2"/>
  <c r="S36" i="2"/>
  <c r="R36" i="2"/>
  <c r="AA32" i="2"/>
  <c r="Z32" i="2"/>
  <c r="AB32" i="2"/>
  <c r="W32" i="2"/>
  <c r="X32" i="2"/>
  <c r="S32" i="2"/>
  <c r="T32" i="2"/>
  <c r="V32" i="2"/>
  <c r="Q32" i="2"/>
  <c r="U32" i="2"/>
  <c r="R32" i="2"/>
  <c r="AB28" i="2"/>
  <c r="Z28" i="2"/>
  <c r="AA28" i="2"/>
  <c r="X28" i="2"/>
  <c r="V28" i="2"/>
  <c r="W28" i="2"/>
  <c r="T28" i="2"/>
  <c r="Q28" i="2"/>
  <c r="R28" i="2"/>
  <c r="U28" i="2"/>
  <c r="S28" i="2"/>
  <c r="AA24" i="2"/>
  <c r="AB24" i="2"/>
  <c r="Z24" i="2"/>
  <c r="W24" i="2"/>
  <c r="X24" i="2"/>
  <c r="V24" i="2"/>
  <c r="Q24" i="2"/>
  <c r="S24" i="2"/>
  <c r="T24" i="2"/>
  <c r="R24" i="2"/>
  <c r="U24" i="2"/>
  <c r="AB21" i="2"/>
  <c r="Z21" i="2"/>
  <c r="AA21" i="2"/>
  <c r="X21" i="2"/>
  <c r="W21" i="2"/>
  <c r="V21" i="2"/>
  <c r="Q21" i="2"/>
  <c r="S21" i="2"/>
  <c r="T21" i="2"/>
  <c r="R21" i="2"/>
  <c r="U21" i="2"/>
  <c r="AA17" i="2"/>
  <c r="AB17" i="2"/>
  <c r="Z17" i="2"/>
  <c r="W17" i="2"/>
  <c r="T17" i="2"/>
  <c r="S17" i="2"/>
  <c r="R17" i="2"/>
  <c r="Q17" i="2"/>
  <c r="V17" i="2"/>
  <c r="U17" i="2"/>
  <c r="X17" i="2"/>
  <c r="AB13" i="2"/>
  <c r="Z13" i="2"/>
  <c r="X13" i="2"/>
  <c r="AA13" i="2"/>
  <c r="V13" i="2"/>
  <c r="W13" i="2"/>
  <c r="Q13" i="2"/>
  <c r="T13" i="2"/>
  <c r="S13" i="2"/>
  <c r="U13" i="2"/>
  <c r="R13" i="2"/>
  <c r="AA9" i="2"/>
  <c r="AB9" i="2"/>
  <c r="X9" i="2"/>
  <c r="W9" i="2"/>
  <c r="Z9" i="2"/>
  <c r="V9" i="2"/>
  <c r="T9" i="2"/>
  <c r="U9" i="2"/>
  <c r="S9" i="2"/>
  <c r="R9" i="2"/>
  <c r="Q9" i="2"/>
  <c r="AB5" i="2"/>
  <c r="Z5" i="2"/>
  <c r="X5" i="2"/>
  <c r="AA5" i="2"/>
  <c r="V5" i="2"/>
  <c r="W5" i="2"/>
  <c r="T5" i="2"/>
  <c r="Q5" i="2"/>
  <c r="R5" i="2"/>
  <c r="S5" i="2"/>
  <c r="U5" i="2"/>
  <c r="AB4" i="2"/>
  <c r="AO4" i="2" s="1"/>
  <c r="Z4" i="2"/>
  <c r="AA4" i="2"/>
  <c r="V4" i="2"/>
  <c r="X4" i="2"/>
  <c r="W4" i="2"/>
  <c r="U4" i="2"/>
  <c r="R4" i="2"/>
  <c r="S4" i="2"/>
  <c r="Q4" i="2"/>
  <c r="T4" i="2"/>
  <c r="AB274" i="2"/>
  <c r="X274" i="2"/>
  <c r="AA274" i="2"/>
  <c r="AN274" i="2" s="1"/>
  <c r="Z274" i="2"/>
  <c r="U274" i="2"/>
  <c r="R274" i="2"/>
  <c r="T274" i="2"/>
  <c r="Q274" i="2"/>
  <c r="V274" i="2"/>
  <c r="W274" i="2"/>
  <c r="S274" i="2"/>
  <c r="AB270" i="2"/>
  <c r="AA270" i="2"/>
  <c r="Z270" i="2"/>
  <c r="V270" i="2"/>
  <c r="U270" i="2"/>
  <c r="R270" i="2"/>
  <c r="X270" i="2"/>
  <c r="T270" i="2"/>
  <c r="W270" i="2"/>
  <c r="Q270" i="2"/>
  <c r="S270" i="2"/>
  <c r="AB266" i="2"/>
  <c r="Z266" i="2"/>
  <c r="X266" i="2"/>
  <c r="AK266" i="2" s="1"/>
  <c r="AA266" i="2"/>
  <c r="U266" i="2"/>
  <c r="V266" i="2"/>
  <c r="S266" i="2"/>
  <c r="W266" i="2"/>
  <c r="R266" i="2"/>
  <c r="T266" i="2"/>
  <c r="Q266" i="2"/>
  <c r="AB262" i="2"/>
  <c r="AO262" i="2" s="1"/>
  <c r="Z262" i="2"/>
  <c r="AA262" i="2"/>
  <c r="X262" i="2"/>
  <c r="AK262" i="2" s="1"/>
  <c r="V262" i="2"/>
  <c r="W262" i="2"/>
  <c r="R262" i="2"/>
  <c r="U262" i="2"/>
  <c r="S262" i="2"/>
  <c r="T262" i="2"/>
  <c r="Q262" i="2"/>
  <c r="AB258" i="2"/>
  <c r="X258" i="2"/>
  <c r="Z258" i="2"/>
  <c r="AA258" i="2"/>
  <c r="U258" i="2"/>
  <c r="W258" i="2"/>
  <c r="V258" i="2"/>
  <c r="S258" i="2"/>
  <c r="Q258" i="2"/>
  <c r="R258" i="2"/>
  <c r="T258" i="2"/>
  <c r="AB254" i="2"/>
  <c r="AA254" i="2"/>
  <c r="Z254" i="2"/>
  <c r="X254" i="2"/>
  <c r="V254" i="2"/>
  <c r="R254" i="2"/>
  <c r="U254" i="2"/>
  <c r="W254" i="2"/>
  <c r="AJ254" i="2" s="1"/>
  <c r="T254" i="2"/>
  <c r="S254" i="2"/>
  <c r="Q254" i="2"/>
  <c r="AB250" i="2"/>
  <c r="Z250" i="2"/>
  <c r="X250" i="2"/>
  <c r="AA250" i="2"/>
  <c r="W250" i="2"/>
  <c r="U250" i="2"/>
  <c r="R250" i="2"/>
  <c r="S250" i="2"/>
  <c r="T250" i="2"/>
  <c r="V250" i="2"/>
  <c r="Q250" i="2"/>
  <c r="AB246" i="2"/>
  <c r="Z246" i="2"/>
  <c r="AA246" i="2"/>
  <c r="V246" i="2"/>
  <c r="W246" i="2"/>
  <c r="R246" i="2"/>
  <c r="AE246" i="2" s="1"/>
  <c r="X246" i="2"/>
  <c r="U246" i="2"/>
  <c r="AH246" i="2" s="1"/>
  <c r="T246" i="2"/>
  <c r="S246" i="2"/>
  <c r="Q246" i="2"/>
  <c r="AB242" i="2"/>
  <c r="X242" i="2"/>
  <c r="AA242" i="2"/>
  <c r="AN242" i="2" s="1"/>
  <c r="Z242" i="2"/>
  <c r="U242" i="2"/>
  <c r="S242" i="2"/>
  <c r="V242" i="2"/>
  <c r="T242" i="2"/>
  <c r="R242" i="2"/>
  <c r="W242" i="2"/>
  <c r="Q242" i="2"/>
  <c r="AB238" i="2"/>
  <c r="AA238" i="2"/>
  <c r="Z238" i="2"/>
  <c r="X238" i="2"/>
  <c r="V238" i="2"/>
  <c r="U238" i="2"/>
  <c r="R238" i="2"/>
  <c r="S238" i="2"/>
  <c r="W238" i="2"/>
  <c r="AJ238" i="2" s="1"/>
  <c r="Q238" i="2"/>
  <c r="AD238" i="2" s="1"/>
  <c r="T238" i="2"/>
  <c r="AB234" i="2"/>
  <c r="Z234" i="2"/>
  <c r="X234" i="2"/>
  <c r="U234" i="2"/>
  <c r="W234" i="2"/>
  <c r="AA234" i="2"/>
  <c r="V234" i="2"/>
  <c r="Q234" i="2"/>
  <c r="T234" i="2"/>
  <c r="S234" i="2"/>
  <c r="R234" i="2"/>
  <c r="AB230" i="2"/>
  <c r="Z230" i="2"/>
  <c r="AM230" i="2" s="1"/>
  <c r="AA230" i="2"/>
  <c r="X230" i="2"/>
  <c r="V230" i="2"/>
  <c r="W230" i="2"/>
  <c r="R230" i="2"/>
  <c r="U230" i="2"/>
  <c r="AH230" i="2" s="1"/>
  <c r="T230" i="2"/>
  <c r="S230" i="2"/>
  <c r="Q230" i="2"/>
  <c r="AB226" i="2"/>
  <c r="X226" i="2"/>
  <c r="Z226" i="2"/>
  <c r="AM226" i="2" s="1"/>
  <c r="W226" i="2"/>
  <c r="U226" i="2"/>
  <c r="AA226" i="2"/>
  <c r="S226" i="2"/>
  <c r="V226" i="2"/>
  <c r="T226" i="2"/>
  <c r="R226" i="2"/>
  <c r="Q226" i="2"/>
  <c r="AB222" i="2"/>
  <c r="AA222" i="2"/>
  <c r="Z222" i="2"/>
  <c r="X222" i="2"/>
  <c r="AK222" i="2" s="1"/>
  <c r="W222" i="2"/>
  <c r="V222" i="2"/>
  <c r="R222" i="2"/>
  <c r="U222" i="2"/>
  <c r="T222" i="2"/>
  <c r="S222" i="2"/>
  <c r="Q222" i="2"/>
  <c r="AB218" i="2"/>
  <c r="Z218" i="2"/>
  <c r="X218" i="2"/>
  <c r="AA218" i="2"/>
  <c r="U218" i="2"/>
  <c r="W218" i="2"/>
  <c r="R218" i="2"/>
  <c r="V218" i="2"/>
  <c r="T218" i="2"/>
  <c r="S218" i="2"/>
  <c r="Q218" i="2"/>
  <c r="AB214" i="2"/>
  <c r="AO214" i="2" s="1"/>
  <c r="Z214" i="2"/>
  <c r="AM214" i="2" s="1"/>
  <c r="AA214" i="2"/>
  <c r="V214" i="2"/>
  <c r="X214" i="2"/>
  <c r="W214" i="2"/>
  <c r="S214" i="2"/>
  <c r="R214" i="2"/>
  <c r="T214" i="2"/>
  <c r="U214" i="2"/>
  <c r="Q214" i="2"/>
  <c r="AB210" i="2"/>
  <c r="X210" i="2"/>
  <c r="AA210" i="2"/>
  <c r="AN210" i="2" s="1"/>
  <c r="Z210" i="2"/>
  <c r="U210" i="2"/>
  <c r="R210" i="2"/>
  <c r="V210" i="2"/>
  <c r="S210" i="2"/>
  <c r="Q210" i="2"/>
  <c r="W210" i="2"/>
  <c r="T210" i="2"/>
  <c r="AB206" i="2"/>
  <c r="AA206" i="2"/>
  <c r="Z206" i="2"/>
  <c r="V206" i="2"/>
  <c r="X206" i="2"/>
  <c r="U206" i="2"/>
  <c r="AH206" i="2" s="1"/>
  <c r="R206" i="2"/>
  <c r="Q206" i="2"/>
  <c r="W206" i="2"/>
  <c r="S206" i="2"/>
  <c r="T206" i="2"/>
  <c r="AB202" i="2"/>
  <c r="Z202" i="2"/>
  <c r="X202" i="2"/>
  <c r="AA202" i="2"/>
  <c r="U202" i="2"/>
  <c r="W202" i="2"/>
  <c r="S202" i="2"/>
  <c r="V202" i="2"/>
  <c r="T202" i="2"/>
  <c r="R202" i="2"/>
  <c r="Q202" i="2"/>
  <c r="AB198" i="2"/>
  <c r="AO198" i="2" s="1"/>
  <c r="Z198" i="2"/>
  <c r="AA198" i="2"/>
  <c r="X198" i="2"/>
  <c r="V198" i="2"/>
  <c r="W198" i="2"/>
  <c r="R198" i="2"/>
  <c r="U198" i="2"/>
  <c r="S198" i="2"/>
  <c r="T198" i="2"/>
  <c r="Q198" i="2"/>
  <c r="AB194" i="2"/>
  <c r="X194" i="2"/>
  <c r="Z194" i="2"/>
  <c r="AA194" i="2"/>
  <c r="U194" i="2"/>
  <c r="W194" i="2"/>
  <c r="T194" i="2"/>
  <c r="R194" i="2"/>
  <c r="S194" i="2"/>
  <c r="V194" i="2"/>
  <c r="AI194" i="2" s="1"/>
  <c r="Q194" i="2"/>
  <c r="AB190" i="2"/>
  <c r="AO190" i="2" s="1"/>
  <c r="AA190" i="2"/>
  <c r="Z190" i="2"/>
  <c r="X190" i="2"/>
  <c r="V190" i="2"/>
  <c r="R190" i="2"/>
  <c r="AE190" i="2" s="1"/>
  <c r="U190" i="2"/>
  <c r="S190" i="2"/>
  <c r="Q190" i="2"/>
  <c r="T190" i="2"/>
  <c r="W190" i="2"/>
  <c r="AB187" i="2"/>
  <c r="Z187" i="2"/>
  <c r="X187" i="2"/>
  <c r="AA187" i="2"/>
  <c r="W187" i="2"/>
  <c r="U187" i="2"/>
  <c r="R187" i="2"/>
  <c r="V187" i="2"/>
  <c r="T187" i="2"/>
  <c r="S187" i="2"/>
  <c r="AF187" i="2" s="1"/>
  <c r="Q187" i="2"/>
  <c r="AB183" i="2"/>
  <c r="AO183" i="2" s="1"/>
  <c r="Z183" i="2"/>
  <c r="AA183" i="2"/>
  <c r="V183" i="2"/>
  <c r="R183" i="2"/>
  <c r="X183" i="2"/>
  <c r="W183" i="2"/>
  <c r="U183" i="2"/>
  <c r="AH183" i="2" s="1"/>
  <c r="S183" i="2"/>
  <c r="T183" i="2"/>
  <c r="Q183" i="2"/>
  <c r="AB179" i="2"/>
  <c r="X179" i="2"/>
  <c r="AA179" i="2"/>
  <c r="AN179" i="2" s="1"/>
  <c r="Z179" i="2"/>
  <c r="U179" i="2"/>
  <c r="S179" i="2"/>
  <c r="Q179" i="2"/>
  <c r="W179" i="2"/>
  <c r="R179" i="2"/>
  <c r="V179" i="2"/>
  <c r="T179" i="2"/>
  <c r="AB175" i="2"/>
  <c r="AA175" i="2"/>
  <c r="Z175" i="2"/>
  <c r="X175" i="2"/>
  <c r="V175" i="2"/>
  <c r="U175" i="2"/>
  <c r="AH175" i="2" s="1"/>
  <c r="R175" i="2"/>
  <c r="W175" i="2"/>
  <c r="T175" i="2"/>
  <c r="Q175" i="2"/>
  <c r="S175" i="2"/>
  <c r="AB171" i="2"/>
  <c r="Z171" i="2"/>
  <c r="AL171" i="2"/>
  <c r="X171" i="2"/>
  <c r="AA171" i="2"/>
  <c r="AN171" i="2" s="1"/>
  <c r="U171" i="2"/>
  <c r="V171" i="2"/>
  <c r="T171" i="2"/>
  <c r="Q171" i="2"/>
  <c r="S171" i="2"/>
  <c r="W171" i="2"/>
  <c r="R171" i="2"/>
  <c r="AB167" i="2"/>
  <c r="Z167" i="2"/>
  <c r="AA167" i="2"/>
  <c r="V167" i="2"/>
  <c r="R167" i="2"/>
  <c r="W167" i="2"/>
  <c r="AJ167" i="2" s="1"/>
  <c r="U167" i="2"/>
  <c r="X167" i="2"/>
  <c r="S167" i="2"/>
  <c r="T167" i="2"/>
  <c r="AG167" i="2" s="1"/>
  <c r="Q167" i="2"/>
  <c r="AB163" i="2"/>
  <c r="X163" i="2"/>
  <c r="Z163" i="2"/>
  <c r="AM163" i="2" s="1"/>
  <c r="AA163" i="2"/>
  <c r="AN163" i="2" s="1"/>
  <c r="W163" i="2"/>
  <c r="U163" i="2"/>
  <c r="S163" i="2"/>
  <c r="Q163" i="2"/>
  <c r="T163" i="2"/>
  <c r="V163" i="2"/>
  <c r="R163" i="2"/>
  <c r="AB159" i="2"/>
  <c r="AA159" i="2"/>
  <c r="Z159" i="2"/>
  <c r="X159" i="2"/>
  <c r="W159" i="2"/>
  <c r="V159" i="2"/>
  <c r="R159" i="2"/>
  <c r="T159" i="2"/>
  <c r="U159" i="2"/>
  <c r="S159" i="2"/>
  <c r="Q159" i="2"/>
  <c r="AB155" i="2"/>
  <c r="Z155" i="2"/>
  <c r="X155" i="2"/>
  <c r="AA155" i="2"/>
  <c r="U155" i="2"/>
  <c r="V155" i="2"/>
  <c r="T155" i="2"/>
  <c r="R155" i="2"/>
  <c r="W155" i="2"/>
  <c r="S155" i="2"/>
  <c r="Q155" i="2"/>
  <c r="AB151" i="2"/>
  <c r="Z151" i="2"/>
  <c r="AA151" i="2"/>
  <c r="V151" i="2"/>
  <c r="S151" i="2"/>
  <c r="R151" i="2"/>
  <c r="X151" i="2"/>
  <c r="W151" i="2"/>
  <c r="U151" i="2"/>
  <c r="Q151" i="2"/>
  <c r="T151" i="2"/>
  <c r="AB147" i="2"/>
  <c r="X147" i="2"/>
  <c r="AA147" i="2"/>
  <c r="AN147" i="2" s="1"/>
  <c r="Z147" i="2"/>
  <c r="AM147" i="2" s="1"/>
  <c r="U147" i="2"/>
  <c r="W147" i="2"/>
  <c r="R147" i="2"/>
  <c r="S147" i="2"/>
  <c r="V147" i="2"/>
  <c r="Q147" i="2"/>
  <c r="T147" i="2"/>
  <c r="AA143" i="2"/>
  <c r="AB143" i="2"/>
  <c r="Z143" i="2"/>
  <c r="V143" i="2"/>
  <c r="X143" i="2"/>
  <c r="U143" i="2"/>
  <c r="AH143" i="2" s="1"/>
  <c r="R143" i="2"/>
  <c r="W143" i="2"/>
  <c r="Q143" i="2"/>
  <c r="T143" i="2"/>
  <c r="S143" i="2"/>
  <c r="AB139" i="2"/>
  <c r="Z139" i="2"/>
  <c r="X139" i="2"/>
  <c r="U139" i="2"/>
  <c r="V139" i="2"/>
  <c r="AA139" i="2"/>
  <c r="R139" i="2"/>
  <c r="W139" i="2"/>
  <c r="T139" i="2"/>
  <c r="Q139" i="2"/>
  <c r="S139" i="2"/>
  <c r="AA135" i="2"/>
  <c r="AB135" i="2"/>
  <c r="Z135" i="2"/>
  <c r="X135" i="2"/>
  <c r="V135" i="2"/>
  <c r="R135" i="2"/>
  <c r="U135" i="2"/>
  <c r="S135" i="2"/>
  <c r="Q135" i="2"/>
  <c r="W135" i="2"/>
  <c r="T135" i="2"/>
  <c r="AB131" i="2"/>
  <c r="AA131" i="2"/>
  <c r="X131" i="2"/>
  <c r="Z131" i="2"/>
  <c r="U131" i="2"/>
  <c r="W131" i="2"/>
  <c r="S131" i="2"/>
  <c r="T131" i="2"/>
  <c r="R131" i="2"/>
  <c r="Q131" i="2"/>
  <c r="AD131" i="2" s="1"/>
  <c r="V131" i="2"/>
  <c r="AA127" i="2"/>
  <c r="AB127" i="2"/>
  <c r="Z127" i="2"/>
  <c r="X127" i="2"/>
  <c r="V127" i="2"/>
  <c r="R127" i="2"/>
  <c r="W127" i="2"/>
  <c r="Q127" i="2"/>
  <c r="AD127" i="2" s="1"/>
  <c r="U127" i="2"/>
  <c r="S127" i="2"/>
  <c r="AF127" i="2" s="1"/>
  <c r="T127" i="2"/>
  <c r="AB123" i="2"/>
  <c r="Z123" i="2"/>
  <c r="AA123" i="2"/>
  <c r="AN123" i="2" s="1"/>
  <c r="X123" i="2"/>
  <c r="U123" i="2"/>
  <c r="V123" i="2"/>
  <c r="R123" i="2"/>
  <c r="W123" i="2"/>
  <c r="S123" i="2"/>
  <c r="Q123" i="2"/>
  <c r="AD123" i="2" s="1"/>
  <c r="T123" i="2"/>
  <c r="AA119" i="2"/>
  <c r="AN119" i="2" s="1"/>
  <c r="AB119" i="2"/>
  <c r="X119" i="2"/>
  <c r="V119" i="2"/>
  <c r="R119" i="2"/>
  <c r="Z119" i="2"/>
  <c r="U119" i="2"/>
  <c r="W119" i="2"/>
  <c r="S119" i="2"/>
  <c r="T119" i="2"/>
  <c r="Q119" i="2"/>
  <c r="AB115" i="2"/>
  <c r="Z115" i="2"/>
  <c r="AA115" i="2"/>
  <c r="X115" i="2"/>
  <c r="U115" i="2"/>
  <c r="S115" i="2"/>
  <c r="W115" i="2"/>
  <c r="Q115" i="2"/>
  <c r="T115" i="2"/>
  <c r="R115" i="2"/>
  <c r="AE115" i="2" s="1"/>
  <c r="V115" i="2"/>
  <c r="AA111" i="2"/>
  <c r="AB111" i="2"/>
  <c r="Z111" i="2"/>
  <c r="X111" i="2"/>
  <c r="V111" i="2"/>
  <c r="U111" i="2"/>
  <c r="R111" i="2"/>
  <c r="T111" i="2"/>
  <c r="AG111" i="2" s="1"/>
  <c r="Q111" i="2"/>
  <c r="W111" i="2"/>
  <c r="S111" i="2"/>
  <c r="AB107" i="2"/>
  <c r="Z107" i="2"/>
  <c r="X107" i="2"/>
  <c r="AA107" i="2"/>
  <c r="U107" i="2"/>
  <c r="W107" i="2"/>
  <c r="V107" i="2"/>
  <c r="Q107" i="2"/>
  <c r="S107" i="2"/>
  <c r="T107" i="2"/>
  <c r="AG107" i="2" s="1"/>
  <c r="R107" i="2"/>
  <c r="AA103" i="2"/>
  <c r="AB103" i="2"/>
  <c r="X103" i="2"/>
  <c r="Z103" i="2"/>
  <c r="V103" i="2"/>
  <c r="R103" i="2"/>
  <c r="U103" i="2"/>
  <c r="S103" i="2"/>
  <c r="T103" i="2"/>
  <c r="W103" i="2"/>
  <c r="Q103" i="2"/>
  <c r="AB99" i="2"/>
  <c r="Z99" i="2"/>
  <c r="AA99" i="2"/>
  <c r="X99" i="2"/>
  <c r="U99" i="2"/>
  <c r="V99" i="2"/>
  <c r="S99" i="2"/>
  <c r="T99" i="2"/>
  <c r="Q99" i="2"/>
  <c r="W99" i="2"/>
  <c r="R99" i="2"/>
  <c r="AA95" i="2"/>
  <c r="AN95" i="2" s="1"/>
  <c r="AB95" i="2"/>
  <c r="Z95" i="2"/>
  <c r="X95" i="2"/>
  <c r="V95" i="2"/>
  <c r="R95" i="2"/>
  <c r="U95" i="2"/>
  <c r="W95" i="2"/>
  <c r="S95" i="2"/>
  <c r="Q95" i="2"/>
  <c r="T95" i="2"/>
  <c r="AB91" i="2"/>
  <c r="Z91" i="2"/>
  <c r="AA91" i="2"/>
  <c r="AN91" i="2" s="1"/>
  <c r="X91" i="2"/>
  <c r="U91" i="2"/>
  <c r="W91" i="2"/>
  <c r="R91" i="2"/>
  <c r="T91" i="2"/>
  <c r="Q91" i="2"/>
  <c r="V91" i="2"/>
  <c r="S91" i="2"/>
  <c r="AA87" i="2"/>
  <c r="AN87" i="2" s="1"/>
  <c r="AB87" i="2"/>
  <c r="X87" i="2"/>
  <c r="V87" i="2"/>
  <c r="S87" i="2"/>
  <c r="R87" i="2"/>
  <c r="Z87" i="2"/>
  <c r="W87" i="2"/>
  <c r="T87" i="2"/>
  <c r="Q87" i="2"/>
  <c r="U87" i="2"/>
  <c r="AB83" i="2"/>
  <c r="Z83" i="2"/>
  <c r="AA83" i="2"/>
  <c r="X83" i="2"/>
  <c r="V83" i="2"/>
  <c r="U83" i="2"/>
  <c r="W83" i="2"/>
  <c r="S83" i="2"/>
  <c r="R83" i="2"/>
  <c r="T83" i="2"/>
  <c r="Q83" i="2"/>
  <c r="AA79" i="2"/>
  <c r="AB79" i="2"/>
  <c r="AL79" i="2"/>
  <c r="Z79" i="2"/>
  <c r="X79" i="2"/>
  <c r="U79" i="2"/>
  <c r="R79" i="2"/>
  <c r="AE79" i="2" s="1"/>
  <c r="S79" i="2"/>
  <c r="Q79" i="2"/>
  <c r="W79" i="2"/>
  <c r="T79" i="2"/>
  <c r="V79" i="2"/>
  <c r="AB75" i="2"/>
  <c r="Z75" i="2"/>
  <c r="X75" i="2"/>
  <c r="U75" i="2"/>
  <c r="V75" i="2"/>
  <c r="AA75" i="2"/>
  <c r="T75" i="2"/>
  <c r="S75" i="2"/>
  <c r="W75" i="2"/>
  <c r="R75" i="2"/>
  <c r="Q75" i="2"/>
  <c r="AA71" i="2"/>
  <c r="AB71" i="2"/>
  <c r="X71" i="2"/>
  <c r="Z71" i="2"/>
  <c r="V71" i="2"/>
  <c r="R71" i="2"/>
  <c r="U71" i="2"/>
  <c r="S71" i="2"/>
  <c r="T71" i="2"/>
  <c r="Q71" i="2"/>
  <c r="W71" i="2"/>
  <c r="AB67" i="2"/>
  <c r="Z67" i="2"/>
  <c r="AA67" i="2"/>
  <c r="X67" i="2"/>
  <c r="AK67" i="2" s="1"/>
  <c r="U67" i="2"/>
  <c r="W67" i="2"/>
  <c r="S67" i="2"/>
  <c r="V67" i="2"/>
  <c r="R67" i="2"/>
  <c r="Q67" i="2"/>
  <c r="AD67" i="2" s="1"/>
  <c r="T67" i="2"/>
  <c r="AA63" i="2"/>
  <c r="AN63" i="2" s="1"/>
  <c r="AB63" i="2"/>
  <c r="Z63" i="2"/>
  <c r="W63" i="2"/>
  <c r="X63" i="2"/>
  <c r="V63" i="2"/>
  <c r="AI63" i="2" s="1"/>
  <c r="R63" i="2"/>
  <c r="U63" i="2"/>
  <c r="Q63" i="2"/>
  <c r="T63" i="2"/>
  <c r="S63" i="2"/>
  <c r="AB59" i="2"/>
  <c r="Z59" i="2"/>
  <c r="AA59" i="2"/>
  <c r="AN59" i="2" s="1"/>
  <c r="X59" i="2"/>
  <c r="AK59" i="2" s="1"/>
  <c r="U59" i="2"/>
  <c r="V59" i="2"/>
  <c r="R59" i="2"/>
  <c r="T59" i="2"/>
  <c r="W59" i="2"/>
  <c r="Q59" i="2"/>
  <c r="AD59" i="2" s="1"/>
  <c r="S59" i="2"/>
  <c r="AA55" i="2"/>
  <c r="AN55" i="2" s="1"/>
  <c r="AB55" i="2"/>
  <c r="W55" i="2"/>
  <c r="X55" i="2"/>
  <c r="R55" i="2"/>
  <c r="Z55" i="2"/>
  <c r="S55" i="2"/>
  <c r="U55" i="2"/>
  <c r="AH55" i="2" s="1"/>
  <c r="T55" i="2"/>
  <c r="Q55" i="2"/>
  <c r="V55" i="2"/>
  <c r="AB51" i="2"/>
  <c r="Z51" i="2"/>
  <c r="AA51" i="2"/>
  <c r="X51" i="2"/>
  <c r="AK51" i="2" s="1"/>
  <c r="V51" i="2"/>
  <c r="U51" i="2"/>
  <c r="S51" i="2"/>
  <c r="Q51" i="2"/>
  <c r="W51" i="2"/>
  <c r="R51" i="2"/>
  <c r="AE51" i="2" s="1"/>
  <c r="T51" i="2"/>
  <c r="AA47" i="2"/>
  <c r="AN47" i="2" s="1"/>
  <c r="AB47" i="2"/>
  <c r="AL47" i="2"/>
  <c r="Z47" i="2"/>
  <c r="W47" i="2"/>
  <c r="X47" i="2"/>
  <c r="U47" i="2"/>
  <c r="R47" i="2"/>
  <c r="T47" i="2"/>
  <c r="S47" i="2"/>
  <c r="Q47" i="2"/>
  <c r="V47" i="2"/>
  <c r="AB43" i="2"/>
  <c r="Z43" i="2"/>
  <c r="X43" i="2"/>
  <c r="AA43" i="2"/>
  <c r="V43" i="2"/>
  <c r="W43" i="2"/>
  <c r="U43" i="2"/>
  <c r="S43" i="2"/>
  <c r="T43" i="2"/>
  <c r="Q43" i="2"/>
  <c r="R43" i="2"/>
  <c r="AA39" i="2"/>
  <c r="AN39" i="2" s="1"/>
  <c r="AB39" i="2"/>
  <c r="AO39" i="2" s="1"/>
  <c r="W39" i="2"/>
  <c r="X39" i="2"/>
  <c r="Z39" i="2"/>
  <c r="V39" i="2"/>
  <c r="R39" i="2"/>
  <c r="U39" i="2"/>
  <c r="Q39" i="2"/>
  <c r="T39" i="2"/>
  <c r="S39" i="2"/>
  <c r="AB35" i="2"/>
  <c r="Z35" i="2"/>
  <c r="AA35" i="2"/>
  <c r="X35" i="2"/>
  <c r="V35" i="2"/>
  <c r="U35" i="2"/>
  <c r="W35" i="2"/>
  <c r="S35" i="2"/>
  <c r="Q35" i="2"/>
  <c r="R35" i="2"/>
  <c r="T35" i="2"/>
  <c r="AA31" i="2"/>
  <c r="AN31" i="2" s="1"/>
  <c r="AB31" i="2"/>
  <c r="Z31" i="2"/>
  <c r="W31" i="2"/>
  <c r="X31" i="2"/>
  <c r="R31" i="2"/>
  <c r="T31" i="2"/>
  <c r="S31" i="2"/>
  <c r="V31" i="2"/>
  <c r="Q31" i="2"/>
  <c r="U31" i="2"/>
  <c r="AB27" i="2"/>
  <c r="Z27" i="2"/>
  <c r="AA27" i="2"/>
  <c r="X27" i="2"/>
  <c r="V27" i="2"/>
  <c r="W27" i="2"/>
  <c r="U27" i="2"/>
  <c r="T27" i="2"/>
  <c r="R27" i="2"/>
  <c r="S27" i="2"/>
  <c r="Q27" i="2"/>
  <c r="AB20" i="2"/>
  <c r="Z20" i="2"/>
  <c r="AA20" i="2"/>
  <c r="X20" i="2"/>
  <c r="V20" i="2"/>
  <c r="U20" i="2"/>
  <c r="S20" i="2"/>
  <c r="R20" i="2"/>
  <c r="T20" i="2"/>
  <c r="Q20" i="2"/>
  <c r="W20" i="2"/>
  <c r="AA16" i="2"/>
  <c r="AB16" i="2"/>
  <c r="Z16" i="2"/>
  <c r="W16" i="2"/>
  <c r="X16" i="2"/>
  <c r="U16" i="2"/>
  <c r="AH16" i="2" s="1"/>
  <c r="R16" i="2"/>
  <c r="Q16" i="2"/>
  <c r="V16" i="2"/>
  <c r="AI16" i="2" s="1"/>
  <c r="T16" i="2"/>
  <c r="S16" i="2"/>
  <c r="AB12" i="2"/>
  <c r="Z12" i="2"/>
  <c r="AA12" i="2"/>
  <c r="X12" i="2"/>
  <c r="V12" i="2"/>
  <c r="W12" i="2"/>
  <c r="AJ12" i="2" s="1"/>
  <c r="U12" i="2"/>
  <c r="S12" i="2"/>
  <c r="R12" i="2"/>
  <c r="Q12" i="2"/>
  <c r="T12" i="2"/>
  <c r="AA8" i="2"/>
  <c r="AB8" i="2"/>
  <c r="W8" i="2"/>
  <c r="Z8" i="2"/>
  <c r="V8" i="2"/>
  <c r="R8" i="2"/>
  <c r="U8" i="2"/>
  <c r="S8" i="2"/>
  <c r="Q8" i="2"/>
  <c r="T8" i="2"/>
  <c r="AG8" i="2" s="1"/>
  <c r="X8" i="2"/>
  <c r="AA277" i="2"/>
  <c r="AB277" i="2"/>
  <c r="Z277" i="2"/>
  <c r="X277" i="2"/>
  <c r="T277" i="2"/>
  <c r="S277" i="2"/>
  <c r="U277" i="2"/>
  <c r="R277" i="2"/>
  <c r="Q277" i="2"/>
  <c r="W277" i="2"/>
  <c r="V277" i="2"/>
  <c r="AB273" i="2"/>
  <c r="AA273" i="2"/>
  <c r="Z273" i="2"/>
  <c r="X273" i="2"/>
  <c r="W273" i="2"/>
  <c r="U273" i="2"/>
  <c r="V273" i="2"/>
  <c r="T273" i="2"/>
  <c r="R273" i="2"/>
  <c r="S273" i="2"/>
  <c r="Q273" i="2"/>
  <c r="AA269" i="2"/>
  <c r="AB269" i="2"/>
  <c r="Z269" i="2"/>
  <c r="T269" i="2"/>
  <c r="V269" i="2"/>
  <c r="W269" i="2"/>
  <c r="S269" i="2"/>
  <c r="X269" i="2"/>
  <c r="U269" i="2"/>
  <c r="R269" i="2"/>
  <c r="Q269" i="2"/>
  <c r="AB265" i="2"/>
  <c r="AA265" i="2"/>
  <c r="W265" i="2"/>
  <c r="X265" i="2"/>
  <c r="U265" i="2"/>
  <c r="Q265" i="2"/>
  <c r="Z265" i="2"/>
  <c r="V265" i="2"/>
  <c r="S265" i="2"/>
  <c r="R265" i="2"/>
  <c r="T265" i="2"/>
  <c r="AA261" i="2"/>
  <c r="AB261" i="2"/>
  <c r="Z261" i="2"/>
  <c r="X261" i="2"/>
  <c r="W261" i="2"/>
  <c r="T261" i="2"/>
  <c r="V261" i="2"/>
  <c r="S261" i="2"/>
  <c r="U261" i="2"/>
  <c r="R261" i="2"/>
  <c r="Q261" i="2"/>
  <c r="AB257" i="2"/>
  <c r="AA257" i="2"/>
  <c r="W257" i="2"/>
  <c r="Z257" i="2"/>
  <c r="U257" i="2"/>
  <c r="V257" i="2"/>
  <c r="T257" i="2"/>
  <c r="Q257" i="2"/>
  <c r="R257" i="2"/>
  <c r="X257" i="2"/>
  <c r="S257" i="2"/>
  <c r="AA253" i="2"/>
  <c r="AB253" i="2"/>
  <c r="Z253" i="2"/>
  <c r="T253" i="2"/>
  <c r="X253" i="2"/>
  <c r="W253" i="2"/>
  <c r="S253" i="2"/>
  <c r="V253" i="2"/>
  <c r="Q253" i="2"/>
  <c r="U253" i="2"/>
  <c r="R253" i="2"/>
  <c r="AB249" i="2"/>
  <c r="AA249" i="2"/>
  <c r="X249" i="2"/>
  <c r="W249" i="2"/>
  <c r="U249" i="2"/>
  <c r="V249" i="2"/>
  <c r="T249" i="2"/>
  <c r="S249" i="2"/>
  <c r="Z249" i="2"/>
  <c r="Q249" i="2"/>
  <c r="R249" i="2"/>
  <c r="AA245" i="2"/>
  <c r="AB245" i="2"/>
  <c r="Z245" i="2"/>
  <c r="T245" i="2"/>
  <c r="X245" i="2"/>
  <c r="V245" i="2"/>
  <c r="S245" i="2"/>
  <c r="W245" i="2"/>
  <c r="Q245" i="2"/>
  <c r="U245" i="2"/>
  <c r="R245" i="2"/>
  <c r="AB241" i="2"/>
  <c r="AA241" i="2"/>
  <c r="Z241" i="2"/>
  <c r="W241" i="2"/>
  <c r="U241" i="2"/>
  <c r="V241" i="2"/>
  <c r="T241" i="2"/>
  <c r="R241" i="2"/>
  <c r="AE241" i="2" s="1"/>
  <c r="Q241" i="2"/>
  <c r="X241" i="2"/>
  <c r="S241" i="2"/>
  <c r="AA237" i="2"/>
  <c r="AB237" i="2"/>
  <c r="Z237" i="2"/>
  <c r="X237" i="2"/>
  <c r="W237" i="2"/>
  <c r="T237" i="2"/>
  <c r="V237" i="2"/>
  <c r="S237" i="2"/>
  <c r="U237" i="2"/>
  <c r="R237" i="2"/>
  <c r="Q237" i="2"/>
  <c r="AB233" i="2"/>
  <c r="AA233" i="2"/>
  <c r="X233" i="2"/>
  <c r="W233" i="2"/>
  <c r="U233" i="2"/>
  <c r="S233" i="2"/>
  <c r="Z233" i="2"/>
  <c r="Q233" i="2"/>
  <c r="V233" i="2"/>
  <c r="T233" i="2"/>
  <c r="R233" i="2"/>
  <c r="AA229" i="2"/>
  <c r="AB229" i="2"/>
  <c r="Z229" i="2"/>
  <c r="X229" i="2"/>
  <c r="T229" i="2"/>
  <c r="V229" i="2"/>
  <c r="W229" i="2"/>
  <c r="R229" i="2"/>
  <c r="S229" i="2"/>
  <c r="U229" i="2"/>
  <c r="Q229" i="2"/>
  <c r="AB225" i="2"/>
  <c r="AA225" i="2"/>
  <c r="W225" i="2"/>
  <c r="Z225" i="2"/>
  <c r="U225" i="2"/>
  <c r="V225" i="2"/>
  <c r="T225" i="2"/>
  <c r="S225" i="2"/>
  <c r="X225" i="2"/>
  <c r="Q225" i="2"/>
  <c r="R225" i="2"/>
  <c r="AA221" i="2"/>
  <c r="AB221" i="2"/>
  <c r="Z221" i="2"/>
  <c r="T221" i="2"/>
  <c r="X221" i="2"/>
  <c r="U221" i="2"/>
  <c r="S221" i="2"/>
  <c r="Q221" i="2"/>
  <c r="W221" i="2"/>
  <c r="V221" i="2"/>
  <c r="AI221" i="2" s="1"/>
  <c r="R221" i="2"/>
  <c r="AB217" i="2"/>
  <c r="AA217" i="2"/>
  <c r="W217" i="2"/>
  <c r="U217" i="2"/>
  <c r="V217" i="2"/>
  <c r="T217" i="2"/>
  <c r="Z217" i="2"/>
  <c r="X217" i="2"/>
  <c r="S217" i="2"/>
  <c r="Q217" i="2"/>
  <c r="R217" i="2"/>
  <c r="AA213" i="2"/>
  <c r="AB213" i="2"/>
  <c r="Z213" i="2"/>
  <c r="X213" i="2"/>
  <c r="T213" i="2"/>
  <c r="S213" i="2"/>
  <c r="V213" i="2"/>
  <c r="W213" i="2"/>
  <c r="U213" i="2"/>
  <c r="R213" i="2"/>
  <c r="Q213" i="2"/>
  <c r="AB209" i="2"/>
  <c r="AA209" i="2"/>
  <c r="Z209" i="2"/>
  <c r="X209" i="2"/>
  <c r="W209" i="2"/>
  <c r="U209" i="2"/>
  <c r="V209" i="2"/>
  <c r="T209" i="2"/>
  <c r="R209" i="2"/>
  <c r="S209" i="2"/>
  <c r="Q209" i="2"/>
  <c r="AA205" i="2"/>
  <c r="AB205" i="2"/>
  <c r="Z205" i="2"/>
  <c r="X205" i="2"/>
  <c r="T205" i="2"/>
  <c r="V205" i="2"/>
  <c r="S205" i="2"/>
  <c r="W205" i="2"/>
  <c r="U205" i="2"/>
  <c r="Q205" i="2"/>
  <c r="R205" i="2"/>
  <c r="AB201" i="2"/>
  <c r="AA201" i="2"/>
  <c r="W201" i="2"/>
  <c r="X201" i="2"/>
  <c r="U201" i="2"/>
  <c r="Z201" i="2"/>
  <c r="S201" i="2"/>
  <c r="V201" i="2"/>
  <c r="T201" i="2"/>
  <c r="Q201" i="2"/>
  <c r="R201" i="2"/>
  <c r="AA197" i="2"/>
  <c r="AB197" i="2"/>
  <c r="Z197" i="2"/>
  <c r="X197" i="2"/>
  <c r="W197" i="2"/>
  <c r="T197" i="2"/>
  <c r="V197" i="2"/>
  <c r="Q197" i="2"/>
  <c r="R197" i="2"/>
  <c r="U197" i="2"/>
  <c r="S197" i="2"/>
  <c r="AB193" i="2"/>
  <c r="AA193" i="2"/>
  <c r="W193" i="2"/>
  <c r="Z193" i="2"/>
  <c r="U193" i="2"/>
  <c r="T193" i="2"/>
  <c r="R193" i="2"/>
  <c r="S193" i="2"/>
  <c r="Q193" i="2"/>
  <c r="X193" i="2"/>
  <c r="V193" i="2"/>
  <c r="AB186" i="2"/>
  <c r="AA186" i="2"/>
  <c r="X186" i="2"/>
  <c r="W186" i="2"/>
  <c r="U186" i="2"/>
  <c r="Z186" i="2"/>
  <c r="V186" i="2"/>
  <c r="T186" i="2"/>
  <c r="S186" i="2"/>
  <c r="Q186" i="2"/>
  <c r="R186" i="2"/>
  <c r="AA182" i="2"/>
  <c r="AB182" i="2"/>
  <c r="Z182" i="2"/>
  <c r="X182" i="2"/>
  <c r="T182" i="2"/>
  <c r="W182" i="2"/>
  <c r="V182" i="2"/>
  <c r="Q182" i="2"/>
  <c r="U182" i="2"/>
  <c r="R182" i="2"/>
  <c r="S182" i="2"/>
  <c r="AB178" i="2"/>
  <c r="AA178" i="2"/>
  <c r="Z178" i="2"/>
  <c r="W178" i="2"/>
  <c r="X178" i="2"/>
  <c r="U178" i="2"/>
  <c r="V178" i="2"/>
  <c r="T178" i="2"/>
  <c r="S178" i="2"/>
  <c r="R178" i="2"/>
  <c r="Q178" i="2"/>
  <c r="AA174" i="2"/>
  <c r="AB174" i="2"/>
  <c r="Z174" i="2"/>
  <c r="X174" i="2"/>
  <c r="W174" i="2"/>
  <c r="T174" i="2"/>
  <c r="V174" i="2"/>
  <c r="R174" i="2"/>
  <c r="Q174" i="2"/>
  <c r="U174" i="2"/>
  <c r="S174" i="2"/>
  <c r="AB170" i="2"/>
  <c r="AA170" i="2"/>
  <c r="X170" i="2"/>
  <c r="W170" i="2"/>
  <c r="U170" i="2"/>
  <c r="S170" i="2"/>
  <c r="V170" i="2"/>
  <c r="T170" i="2"/>
  <c r="Q170" i="2"/>
  <c r="Z170" i="2"/>
  <c r="R170" i="2"/>
  <c r="AA166" i="2"/>
  <c r="AB166" i="2"/>
  <c r="Z166" i="2"/>
  <c r="X166" i="2"/>
  <c r="T166" i="2"/>
  <c r="W166" i="2"/>
  <c r="V166" i="2"/>
  <c r="S166" i="2"/>
  <c r="R166" i="2"/>
  <c r="U166" i="2"/>
  <c r="Q166" i="2"/>
  <c r="AB162" i="2"/>
  <c r="AA162" i="2"/>
  <c r="W162" i="2"/>
  <c r="Z162" i="2"/>
  <c r="U162" i="2"/>
  <c r="X162" i="2"/>
  <c r="Q162" i="2"/>
  <c r="V162" i="2"/>
  <c r="T162" i="2"/>
  <c r="R162" i="2"/>
  <c r="S162" i="2"/>
  <c r="AA158" i="2"/>
  <c r="AB158" i="2"/>
  <c r="Z158" i="2"/>
  <c r="T158" i="2"/>
  <c r="V158" i="2"/>
  <c r="W158" i="2"/>
  <c r="U158" i="2"/>
  <c r="X158" i="2"/>
  <c r="R158" i="2"/>
  <c r="S158" i="2"/>
  <c r="Q158" i="2"/>
  <c r="AB154" i="2"/>
  <c r="AA154" i="2"/>
  <c r="W154" i="2"/>
  <c r="U154" i="2"/>
  <c r="X154" i="2"/>
  <c r="V154" i="2"/>
  <c r="T154" i="2"/>
  <c r="S154" i="2"/>
  <c r="Q154" i="2"/>
  <c r="R154" i="2"/>
  <c r="Z154" i="2"/>
  <c r="AA150" i="2"/>
  <c r="AB150" i="2"/>
  <c r="Z150" i="2"/>
  <c r="X150" i="2"/>
  <c r="T150" i="2"/>
  <c r="W150" i="2"/>
  <c r="U150" i="2"/>
  <c r="V150" i="2"/>
  <c r="S150" i="2"/>
  <c r="Q150" i="2"/>
  <c r="R150" i="2"/>
  <c r="AB146" i="2"/>
  <c r="AA146" i="2"/>
  <c r="Z146" i="2"/>
  <c r="X146" i="2"/>
  <c r="W146" i="2"/>
  <c r="U146" i="2"/>
  <c r="V146" i="2"/>
  <c r="T146" i="2"/>
  <c r="R146" i="2"/>
  <c r="S146" i="2"/>
  <c r="Q146" i="2"/>
  <c r="AA142" i="2"/>
  <c r="AB142" i="2"/>
  <c r="Z142" i="2"/>
  <c r="T142" i="2"/>
  <c r="V142" i="2"/>
  <c r="S142" i="2"/>
  <c r="X142" i="2"/>
  <c r="W142" i="2"/>
  <c r="R142" i="2"/>
  <c r="U142" i="2"/>
  <c r="Q142" i="2"/>
  <c r="AB138" i="2"/>
  <c r="AO138" i="2" s="1"/>
  <c r="AA138" i="2"/>
  <c r="W138" i="2"/>
  <c r="X138" i="2"/>
  <c r="U138" i="2"/>
  <c r="Z138" i="2"/>
  <c r="T138" i="2"/>
  <c r="R138" i="2"/>
  <c r="S138" i="2"/>
  <c r="Q138" i="2"/>
  <c r="V138" i="2"/>
  <c r="AA134" i="2"/>
  <c r="AB134" i="2"/>
  <c r="Z134" i="2"/>
  <c r="X134" i="2"/>
  <c r="W134" i="2"/>
  <c r="T134" i="2"/>
  <c r="V134" i="2"/>
  <c r="U134" i="2"/>
  <c r="Q134" i="2"/>
  <c r="R134" i="2"/>
  <c r="S134" i="2"/>
  <c r="AB130" i="2"/>
  <c r="AA130" i="2"/>
  <c r="W130" i="2"/>
  <c r="Z130" i="2"/>
  <c r="U130" i="2"/>
  <c r="S130" i="2"/>
  <c r="T130" i="2"/>
  <c r="X130" i="2"/>
  <c r="V130" i="2"/>
  <c r="Q130" i="2"/>
  <c r="R130" i="2"/>
  <c r="AA126" i="2"/>
  <c r="AB126" i="2"/>
  <c r="Z126" i="2"/>
  <c r="X126" i="2"/>
  <c r="T126" i="2"/>
  <c r="W126" i="2"/>
  <c r="AJ126" i="2" s="1"/>
  <c r="S126" i="2"/>
  <c r="Q126" i="2"/>
  <c r="V126" i="2"/>
  <c r="U126" i="2"/>
  <c r="R126" i="2"/>
  <c r="AB122" i="2"/>
  <c r="AO122" i="2" s="1"/>
  <c r="AA122" i="2"/>
  <c r="Z122" i="2"/>
  <c r="W122" i="2"/>
  <c r="U122" i="2"/>
  <c r="V122" i="2"/>
  <c r="AI122" i="2" s="1"/>
  <c r="T122" i="2"/>
  <c r="S122" i="2"/>
  <c r="X122" i="2"/>
  <c r="Q122" i="2"/>
  <c r="R122" i="2"/>
  <c r="AA118" i="2"/>
  <c r="AB118" i="2"/>
  <c r="X118" i="2"/>
  <c r="Z118" i="2"/>
  <c r="W118" i="2"/>
  <c r="T118" i="2"/>
  <c r="S118" i="2"/>
  <c r="Q118" i="2"/>
  <c r="V118" i="2"/>
  <c r="R118" i="2"/>
  <c r="U118" i="2"/>
  <c r="AB114" i="2"/>
  <c r="AA114" i="2"/>
  <c r="Z114" i="2"/>
  <c r="W114" i="2"/>
  <c r="U114" i="2"/>
  <c r="V114" i="2"/>
  <c r="T114" i="2"/>
  <c r="R114" i="2"/>
  <c r="X114" i="2"/>
  <c r="S114" i="2"/>
  <c r="Q114" i="2"/>
  <c r="AA110" i="2"/>
  <c r="AB110" i="2"/>
  <c r="Z110" i="2"/>
  <c r="X110" i="2"/>
  <c r="T110" i="2"/>
  <c r="V110" i="2"/>
  <c r="W110" i="2"/>
  <c r="S110" i="2"/>
  <c r="U110" i="2"/>
  <c r="R110" i="2"/>
  <c r="Q110" i="2"/>
  <c r="AB106" i="2"/>
  <c r="AA106" i="2"/>
  <c r="Z106" i="2"/>
  <c r="W106" i="2"/>
  <c r="U106" i="2"/>
  <c r="X106" i="2"/>
  <c r="S106" i="2"/>
  <c r="V106" i="2"/>
  <c r="Q106" i="2"/>
  <c r="T106" i="2"/>
  <c r="R106" i="2"/>
  <c r="AA102" i="2"/>
  <c r="AB102" i="2"/>
  <c r="Z102" i="2"/>
  <c r="X102" i="2"/>
  <c r="W102" i="2"/>
  <c r="T102" i="2"/>
  <c r="V102" i="2"/>
  <c r="R102" i="2"/>
  <c r="Q102" i="2"/>
  <c r="U102" i="2"/>
  <c r="S102" i="2"/>
  <c r="AB98" i="2"/>
  <c r="AA98" i="2"/>
  <c r="Z98" i="2"/>
  <c r="W98" i="2"/>
  <c r="U98" i="2"/>
  <c r="T98" i="2"/>
  <c r="X98" i="2"/>
  <c r="Q98" i="2"/>
  <c r="S98" i="2"/>
  <c r="R98" i="2"/>
  <c r="V98" i="2"/>
  <c r="AA94" i="2"/>
  <c r="AB94" i="2"/>
  <c r="Z94" i="2"/>
  <c r="X94" i="2"/>
  <c r="V94" i="2"/>
  <c r="T94" i="2"/>
  <c r="U94" i="2"/>
  <c r="S94" i="2"/>
  <c r="R94" i="2"/>
  <c r="W94" i="2"/>
  <c r="Q94" i="2"/>
  <c r="AB90" i="2"/>
  <c r="AA90" i="2"/>
  <c r="Z90" i="2"/>
  <c r="W90" i="2"/>
  <c r="U90" i="2"/>
  <c r="T90" i="2"/>
  <c r="S90" i="2"/>
  <c r="X90" i="2"/>
  <c r="V90" i="2"/>
  <c r="Q90" i="2"/>
  <c r="R90" i="2"/>
  <c r="AA86" i="2"/>
  <c r="AB86" i="2"/>
  <c r="X86" i="2"/>
  <c r="W86" i="2"/>
  <c r="T86" i="2"/>
  <c r="Z86" i="2"/>
  <c r="V86" i="2"/>
  <c r="R86" i="2"/>
  <c r="Q86" i="2"/>
  <c r="U86" i="2"/>
  <c r="S86" i="2"/>
  <c r="AB82" i="2"/>
  <c r="AA82" i="2"/>
  <c r="Z82" i="2"/>
  <c r="W82" i="2"/>
  <c r="V82" i="2"/>
  <c r="U82" i="2"/>
  <c r="T82" i="2"/>
  <c r="S82" i="2"/>
  <c r="R82" i="2"/>
  <c r="Q82" i="2"/>
  <c r="X82" i="2"/>
  <c r="AA78" i="2"/>
  <c r="AB78" i="2"/>
  <c r="X78" i="2"/>
  <c r="T78" i="2"/>
  <c r="S78" i="2"/>
  <c r="W78" i="2"/>
  <c r="Z78" i="2"/>
  <c r="U78" i="2"/>
  <c r="V78" i="2"/>
  <c r="Q78" i="2"/>
  <c r="R78" i="2"/>
  <c r="AB74" i="2"/>
  <c r="AA74" i="2"/>
  <c r="Z74" i="2"/>
  <c r="W74" i="2"/>
  <c r="U74" i="2"/>
  <c r="V74" i="2"/>
  <c r="X74" i="2"/>
  <c r="T74" i="2"/>
  <c r="S74" i="2"/>
  <c r="R74" i="2"/>
  <c r="Q74" i="2"/>
  <c r="AA70" i="2"/>
  <c r="AB70" i="2"/>
  <c r="Z70" i="2"/>
  <c r="X70" i="2"/>
  <c r="W70" i="2"/>
  <c r="T70" i="2"/>
  <c r="Q70" i="2"/>
  <c r="R70" i="2"/>
  <c r="S70" i="2"/>
  <c r="V70" i="2"/>
  <c r="U70" i="2"/>
  <c r="AB66" i="2"/>
  <c r="AA66" i="2"/>
  <c r="Z66" i="2"/>
  <c r="W66" i="2"/>
  <c r="U66" i="2"/>
  <c r="X66" i="2"/>
  <c r="V66" i="2"/>
  <c r="Q66" i="2"/>
  <c r="T66" i="2"/>
  <c r="S66" i="2"/>
  <c r="R66" i="2"/>
  <c r="AA62" i="2"/>
  <c r="AB62" i="2"/>
  <c r="Z62" i="2"/>
  <c r="W62" i="2"/>
  <c r="X62" i="2"/>
  <c r="V62" i="2"/>
  <c r="T62" i="2"/>
  <c r="S62" i="2"/>
  <c r="Q62" i="2"/>
  <c r="U62" i="2"/>
  <c r="R62" i="2"/>
  <c r="AB58" i="2"/>
  <c r="AA58" i="2"/>
  <c r="Z58" i="2"/>
  <c r="W58" i="2"/>
  <c r="U58" i="2"/>
  <c r="X58" i="2"/>
  <c r="AK58" i="2" s="1"/>
  <c r="T58" i="2"/>
  <c r="V58" i="2"/>
  <c r="S58" i="2"/>
  <c r="R58" i="2"/>
  <c r="Q58" i="2"/>
  <c r="AA54" i="2"/>
  <c r="AB54" i="2"/>
  <c r="X54" i="2"/>
  <c r="Z54" i="2"/>
  <c r="W54" i="2"/>
  <c r="T54" i="2"/>
  <c r="Q54" i="2"/>
  <c r="S54" i="2"/>
  <c r="U54" i="2"/>
  <c r="R54" i="2"/>
  <c r="AE54" i="2" s="1"/>
  <c r="V54" i="2"/>
  <c r="AB50" i="2"/>
  <c r="AA50" i="2"/>
  <c r="Z50" i="2"/>
  <c r="U50" i="2"/>
  <c r="W50" i="2"/>
  <c r="V50" i="2"/>
  <c r="T50" i="2"/>
  <c r="R50" i="2"/>
  <c r="X50" i="2"/>
  <c r="S50" i="2"/>
  <c r="Q50" i="2"/>
  <c r="AA46" i="2"/>
  <c r="AB46" i="2"/>
  <c r="Z46" i="2"/>
  <c r="X46" i="2"/>
  <c r="W46" i="2"/>
  <c r="T46" i="2"/>
  <c r="V46" i="2"/>
  <c r="S46" i="2"/>
  <c r="U46" i="2"/>
  <c r="R46" i="2"/>
  <c r="Q46" i="2"/>
  <c r="AB42" i="2"/>
  <c r="AA42" i="2"/>
  <c r="Z42" i="2"/>
  <c r="W42" i="2"/>
  <c r="U42" i="2"/>
  <c r="S42" i="2"/>
  <c r="V42" i="2"/>
  <c r="T42" i="2"/>
  <c r="Q42" i="2"/>
  <c r="X42" i="2"/>
  <c r="R42" i="2"/>
  <c r="AA38" i="2"/>
  <c r="AB38" i="2"/>
  <c r="Z38" i="2"/>
  <c r="X38" i="2"/>
  <c r="V38" i="2"/>
  <c r="T38" i="2"/>
  <c r="W38" i="2"/>
  <c r="R38" i="2"/>
  <c r="U38" i="2"/>
  <c r="Q38" i="2"/>
  <c r="S38" i="2"/>
  <c r="AB34" i="2"/>
  <c r="AA34" i="2"/>
  <c r="Z34" i="2"/>
  <c r="W34" i="2"/>
  <c r="U34" i="2"/>
  <c r="X34" i="2"/>
  <c r="V34" i="2"/>
  <c r="Q34" i="2"/>
  <c r="S34" i="2"/>
  <c r="T34" i="2"/>
  <c r="R34" i="2"/>
  <c r="AA30" i="2"/>
  <c r="AB30" i="2"/>
  <c r="Z30" i="2"/>
  <c r="W30" i="2"/>
  <c r="X30" i="2"/>
  <c r="T30" i="2"/>
  <c r="V30" i="2"/>
  <c r="S30" i="2"/>
  <c r="R30" i="2"/>
  <c r="U30" i="2"/>
  <c r="Q30" i="2"/>
  <c r="AB26" i="2"/>
  <c r="AA26" i="2"/>
  <c r="Z26" i="2"/>
  <c r="W26" i="2"/>
  <c r="U26" i="2"/>
  <c r="T26" i="2"/>
  <c r="V26" i="2"/>
  <c r="X26" i="2"/>
  <c r="S26" i="2"/>
  <c r="Q26" i="2"/>
  <c r="R26" i="2"/>
  <c r="AA23" i="2"/>
  <c r="AB23" i="2"/>
  <c r="X23" i="2"/>
  <c r="W23" i="2"/>
  <c r="Z23" i="2"/>
  <c r="T23" i="2"/>
  <c r="U23" i="2"/>
  <c r="S23" i="2"/>
  <c r="V23" i="2"/>
  <c r="R23" i="2"/>
  <c r="Q23" i="2"/>
  <c r="AB19" i="2"/>
  <c r="AA19" i="2"/>
  <c r="Z19" i="2"/>
  <c r="U19" i="2"/>
  <c r="X19" i="2"/>
  <c r="T19" i="2"/>
  <c r="R19" i="2"/>
  <c r="W19" i="2"/>
  <c r="V19" i="2"/>
  <c r="Q19" i="2"/>
  <c r="S19" i="2"/>
  <c r="AA15" i="2"/>
  <c r="AB15" i="2"/>
  <c r="X15" i="2"/>
  <c r="W15" i="2"/>
  <c r="Z15" i="2"/>
  <c r="V15" i="2"/>
  <c r="T15" i="2"/>
  <c r="S15" i="2"/>
  <c r="U15" i="2"/>
  <c r="Q15" i="2"/>
  <c r="R15" i="2"/>
  <c r="AB11" i="2"/>
  <c r="AA11" i="2"/>
  <c r="Z11" i="2"/>
  <c r="X11" i="2"/>
  <c r="W11" i="2"/>
  <c r="V11" i="2"/>
  <c r="U11" i="2"/>
  <c r="S11" i="2"/>
  <c r="R11" i="2"/>
  <c r="Q11" i="2"/>
  <c r="T11" i="2"/>
  <c r="AA7" i="2"/>
  <c r="AB7" i="2"/>
  <c r="W7" i="2"/>
  <c r="Z7" i="2"/>
  <c r="X7" i="2"/>
  <c r="T7" i="2"/>
  <c r="V7" i="2"/>
  <c r="U7" i="2"/>
  <c r="S7" i="2"/>
  <c r="Q7" i="2"/>
  <c r="R7" i="2"/>
  <c r="AB276" i="2"/>
  <c r="AA276" i="2"/>
  <c r="X276" i="2"/>
  <c r="Z276" i="2"/>
  <c r="T276" i="2"/>
  <c r="W276" i="2"/>
  <c r="U276" i="2"/>
  <c r="Q276" i="2"/>
  <c r="V276" i="2"/>
  <c r="S276" i="2"/>
  <c r="R276" i="2"/>
  <c r="AA272" i="2"/>
  <c r="AB272" i="2"/>
  <c r="Z272" i="2"/>
  <c r="X272" i="2"/>
  <c r="W272" i="2"/>
  <c r="U272" i="2"/>
  <c r="R272" i="2"/>
  <c r="S272" i="2"/>
  <c r="Q272" i="2"/>
  <c r="V272" i="2"/>
  <c r="T272" i="2"/>
  <c r="AB268" i="2"/>
  <c r="AA268" i="2"/>
  <c r="Z268" i="2"/>
  <c r="X268" i="2"/>
  <c r="T268" i="2"/>
  <c r="W268" i="2"/>
  <c r="V268" i="2"/>
  <c r="U268" i="2"/>
  <c r="S268" i="2"/>
  <c r="R268" i="2"/>
  <c r="Q268" i="2"/>
  <c r="AA264" i="2"/>
  <c r="AB264" i="2"/>
  <c r="W264" i="2"/>
  <c r="Z264" i="2"/>
  <c r="R264" i="2"/>
  <c r="Q264" i="2"/>
  <c r="U264" i="2"/>
  <c r="V264" i="2"/>
  <c r="S264" i="2"/>
  <c r="X264" i="2"/>
  <c r="T264" i="2"/>
  <c r="AB260" i="2"/>
  <c r="AA260" i="2"/>
  <c r="X260" i="2"/>
  <c r="Z260" i="2"/>
  <c r="T260" i="2"/>
  <c r="U260" i="2"/>
  <c r="S260" i="2"/>
  <c r="R260" i="2"/>
  <c r="W260" i="2"/>
  <c r="V260" i="2"/>
  <c r="Q260" i="2"/>
  <c r="AA256" i="2"/>
  <c r="Z256" i="2"/>
  <c r="W256" i="2"/>
  <c r="X256" i="2"/>
  <c r="AB256" i="2"/>
  <c r="R256" i="2"/>
  <c r="V256" i="2"/>
  <c r="T256" i="2"/>
  <c r="Q256" i="2"/>
  <c r="S256" i="2"/>
  <c r="U256" i="2"/>
  <c r="AB252" i="2"/>
  <c r="Z252" i="2"/>
  <c r="X252" i="2"/>
  <c r="AA252" i="2"/>
  <c r="T252" i="2"/>
  <c r="W252" i="2"/>
  <c r="U252" i="2"/>
  <c r="S252" i="2"/>
  <c r="R252" i="2"/>
  <c r="Q252" i="2"/>
  <c r="V252" i="2"/>
  <c r="AA248" i="2"/>
  <c r="AB248" i="2"/>
  <c r="X248" i="2"/>
  <c r="W248" i="2"/>
  <c r="Z248" i="2"/>
  <c r="S248" i="2"/>
  <c r="U248" i="2"/>
  <c r="R248" i="2"/>
  <c r="Q248" i="2"/>
  <c r="T248" i="2"/>
  <c r="V248" i="2"/>
  <c r="AB244" i="2"/>
  <c r="AA244" i="2"/>
  <c r="X244" i="2"/>
  <c r="Z244" i="2"/>
  <c r="T244" i="2"/>
  <c r="S244" i="2"/>
  <c r="W244" i="2"/>
  <c r="U244" i="2"/>
  <c r="R244" i="2"/>
  <c r="Q244" i="2"/>
  <c r="V244" i="2"/>
  <c r="AA240" i="2"/>
  <c r="AB240" i="2"/>
  <c r="Z240" i="2"/>
  <c r="W240" i="2"/>
  <c r="X240" i="2"/>
  <c r="S240" i="2"/>
  <c r="U240" i="2"/>
  <c r="R240" i="2"/>
  <c r="V240" i="2"/>
  <c r="T240" i="2"/>
  <c r="Q240" i="2"/>
  <c r="AB236" i="2"/>
  <c r="AA236" i="2"/>
  <c r="Z236" i="2"/>
  <c r="X236" i="2"/>
  <c r="W236" i="2"/>
  <c r="T236" i="2"/>
  <c r="U236" i="2"/>
  <c r="V236" i="2"/>
  <c r="R236" i="2"/>
  <c r="S236" i="2"/>
  <c r="Q236" i="2"/>
  <c r="AA232" i="2"/>
  <c r="AB232" i="2"/>
  <c r="W232" i="2"/>
  <c r="S232" i="2"/>
  <c r="R232" i="2"/>
  <c r="Z232" i="2"/>
  <c r="U232" i="2"/>
  <c r="Q232" i="2"/>
  <c r="X232" i="2"/>
  <c r="V232" i="2"/>
  <c r="T232" i="2"/>
  <c r="AB228" i="2"/>
  <c r="AA228" i="2"/>
  <c r="X228" i="2"/>
  <c r="T228" i="2"/>
  <c r="U228" i="2"/>
  <c r="W228" i="2"/>
  <c r="R228" i="2"/>
  <c r="V228" i="2"/>
  <c r="S228" i="2"/>
  <c r="Q228" i="2"/>
  <c r="Z228" i="2"/>
  <c r="AA224" i="2"/>
  <c r="Z224" i="2"/>
  <c r="AB224" i="2"/>
  <c r="W224" i="2"/>
  <c r="X224" i="2"/>
  <c r="S224" i="2"/>
  <c r="R224" i="2"/>
  <c r="Q224" i="2"/>
  <c r="U224" i="2"/>
  <c r="T224" i="2"/>
  <c r="V224" i="2"/>
  <c r="AB220" i="2"/>
  <c r="Z220" i="2"/>
  <c r="X220" i="2"/>
  <c r="AA220" i="2"/>
  <c r="T220" i="2"/>
  <c r="U220" i="2"/>
  <c r="R220" i="2"/>
  <c r="Q220" i="2"/>
  <c r="V220" i="2"/>
  <c r="W220" i="2"/>
  <c r="S220" i="2"/>
  <c r="AA216" i="2"/>
  <c r="AB216" i="2"/>
  <c r="W216" i="2"/>
  <c r="Z216" i="2"/>
  <c r="S216" i="2"/>
  <c r="U216" i="2"/>
  <c r="X216" i="2"/>
  <c r="R216" i="2"/>
  <c r="Q216" i="2"/>
  <c r="T216" i="2"/>
  <c r="V216" i="2"/>
  <c r="AB212" i="2"/>
  <c r="AA212" i="2"/>
  <c r="X212" i="2"/>
  <c r="Z212" i="2"/>
  <c r="T212" i="2"/>
  <c r="W212" i="2"/>
  <c r="S212" i="2"/>
  <c r="V212" i="2"/>
  <c r="U212" i="2"/>
  <c r="R212" i="2"/>
  <c r="Q212" i="2"/>
  <c r="AA208" i="2"/>
  <c r="AB208" i="2"/>
  <c r="Z208" i="2"/>
  <c r="X208" i="2"/>
  <c r="W208" i="2"/>
  <c r="S208" i="2"/>
  <c r="U208" i="2"/>
  <c r="R208" i="2"/>
  <c r="Q208" i="2"/>
  <c r="V208" i="2"/>
  <c r="T208" i="2"/>
  <c r="AB204" i="2"/>
  <c r="AA204" i="2"/>
  <c r="Z204" i="2"/>
  <c r="X204" i="2"/>
  <c r="T204" i="2"/>
  <c r="W204" i="2"/>
  <c r="U204" i="2"/>
  <c r="S204" i="2"/>
  <c r="R204" i="2"/>
  <c r="V204" i="2"/>
  <c r="Q204" i="2"/>
  <c r="AA200" i="2"/>
  <c r="AB200" i="2"/>
  <c r="W200" i="2"/>
  <c r="Z200" i="2"/>
  <c r="S200" i="2"/>
  <c r="R200" i="2"/>
  <c r="V200" i="2"/>
  <c r="T200" i="2"/>
  <c r="Q200" i="2"/>
  <c r="X200" i="2"/>
  <c r="U200" i="2"/>
  <c r="AB196" i="2"/>
  <c r="AA196" i="2"/>
  <c r="X196" i="2"/>
  <c r="Z196" i="2"/>
  <c r="T196" i="2"/>
  <c r="W196" i="2"/>
  <c r="U196" i="2"/>
  <c r="S196" i="2"/>
  <c r="V196" i="2"/>
  <c r="R196" i="2"/>
  <c r="Q196" i="2"/>
  <c r="AA192" i="2"/>
  <c r="AB192" i="2"/>
  <c r="Z192" i="2"/>
  <c r="W192" i="2"/>
  <c r="S192" i="2"/>
  <c r="R192" i="2"/>
  <c r="U192" i="2"/>
  <c r="T192" i="2"/>
  <c r="Q192" i="2"/>
  <c r="X192" i="2"/>
  <c r="V192" i="2"/>
  <c r="AB189" i="2"/>
  <c r="Z189" i="2"/>
  <c r="X189" i="2"/>
  <c r="AA189" i="2"/>
  <c r="T189" i="2"/>
  <c r="U189" i="2"/>
  <c r="S189" i="2"/>
  <c r="Q189" i="2"/>
  <c r="R189" i="2"/>
  <c r="W189" i="2"/>
  <c r="V189" i="2"/>
  <c r="AA185" i="2"/>
  <c r="X185" i="2"/>
  <c r="W185" i="2"/>
  <c r="Z185" i="2"/>
  <c r="S185" i="2"/>
  <c r="U185" i="2"/>
  <c r="AB185" i="2"/>
  <c r="R185" i="2"/>
  <c r="V185" i="2"/>
  <c r="T185" i="2"/>
  <c r="Q185" i="2"/>
  <c r="AB181" i="2"/>
  <c r="AA181" i="2"/>
  <c r="X181" i="2"/>
  <c r="Z181" i="2"/>
  <c r="T181" i="2"/>
  <c r="W181" i="2"/>
  <c r="S181" i="2"/>
  <c r="Q181" i="2"/>
  <c r="U181" i="2"/>
  <c r="V181" i="2"/>
  <c r="R181" i="2"/>
  <c r="AA177" i="2"/>
  <c r="AB177" i="2"/>
  <c r="Z177" i="2"/>
  <c r="W177" i="2"/>
  <c r="X177" i="2"/>
  <c r="S177" i="2"/>
  <c r="U177" i="2"/>
  <c r="R177" i="2"/>
  <c r="V177" i="2"/>
  <c r="T177" i="2"/>
  <c r="Q177" i="2"/>
  <c r="AB173" i="2"/>
  <c r="AA173" i="2"/>
  <c r="Z173" i="2"/>
  <c r="X173" i="2"/>
  <c r="W173" i="2"/>
  <c r="T173" i="2"/>
  <c r="Q173" i="2"/>
  <c r="V173" i="2"/>
  <c r="S173" i="2"/>
  <c r="R173" i="2"/>
  <c r="U173" i="2"/>
  <c r="AA169" i="2"/>
  <c r="AB169" i="2"/>
  <c r="W169" i="2"/>
  <c r="S169" i="2"/>
  <c r="R169" i="2"/>
  <c r="U169" i="2"/>
  <c r="T169" i="2"/>
  <c r="Z169" i="2"/>
  <c r="Q169" i="2"/>
  <c r="X169" i="2"/>
  <c r="V169" i="2"/>
  <c r="AB165" i="2"/>
  <c r="AA165" i="2"/>
  <c r="X165" i="2"/>
  <c r="T165" i="2"/>
  <c r="W165" i="2"/>
  <c r="U165" i="2"/>
  <c r="S165" i="2"/>
  <c r="R165" i="2"/>
  <c r="Z165" i="2"/>
  <c r="Q165" i="2"/>
  <c r="V165" i="2"/>
  <c r="AA161" i="2"/>
  <c r="Z161" i="2"/>
  <c r="W161" i="2"/>
  <c r="X161" i="2"/>
  <c r="AB161" i="2"/>
  <c r="S161" i="2"/>
  <c r="R161" i="2"/>
  <c r="U161" i="2"/>
  <c r="Q161" i="2"/>
  <c r="T161" i="2"/>
  <c r="V161" i="2"/>
  <c r="AB157" i="2"/>
  <c r="Z157" i="2"/>
  <c r="X157" i="2"/>
  <c r="AA157" i="2"/>
  <c r="T157" i="2"/>
  <c r="U157" i="2"/>
  <c r="V157" i="2"/>
  <c r="R157" i="2"/>
  <c r="W157" i="2"/>
  <c r="S157" i="2"/>
  <c r="Q157" i="2"/>
  <c r="AA153" i="2"/>
  <c r="AB153" i="2"/>
  <c r="W153" i="2"/>
  <c r="Z153" i="2"/>
  <c r="X153" i="2"/>
  <c r="S153" i="2"/>
  <c r="U153" i="2"/>
  <c r="R153" i="2"/>
  <c r="Q153" i="2"/>
  <c r="V153" i="2"/>
  <c r="T153" i="2"/>
  <c r="AB149" i="2"/>
  <c r="AA149" i="2"/>
  <c r="X149" i="2"/>
  <c r="Z149" i="2"/>
  <c r="T149" i="2"/>
  <c r="W149" i="2"/>
  <c r="U149" i="2"/>
  <c r="V149" i="2"/>
  <c r="S149" i="2"/>
  <c r="Q149" i="2"/>
  <c r="R149" i="2"/>
  <c r="AA145" i="2"/>
  <c r="AB145" i="2"/>
  <c r="Z145" i="2"/>
  <c r="X145" i="2"/>
  <c r="W145" i="2"/>
  <c r="S145" i="2"/>
  <c r="V145" i="2"/>
  <c r="U145" i="2"/>
  <c r="R145" i="2"/>
  <c r="T145" i="2"/>
  <c r="Q145" i="2"/>
  <c r="AB141" i="2"/>
  <c r="AA141" i="2"/>
  <c r="Z141" i="2"/>
  <c r="X141" i="2"/>
  <c r="T141" i="2"/>
  <c r="S141" i="2"/>
  <c r="V141" i="2"/>
  <c r="U141" i="2"/>
  <c r="W141" i="2"/>
  <c r="R141" i="2"/>
  <c r="Q141" i="2"/>
  <c r="AA137" i="2"/>
  <c r="AB137" i="2"/>
  <c r="W137" i="2"/>
  <c r="Z137" i="2"/>
  <c r="S137" i="2"/>
  <c r="R137" i="2"/>
  <c r="U137" i="2"/>
  <c r="X137" i="2"/>
  <c r="T137" i="2"/>
  <c r="Q137" i="2"/>
  <c r="V137" i="2"/>
  <c r="AA133" i="2"/>
  <c r="AB133" i="2"/>
  <c r="X133" i="2"/>
  <c r="Z133" i="2"/>
  <c r="W133" i="2"/>
  <c r="T133" i="2"/>
  <c r="U133" i="2"/>
  <c r="S133" i="2"/>
  <c r="V133" i="2"/>
  <c r="R133" i="2"/>
  <c r="Q133" i="2"/>
  <c r="AA129" i="2"/>
  <c r="Z129" i="2"/>
  <c r="W129" i="2"/>
  <c r="AB129" i="2"/>
  <c r="X129" i="2"/>
  <c r="S129" i="2"/>
  <c r="R129" i="2"/>
  <c r="T129" i="2"/>
  <c r="U129" i="2"/>
  <c r="Q129" i="2"/>
  <c r="V129" i="2"/>
  <c r="AA125" i="2"/>
  <c r="AB125" i="2"/>
  <c r="Z125" i="2"/>
  <c r="X125" i="2"/>
  <c r="T125" i="2"/>
  <c r="U125" i="2"/>
  <c r="Q125" i="2"/>
  <c r="V125" i="2"/>
  <c r="R125" i="2"/>
  <c r="W125" i="2"/>
  <c r="S125" i="2"/>
  <c r="AA121" i="2"/>
  <c r="Z121" i="2"/>
  <c r="AB121" i="2"/>
  <c r="W121" i="2"/>
  <c r="X121" i="2"/>
  <c r="S121" i="2"/>
  <c r="U121" i="2"/>
  <c r="R121" i="2"/>
  <c r="V121" i="2"/>
  <c r="Q121" i="2"/>
  <c r="T121" i="2"/>
  <c r="AA117" i="2"/>
  <c r="AB117" i="2"/>
  <c r="Z117" i="2"/>
  <c r="X117" i="2"/>
  <c r="W117" i="2"/>
  <c r="T117" i="2"/>
  <c r="S117" i="2"/>
  <c r="Q117" i="2"/>
  <c r="V117" i="2"/>
  <c r="U117" i="2"/>
  <c r="R117" i="2"/>
  <c r="Z113" i="2"/>
  <c r="AA113" i="2"/>
  <c r="AB113" i="2"/>
  <c r="W113" i="2"/>
  <c r="S113" i="2"/>
  <c r="V113" i="2"/>
  <c r="X113" i="2"/>
  <c r="U113" i="2"/>
  <c r="R113" i="2"/>
  <c r="T113" i="2"/>
  <c r="Q113" i="2"/>
  <c r="AA109" i="2"/>
  <c r="AB109" i="2"/>
  <c r="Z109" i="2"/>
  <c r="X109" i="2"/>
  <c r="T109" i="2"/>
  <c r="W109" i="2"/>
  <c r="U109" i="2"/>
  <c r="Q109" i="2"/>
  <c r="V109" i="2"/>
  <c r="R109" i="2"/>
  <c r="S109" i="2"/>
  <c r="Z105" i="2"/>
  <c r="AA105" i="2"/>
  <c r="AB105" i="2"/>
  <c r="W105" i="2"/>
  <c r="X105" i="2"/>
  <c r="S105" i="2"/>
  <c r="R105" i="2"/>
  <c r="U105" i="2"/>
  <c r="T105" i="2"/>
  <c r="Q105" i="2"/>
  <c r="V105" i="2"/>
  <c r="AA101" i="2"/>
  <c r="AB101" i="2"/>
  <c r="Z101" i="2"/>
  <c r="X101" i="2"/>
  <c r="V101" i="2"/>
  <c r="W101" i="2"/>
  <c r="T101" i="2"/>
  <c r="U101" i="2"/>
  <c r="R101" i="2"/>
  <c r="S101" i="2"/>
  <c r="Q101" i="2"/>
  <c r="Z97" i="2"/>
  <c r="AA97" i="2"/>
  <c r="AB97" i="2"/>
  <c r="W97" i="2"/>
  <c r="X97" i="2"/>
  <c r="S97" i="2"/>
  <c r="R97" i="2"/>
  <c r="Q97" i="2"/>
  <c r="U97" i="2"/>
  <c r="V97" i="2"/>
  <c r="T97" i="2"/>
  <c r="AA93" i="2"/>
  <c r="AB93" i="2"/>
  <c r="Z93" i="2"/>
  <c r="X93" i="2"/>
  <c r="V93" i="2"/>
  <c r="T93" i="2"/>
  <c r="U93" i="2"/>
  <c r="S93" i="2"/>
  <c r="W93" i="2"/>
  <c r="R93" i="2"/>
  <c r="Q93" i="2"/>
  <c r="Z89" i="2"/>
  <c r="AA89" i="2"/>
  <c r="W89" i="2"/>
  <c r="AB89" i="2"/>
  <c r="X89" i="2"/>
  <c r="S89" i="2"/>
  <c r="U89" i="2"/>
  <c r="V89" i="2"/>
  <c r="R89" i="2"/>
  <c r="Q89" i="2"/>
  <c r="T89" i="2"/>
  <c r="AA85" i="2"/>
  <c r="AB85" i="2"/>
  <c r="Z85" i="2"/>
  <c r="X85" i="2"/>
  <c r="V85" i="2"/>
  <c r="W85" i="2"/>
  <c r="T85" i="2"/>
  <c r="U85" i="2"/>
  <c r="S85" i="2"/>
  <c r="Q85" i="2"/>
  <c r="R85" i="2"/>
  <c r="Z81" i="2"/>
  <c r="AA81" i="2"/>
  <c r="AB81" i="2"/>
  <c r="W81" i="2"/>
  <c r="S81" i="2"/>
  <c r="U81" i="2"/>
  <c r="R81" i="2"/>
  <c r="V81" i="2"/>
  <c r="Q81" i="2"/>
  <c r="T81" i="2"/>
  <c r="X81" i="2"/>
  <c r="AA77" i="2"/>
  <c r="AB77" i="2"/>
  <c r="Z77" i="2"/>
  <c r="X77" i="2"/>
  <c r="V77" i="2"/>
  <c r="T77" i="2"/>
  <c r="U77" i="2"/>
  <c r="W77" i="2"/>
  <c r="S77" i="2"/>
  <c r="Q77" i="2"/>
  <c r="R77" i="2"/>
  <c r="Z73" i="2"/>
  <c r="AA73" i="2"/>
  <c r="AB73" i="2"/>
  <c r="W73" i="2"/>
  <c r="X73" i="2"/>
  <c r="V73" i="2"/>
  <c r="S73" i="2"/>
  <c r="R73" i="2"/>
  <c r="T73" i="2"/>
  <c r="Q73" i="2"/>
  <c r="U73" i="2"/>
  <c r="AA69" i="2"/>
  <c r="AB69" i="2"/>
  <c r="Z69" i="2"/>
  <c r="X69" i="2"/>
  <c r="V69" i="2"/>
  <c r="W69" i="2"/>
  <c r="T69" i="2"/>
  <c r="U69" i="2"/>
  <c r="S69" i="2"/>
  <c r="R69" i="2"/>
  <c r="Q69" i="2"/>
  <c r="Z65" i="2"/>
  <c r="AA65" i="2"/>
  <c r="AB65" i="2"/>
  <c r="W65" i="2"/>
  <c r="X65" i="2"/>
  <c r="S65" i="2"/>
  <c r="R65" i="2"/>
  <c r="V65" i="2"/>
  <c r="U65" i="2"/>
  <c r="Q65" i="2"/>
  <c r="T65" i="2"/>
  <c r="AA61" i="2"/>
  <c r="AB61" i="2"/>
  <c r="Z61" i="2"/>
  <c r="X61" i="2"/>
  <c r="V61" i="2"/>
  <c r="T61" i="2"/>
  <c r="W61" i="2"/>
  <c r="U61" i="2"/>
  <c r="Q61" i="2"/>
  <c r="R61" i="2"/>
  <c r="S61" i="2"/>
  <c r="Z57" i="2"/>
  <c r="AA57" i="2"/>
  <c r="AB57" i="2"/>
  <c r="X57" i="2"/>
  <c r="S57" i="2"/>
  <c r="V57" i="2"/>
  <c r="U57" i="2"/>
  <c r="R57" i="2"/>
  <c r="T57" i="2"/>
  <c r="W57" i="2"/>
  <c r="Q57" i="2"/>
  <c r="AA53" i="2"/>
  <c r="AB53" i="2"/>
  <c r="Z53" i="2"/>
  <c r="X53" i="2"/>
  <c r="W53" i="2"/>
  <c r="V53" i="2"/>
  <c r="T53" i="2"/>
  <c r="S53" i="2"/>
  <c r="Q53" i="2"/>
  <c r="U53" i="2"/>
  <c r="R53" i="2"/>
  <c r="Z49" i="2"/>
  <c r="AA49" i="2"/>
  <c r="AB49" i="2"/>
  <c r="W49" i="2"/>
  <c r="V49" i="2"/>
  <c r="S49" i="2"/>
  <c r="U49" i="2"/>
  <c r="R49" i="2"/>
  <c r="T49" i="2"/>
  <c r="X49" i="2"/>
  <c r="Q49" i="2"/>
  <c r="AA45" i="2"/>
  <c r="AB45" i="2"/>
  <c r="Z45" i="2"/>
  <c r="X45" i="2"/>
  <c r="V45" i="2"/>
  <c r="T45" i="2"/>
  <c r="W45" i="2"/>
  <c r="S45" i="2"/>
  <c r="Q45" i="2"/>
  <c r="U45" i="2"/>
  <c r="R45" i="2"/>
  <c r="Z41" i="2"/>
  <c r="AA41" i="2"/>
  <c r="AB41" i="2"/>
  <c r="X41" i="2"/>
  <c r="S41" i="2"/>
  <c r="V41" i="2"/>
  <c r="R41" i="2"/>
  <c r="W41" i="2"/>
  <c r="U41" i="2"/>
  <c r="Q41" i="2"/>
  <c r="T41" i="2"/>
  <c r="AA37" i="2"/>
  <c r="AB37" i="2"/>
  <c r="Z37" i="2"/>
  <c r="X37" i="2"/>
  <c r="V37" i="2"/>
  <c r="T37" i="2"/>
  <c r="U37" i="2"/>
  <c r="W37" i="2"/>
  <c r="R37" i="2"/>
  <c r="S37" i="2"/>
  <c r="Q37" i="2"/>
  <c r="Z33" i="2"/>
  <c r="AA33" i="2"/>
  <c r="AB33" i="2"/>
  <c r="W33" i="2"/>
  <c r="X33" i="2"/>
  <c r="S33" i="2"/>
  <c r="R33" i="2"/>
  <c r="V33" i="2"/>
  <c r="U33" i="2"/>
  <c r="Q33" i="2"/>
  <c r="T33" i="2"/>
  <c r="AA29" i="2"/>
  <c r="AB29" i="2"/>
  <c r="Z29" i="2"/>
  <c r="X29" i="2"/>
  <c r="V29" i="2"/>
  <c r="T29" i="2"/>
  <c r="U29" i="2"/>
  <c r="R29" i="2"/>
  <c r="Q29" i="2"/>
  <c r="S29" i="2"/>
  <c r="W29" i="2"/>
  <c r="Z25" i="2"/>
  <c r="AA25" i="2"/>
  <c r="AB25" i="2"/>
  <c r="X25" i="2"/>
  <c r="V25" i="2"/>
  <c r="S25" i="2"/>
  <c r="U25" i="2"/>
  <c r="R25" i="2"/>
  <c r="Q25" i="2"/>
  <c r="T25" i="2"/>
  <c r="W25" i="2"/>
  <c r="AA22" i="2"/>
  <c r="AB22" i="2"/>
  <c r="Z22" i="2"/>
  <c r="X22" i="2"/>
  <c r="W22" i="2"/>
  <c r="V22" i="2"/>
  <c r="T22" i="2"/>
  <c r="U22" i="2"/>
  <c r="S22" i="2"/>
  <c r="R22" i="2"/>
  <c r="Q22" i="2"/>
  <c r="Z18" i="2"/>
  <c r="AA18" i="2"/>
  <c r="AB18" i="2"/>
  <c r="S18" i="2"/>
  <c r="X18" i="2"/>
  <c r="U18" i="2"/>
  <c r="R18" i="2"/>
  <c r="T18" i="2"/>
  <c r="Q18" i="2"/>
  <c r="V18" i="2"/>
  <c r="W18" i="2"/>
  <c r="AA14" i="2"/>
  <c r="AB14" i="2"/>
  <c r="Z14" i="2"/>
  <c r="X14" i="2"/>
  <c r="V14" i="2"/>
  <c r="T14" i="2"/>
  <c r="W14" i="2"/>
  <c r="U14" i="2"/>
  <c r="Q14" i="2"/>
  <c r="S14" i="2"/>
  <c r="R14" i="2"/>
  <c r="Z10" i="2"/>
  <c r="AA10" i="2"/>
  <c r="AB10" i="2"/>
  <c r="X10" i="2"/>
  <c r="S10" i="2"/>
  <c r="W10" i="2"/>
  <c r="V10" i="2"/>
  <c r="R10" i="2"/>
  <c r="U10" i="2"/>
  <c r="T10" i="2"/>
  <c r="Q10" i="2"/>
  <c r="AA6" i="2"/>
  <c r="AB6" i="2"/>
  <c r="Z6" i="2"/>
  <c r="X6" i="2"/>
  <c r="V6" i="2"/>
  <c r="T6" i="2"/>
  <c r="W6" i="2"/>
  <c r="U6" i="2"/>
  <c r="S6" i="2"/>
  <c r="R6" i="2"/>
  <c r="Q6" i="2"/>
  <c r="AB3" i="2"/>
  <c r="AA3" i="2"/>
  <c r="X3" i="2"/>
  <c r="Z3" i="2"/>
  <c r="U3" i="2"/>
  <c r="W3" i="2"/>
  <c r="T3" i="2"/>
  <c r="R3" i="2"/>
  <c r="S3" i="2"/>
  <c r="V3" i="2"/>
  <c r="BZ143" i="2"/>
  <c r="BZ139" i="2"/>
  <c r="BZ135" i="2"/>
  <c r="BZ131" i="2"/>
  <c r="BZ127" i="2"/>
  <c r="BZ123" i="2"/>
  <c r="BZ119" i="2"/>
  <c r="BZ115" i="2"/>
  <c r="BZ111" i="2"/>
  <c r="BZ83" i="2"/>
  <c r="BZ79" i="2"/>
  <c r="BZ75" i="2"/>
  <c r="BZ67" i="2"/>
  <c r="BZ63" i="2"/>
  <c r="BZ59" i="2"/>
  <c r="BZ55" i="2"/>
  <c r="BZ51" i="2"/>
  <c r="BZ47" i="2"/>
  <c r="BZ43" i="2"/>
  <c r="BZ39" i="2"/>
  <c r="BZ29" i="2"/>
  <c r="BZ4" i="2"/>
  <c r="BZ116" i="2"/>
  <c r="BZ21" i="2"/>
  <c r="BZ17" i="2"/>
  <c r="BZ13" i="2"/>
  <c r="BZ9" i="2"/>
  <c r="CA20" i="2"/>
  <c r="CA16" i="2"/>
  <c r="CB52" i="2"/>
  <c r="CB48" i="2"/>
  <c r="CB40" i="2"/>
  <c r="CB36" i="2"/>
  <c r="CB32" i="2"/>
  <c r="CB28" i="2"/>
  <c r="CB24" i="2"/>
  <c r="CB21" i="2"/>
  <c r="CB17" i="2"/>
  <c r="CA273" i="2"/>
  <c r="CA269" i="2"/>
  <c r="CA265" i="2"/>
  <c r="CA261" i="2"/>
  <c r="CA257" i="2"/>
  <c r="CA253" i="2"/>
  <c r="CA233" i="2"/>
  <c r="CA229" i="2"/>
  <c r="CA225" i="2"/>
  <c r="CA221" i="2"/>
  <c r="CA217" i="2"/>
  <c r="CA213" i="2"/>
  <c r="CA209" i="2"/>
  <c r="CA205" i="2"/>
  <c r="CA201" i="2"/>
  <c r="CA197" i="2"/>
  <c r="CA193" i="2"/>
  <c r="CA170" i="2"/>
  <c r="CA166" i="2"/>
  <c r="CA90" i="2"/>
  <c r="CA86" i="2"/>
  <c r="CA82" i="2"/>
  <c r="CA78" i="2"/>
  <c r="CA74" i="2"/>
  <c r="CA70" i="2"/>
  <c r="CA66" i="2"/>
  <c r="CA62" i="2"/>
  <c r="CA58" i="2"/>
  <c r="CA54" i="2"/>
  <c r="CA46" i="2"/>
  <c r="CA42" i="2"/>
  <c r="CA38" i="2"/>
  <c r="CA34" i="2"/>
  <c r="CA30" i="2"/>
  <c r="CB107" i="2"/>
  <c r="CB95" i="2"/>
  <c r="CB91" i="2"/>
  <c r="CB87" i="2"/>
  <c r="CB83" i="2"/>
  <c r="CB79" i="2"/>
  <c r="CB75" i="2"/>
  <c r="CB71" i="2"/>
  <c r="CB67" i="2"/>
  <c r="CB63" i="2"/>
  <c r="CB59" i="2"/>
  <c r="CB55" i="2"/>
  <c r="CB22" i="2"/>
  <c r="CB8" i="2"/>
  <c r="CB6" i="2"/>
  <c r="CB4" i="2"/>
  <c r="BZ144" i="2"/>
  <c r="BZ140" i="2"/>
  <c r="BZ136" i="2"/>
  <c r="BZ132" i="2"/>
  <c r="BZ128" i="2"/>
  <c r="BZ124" i="2"/>
  <c r="BZ120" i="2"/>
  <c r="BZ112" i="2"/>
  <c r="BZ108" i="2"/>
  <c r="BZ104" i="2"/>
  <c r="BZ100" i="2"/>
  <c r="BZ96" i="2"/>
  <c r="BZ92" i="2"/>
  <c r="BZ88" i="2"/>
  <c r="BZ84" i="2"/>
  <c r="BZ80" i="2"/>
  <c r="BZ76" i="2"/>
  <c r="BZ72" i="2"/>
  <c r="BZ68" i="2"/>
  <c r="BZ64" i="2"/>
  <c r="BZ60" i="2"/>
  <c r="BZ56" i="2"/>
  <c r="BZ52" i="2"/>
  <c r="BZ48" i="2"/>
  <c r="BZ44" i="2"/>
  <c r="BZ40" i="2"/>
  <c r="BZ36" i="2"/>
  <c r="BZ32" i="2"/>
  <c r="BZ28" i="2"/>
  <c r="BZ24" i="2"/>
  <c r="BZ5" i="2"/>
  <c r="CA277" i="2"/>
  <c r="CA47" i="2"/>
  <c r="CA43" i="2"/>
  <c r="CA39" i="2"/>
  <c r="CA35" i="2"/>
  <c r="CA31" i="2"/>
  <c r="CA27" i="2"/>
  <c r="CA12" i="2"/>
  <c r="CA8" i="2"/>
  <c r="CA4" i="2"/>
  <c r="CB132" i="2"/>
  <c r="CB128" i="2"/>
  <c r="CB124" i="2"/>
  <c r="CB120" i="2"/>
  <c r="CB116" i="2"/>
  <c r="CB112" i="2"/>
  <c r="CB108" i="2"/>
  <c r="CB104" i="2"/>
  <c r="CB100" i="2"/>
  <c r="CB96" i="2"/>
  <c r="CB92" i="2"/>
  <c r="CB88" i="2"/>
  <c r="CB84" i="2"/>
  <c r="CB80" i="2"/>
  <c r="CB76" i="2"/>
  <c r="CB72" i="2"/>
  <c r="CB68" i="2"/>
  <c r="CB64" i="2"/>
  <c r="CB60" i="2"/>
  <c r="CB56" i="2"/>
  <c r="CB44" i="2"/>
  <c r="CB13" i="2"/>
  <c r="CB9" i="2"/>
  <c r="CB5" i="2"/>
  <c r="BZ107" i="2"/>
  <c r="BZ103" i="2"/>
  <c r="BZ99" i="2"/>
  <c r="BZ95" i="2"/>
  <c r="BZ91" i="2"/>
  <c r="BZ87" i="2"/>
  <c r="BZ71" i="2"/>
  <c r="BZ35" i="2"/>
  <c r="BZ31" i="2"/>
  <c r="BZ27" i="2"/>
  <c r="BZ25" i="2"/>
  <c r="BZ22" i="2"/>
  <c r="BZ20" i="2"/>
  <c r="BZ18" i="2"/>
  <c r="BZ16" i="2"/>
  <c r="BZ14" i="2"/>
  <c r="BZ12" i="2"/>
  <c r="BZ10" i="2"/>
  <c r="BZ8" i="2"/>
  <c r="BZ6" i="2"/>
  <c r="CA182" i="2"/>
  <c r="CA178" i="2"/>
  <c r="CA174" i="2"/>
  <c r="CA162" i="2"/>
  <c r="CA158" i="2"/>
  <c r="CA154" i="2"/>
  <c r="CA150" i="2"/>
  <c r="CA146" i="2"/>
  <c r="CA142" i="2"/>
  <c r="CA138" i="2"/>
  <c r="CA134" i="2"/>
  <c r="CA130" i="2"/>
  <c r="CA126" i="2"/>
  <c r="CA122" i="2"/>
  <c r="CA118" i="2"/>
  <c r="CA114" i="2"/>
  <c r="CA110" i="2"/>
  <c r="CA106" i="2"/>
  <c r="CA102" i="2"/>
  <c r="CA98" i="2"/>
  <c r="CA94" i="2"/>
  <c r="CA50" i="2"/>
  <c r="CA26" i="2"/>
  <c r="CA23" i="2"/>
  <c r="CA19" i="2"/>
  <c r="CA15" i="2"/>
  <c r="CA11" i="2"/>
  <c r="CA7" i="2"/>
  <c r="CB135" i="2"/>
  <c r="CB131" i="2"/>
  <c r="CB127" i="2"/>
  <c r="CB123" i="2"/>
  <c r="CB119" i="2"/>
  <c r="CB115" i="2"/>
  <c r="CB111" i="2"/>
  <c r="CB103" i="2"/>
  <c r="CB99" i="2"/>
  <c r="CB51" i="2"/>
  <c r="CB47" i="2"/>
  <c r="CB43" i="2"/>
  <c r="CB39" i="2"/>
  <c r="CB35" i="2"/>
  <c r="CB31" i="2"/>
  <c r="CB29" i="2"/>
  <c r="CB27" i="2"/>
  <c r="CB25" i="2"/>
  <c r="CB20" i="2"/>
  <c r="CB18" i="2"/>
  <c r="CB16" i="2"/>
  <c r="CB14" i="2"/>
  <c r="CB12" i="2"/>
  <c r="CB10" i="2"/>
  <c r="BL275" i="2"/>
  <c r="BL271" i="2"/>
  <c r="BM261" i="2"/>
  <c r="BY261" i="2" s="1"/>
  <c r="BL261" i="2"/>
  <c r="BL251" i="2"/>
  <c r="BM241" i="2"/>
  <c r="BY241" i="2" s="1"/>
  <c r="BL241" i="2"/>
  <c r="BL239" i="2"/>
  <c r="BM237" i="2"/>
  <c r="BY237" i="2" s="1"/>
  <c r="BL237" i="2"/>
  <c r="BM229" i="2"/>
  <c r="BY229" i="2" s="1"/>
  <c r="BL229" i="2"/>
  <c r="BM221" i="2"/>
  <c r="BY221" i="2" s="1"/>
  <c r="BL221" i="2"/>
  <c r="BL219" i="2"/>
  <c r="BL211" i="2"/>
  <c r="BM154" i="2"/>
  <c r="BL154" i="2"/>
  <c r="BM140" i="2"/>
  <c r="BL140" i="2"/>
  <c r="BM136" i="2"/>
  <c r="BY136" i="2" s="1"/>
  <c r="BL136" i="2"/>
  <c r="BM112" i="2"/>
  <c r="BY112" i="2" s="1"/>
  <c r="BL112" i="2"/>
  <c r="BM92" i="2"/>
  <c r="BY92" i="2" s="1"/>
  <c r="BL92" i="2"/>
  <c r="BM78" i="2"/>
  <c r="BY78" i="2" s="1"/>
  <c r="BL78" i="2"/>
  <c r="BM70" i="2"/>
  <c r="BY70" i="2" s="1"/>
  <c r="BL70" i="2"/>
  <c r="BM64" i="2"/>
  <c r="BY64" i="2" s="1"/>
  <c r="BL64" i="2"/>
  <c r="BM60" i="2"/>
  <c r="BY60" i="2" s="1"/>
  <c r="BL60" i="2"/>
  <c r="BM19" i="2"/>
  <c r="BY19" i="2" s="1"/>
  <c r="BL19" i="2"/>
  <c r="BM11" i="2"/>
  <c r="BY11" i="2" s="1"/>
  <c r="BL11" i="2"/>
  <c r="BM5" i="2"/>
  <c r="BY5" i="2" s="1"/>
  <c r="BL5" i="2"/>
  <c r="BL267" i="2"/>
  <c r="BL263" i="2"/>
  <c r="BL255" i="2"/>
  <c r="BL235" i="2"/>
  <c r="BM233" i="2"/>
  <c r="BY233" i="2" s="1"/>
  <c r="BL233" i="2"/>
  <c r="BM225" i="2"/>
  <c r="BY225" i="2" s="1"/>
  <c r="BL225" i="2"/>
  <c r="BM205" i="2"/>
  <c r="BY205" i="2" s="1"/>
  <c r="BL205" i="2"/>
  <c r="BM201" i="2"/>
  <c r="BY201" i="2" s="1"/>
  <c r="BL201" i="2"/>
  <c r="BL176" i="2"/>
  <c r="BM174" i="2"/>
  <c r="BY174" i="2" s="1"/>
  <c r="BL174" i="2"/>
  <c r="BL172" i="2"/>
  <c r="BL168" i="2"/>
  <c r="BM166" i="2"/>
  <c r="BY166" i="2" s="1"/>
  <c r="BL166" i="2"/>
  <c r="BM152" i="2"/>
  <c r="BL152" i="2"/>
  <c r="BM148" i="2"/>
  <c r="BL148" i="2"/>
  <c r="BM120" i="2"/>
  <c r="BY120" i="2" s="1"/>
  <c r="BL120" i="2"/>
  <c r="BM118" i="2"/>
  <c r="BY118" i="2" s="1"/>
  <c r="BL118" i="2"/>
  <c r="BM110" i="2"/>
  <c r="BY110" i="2" s="1"/>
  <c r="BL110" i="2"/>
  <c r="BM104" i="2"/>
  <c r="BY104" i="2" s="1"/>
  <c r="BL104" i="2"/>
  <c r="BM94" i="2"/>
  <c r="BY94" i="2" s="1"/>
  <c r="BL94" i="2"/>
  <c r="BM90" i="2"/>
  <c r="BY90" i="2" s="1"/>
  <c r="BL90" i="2"/>
  <c r="BM82" i="2"/>
  <c r="BL82" i="2"/>
  <c r="BM72" i="2"/>
  <c r="BY72" i="2" s="1"/>
  <c r="BL72" i="2"/>
  <c r="BM56" i="2"/>
  <c r="BY56" i="2" s="1"/>
  <c r="BL56" i="2"/>
  <c r="BM34" i="2"/>
  <c r="BY34" i="2" s="1"/>
  <c r="BL34" i="2"/>
  <c r="BM28" i="2"/>
  <c r="BY28" i="2" s="1"/>
  <c r="BL28" i="2"/>
  <c r="BM7" i="2"/>
  <c r="BY7" i="2" s="1"/>
  <c r="BL7" i="2"/>
  <c r="BM277" i="2"/>
  <c r="BY277" i="2" s="1"/>
  <c r="BL277" i="2"/>
  <c r="BM265" i="2"/>
  <c r="BY265" i="2" s="1"/>
  <c r="BL265" i="2"/>
  <c r="BL259" i="2"/>
  <c r="BM257" i="2"/>
  <c r="BY257" i="2" s="1"/>
  <c r="BL257" i="2"/>
  <c r="BM253" i="2"/>
  <c r="BY253" i="2" s="1"/>
  <c r="BL253" i="2"/>
  <c r="BM249" i="2"/>
  <c r="BY249" i="2" s="1"/>
  <c r="BL249" i="2"/>
  <c r="BL223" i="2"/>
  <c r="BM217" i="2"/>
  <c r="BY217" i="2" s="1"/>
  <c r="BL217" i="2"/>
  <c r="BL215" i="2"/>
  <c r="BM209" i="2"/>
  <c r="BY209" i="2" s="1"/>
  <c r="BL209" i="2"/>
  <c r="BL207" i="2"/>
  <c r="BL199" i="2"/>
  <c r="BM197" i="2"/>
  <c r="BY197" i="2" s="1"/>
  <c r="BL197" i="2"/>
  <c r="BL191" i="2"/>
  <c r="BL184" i="2"/>
  <c r="BL156" i="2"/>
  <c r="BM150" i="2"/>
  <c r="BL150" i="2"/>
  <c r="BM144" i="2"/>
  <c r="BL144" i="2"/>
  <c r="BM138" i="2"/>
  <c r="BY138" i="2" s="1"/>
  <c r="BL138" i="2"/>
  <c r="BM126" i="2"/>
  <c r="BY126" i="2" s="1"/>
  <c r="BL126" i="2"/>
  <c r="BM114" i="2"/>
  <c r="BY114" i="2" s="1"/>
  <c r="BL114" i="2"/>
  <c r="BM100" i="2"/>
  <c r="BY100" i="2" s="1"/>
  <c r="BL100" i="2"/>
  <c r="BM30" i="2"/>
  <c r="BY30" i="2" s="1"/>
  <c r="BL30" i="2"/>
  <c r="BM23" i="2"/>
  <c r="BY23" i="2" s="1"/>
  <c r="BL23" i="2"/>
  <c r="BM17" i="2"/>
  <c r="BY17" i="2" s="1"/>
  <c r="BL17" i="2"/>
  <c r="BM9" i="2"/>
  <c r="BY9" i="2" s="1"/>
  <c r="BL9" i="2"/>
  <c r="BM3" i="2"/>
  <c r="BL3" i="2"/>
  <c r="BM128" i="2"/>
  <c r="BY128" i="2" s="1"/>
  <c r="BL128" i="2"/>
  <c r="BM124" i="2"/>
  <c r="BY124" i="2" s="1"/>
  <c r="BL124" i="2"/>
  <c r="BM116" i="2"/>
  <c r="BY116" i="2" s="1"/>
  <c r="BL116" i="2"/>
  <c r="BM108" i="2"/>
  <c r="BY108" i="2" s="1"/>
  <c r="BL108" i="2"/>
  <c r="BM102" i="2"/>
  <c r="BY102" i="2" s="1"/>
  <c r="BL102" i="2"/>
  <c r="BM98" i="2"/>
  <c r="BY98" i="2" s="1"/>
  <c r="BL98" i="2"/>
  <c r="BM96" i="2"/>
  <c r="BY96" i="2" s="1"/>
  <c r="BL96" i="2"/>
  <c r="BM80" i="2"/>
  <c r="BY80" i="2" s="1"/>
  <c r="BL80" i="2"/>
  <c r="BM50" i="2"/>
  <c r="BY50" i="2" s="1"/>
  <c r="BL50" i="2"/>
  <c r="BM44" i="2"/>
  <c r="BY44" i="2" s="1"/>
  <c r="BL44" i="2"/>
  <c r="BM42" i="2"/>
  <c r="BY42" i="2" s="1"/>
  <c r="BL42" i="2"/>
  <c r="BM40" i="2"/>
  <c r="BY40" i="2" s="1"/>
  <c r="BL40" i="2"/>
  <c r="BM38" i="2"/>
  <c r="BY38" i="2" s="1"/>
  <c r="BL38" i="2"/>
  <c r="BM32" i="2"/>
  <c r="BY32" i="2" s="1"/>
  <c r="BL32" i="2"/>
  <c r="BM26" i="2"/>
  <c r="BY26" i="2" s="1"/>
  <c r="BL26" i="2"/>
  <c r="BM24" i="2"/>
  <c r="BY24" i="2" s="1"/>
  <c r="BL24" i="2"/>
  <c r="BL274" i="2"/>
  <c r="BL272" i="2"/>
  <c r="BL268" i="2"/>
  <c r="BL266" i="2"/>
  <c r="BL260" i="2"/>
  <c r="BL254" i="2"/>
  <c r="BL252" i="2"/>
  <c r="BL250" i="2"/>
  <c r="BL244" i="2"/>
  <c r="BL242" i="2"/>
  <c r="BL236" i="2"/>
  <c r="BL228" i="2"/>
  <c r="BL226" i="2"/>
  <c r="BL220" i="2"/>
  <c r="BL218" i="2"/>
  <c r="BL216" i="2"/>
  <c r="BL214" i="2"/>
  <c r="BL210" i="2"/>
  <c r="BL204" i="2"/>
  <c r="BL202" i="2"/>
  <c r="BL200" i="2"/>
  <c r="BL196" i="2"/>
  <c r="BL194" i="2"/>
  <c r="BL187" i="2"/>
  <c r="BL181" i="2"/>
  <c r="BL177" i="2"/>
  <c r="BL173" i="2"/>
  <c r="BL171" i="2"/>
  <c r="BL167" i="2"/>
  <c r="BL163" i="2"/>
  <c r="BL159" i="2"/>
  <c r="BL155" i="2"/>
  <c r="BL151" i="2"/>
  <c r="BL143" i="2"/>
  <c r="BL139" i="2"/>
  <c r="BL135" i="2"/>
  <c r="BL131" i="2"/>
  <c r="BL127" i="2"/>
  <c r="BL123" i="2"/>
  <c r="BL117" i="2"/>
  <c r="BL113" i="2"/>
  <c r="BL109" i="2"/>
  <c r="BL105" i="2"/>
  <c r="BL103" i="2"/>
  <c r="BL101" i="2"/>
  <c r="BL99" i="2"/>
  <c r="BL97" i="2"/>
  <c r="BL95" i="2"/>
  <c r="BL93" i="2"/>
  <c r="BL91" i="2"/>
  <c r="BL89" i="2"/>
  <c r="BL87" i="2"/>
  <c r="BL85" i="2"/>
  <c r="BL83" i="2"/>
  <c r="BM81" i="2"/>
  <c r="BL81" i="2"/>
  <c r="BL79" i="2"/>
  <c r="BM77" i="2"/>
  <c r="BL77" i="2"/>
  <c r="BL75" i="2"/>
  <c r="BM73" i="2"/>
  <c r="BL73" i="2"/>
  <c r="BL71" i="2"/>
  <c r="BM69" i="2"/>
  <c r="BL69" i="2"/>
  <c r="BL67" i="2"/>
  <c r="BM65" i="2"/>
  <c r="BL65" i="2"/>
  <c r="BL63" i="2"/>
  <c r="BM61" i="2"/>
  <c r="BL61" i="2"/>
  <c r="BL59" i="2"/>
  <c r="BM57" i="2"/>
  <c r="BL57" i="2"/>
  <c r="BL55" i="2"/>
  <c r="BM53" i="2"/>
  <c r="BL53" i="2"/>
  <c r="BL51" i="2"/>
  <c r="BM49" i="2"/>
  <c r="BL49" i="2"/>
  <c r="BM47" i="2"/>
  <c r="BY47" i="2" s="1"/>
  <c r="BL47" i="2"/>
  <c r="BM45" i="2"/>
  <c r="BL45" i="2"/>
  <c r="BM43" i="2"/>
  <c r="BY43" i="2" s="1"/>
  <c r="BL43" i="2"/>
  <c r="BM41" i="2"/>
  <c r="BL41" i="2"/>
  <c r="BM39" i="2"/>
  <c r="BY39" i="2" s="1"/>
  <c r="BL39" i="2"/>
  <c r="BM37" i="2"/>
  <c r="BL37" i="2"/>
  <c r="BM35" i="2"/>
  <c r="BY35" i="2" s="1"/>
  <c r="BL35" i="2"/>
  <c r="BM33" i="2"/>
  <c r="BL33" i="2"/>
  <c r="BM31" i="2"/>
  <c r="BY31" i="2" s="1"/>
  <c r="BL31" i="2"/>
  <c r="BM29" i="2"/>
  <c r="BL29" i="2"/>
  <c r="BM27" i="2"/>
  <c r="BY27" i="2" s="1"/>
  <c r="BL27" i="2"/>
  <c r="BM25" i="2"/>
  <c r="BY25" i="2" s="1"/>
  <c r="BL25" i="2"/>
  <c r="BM22" i="2"/>
  <c r="BL22" i="2"/>
  <c r="BL20" i="2"/>
  <c r="BM18" i="2"/>
  <c r="BY18" i="2" s="1"/>
  <c r="BL18" i="2"/>
  <c r="BM16" i="2"/>
  <c r="BY16" i="2" s="1"/>
  <c r="BL16" i="2"/>
  <c r="BM14" i="2"/>
  <c r="BY14" i="2" s="1"/>
  <c r="BL14" i="2"/>
  <c r="BM12" i="2"/>
  <c r="BY12" i="2" s="1"/>
  <c r="BL12" i="2"/>
  <c r="BM10" i="2"/>
  <c r="BY10" i="2" s="1"/>
  <c r="BL10" i="2"/>
  <c r="BM8" i="2"/>
  <c r="BY8" i="2" s="1"/>
  <c r="BL8" i="2"/>
  <c r="BM6" i="2"/>
  <c r="BY6" i="2" s="1"/>
  <c r="BL6" i="2"/>
  <c r="BM4" i="2"/>
  <c r="BY4" i="2" s="1"/>
  <c r="BL4" i="2"/>
  <c r="BM273" i="2"/>
  <c r="BY273" i="2" s="1"/>
  <c r="BL273" i="2"/>
  <c r="BM269" i="2"/>
  <c r="BY269" i="2" s="1"/>
  <c r="BL269" i="2"/>
  <c r="BL247" i="2"/>
  <c r="BM245" i="2"/>
  <c r="BY245" i="2" s="1"/>
  <c r="BL245" i="2"/>
  <c r="BL243" i="2"/>
  <c r="BL231" i="2"/>
  <c r="BL227" i="2"/>
  <c r="BM213" i="2"/>
  <c r="BY213" i="2" s="1"/>
  <c r="BL213" i="2"/>
  <c r="BL203" i="2"/>
  <c r="BL195" i="2"/>
  <c r="BM193" i="2"/>
  <c r="BY193" i="2" s="1"/>
  <c r="BL193" i="2"/>
  <c r="BL188" i="2"/>
  <c r="BM186" i="2"/>
  <c r="BY186" i="2" s="1"/>
  <c r="BL186" i="2"/>
  <c r="BM182" i="2"/>
  <c r="BY182" i="2" s="1"/>
  <c r="BL182" i="2"/>
  <c r="BL180" i="2"/>
  <c r="BM178" i="2"/>
  <c r="BY178" i="2" s="1"/>
  <c r="BL178" i="2"/>
  <c r="BM170" i="2"/>
  <c r="BY170" i="2" s="1"/>
  <c r="BL170" i="2"/>
  <c r="BL164" i="2"/>
  <c r="BM162" i="2"/>
  <c r="BY162" i="2" s="1"/>
  <c r="BL162" i="2"/>
  <c r="BL160" i="2"/>
  <c r="BM158" i="2"/>
  <c r="BL158" i="2"/>
  <c r="BM146" i="2"/>
  <c r="BY146" i="2" s="1"/>
  <c r="BL146" i="2"/>
  <c r="BM142" i="2"/>
  <c r="BY142" i="2" s="1"/>
  <c r="BL142" i="2"/>
  <c r="BM134" i="2"/>
  <c r="BY134" i="2" s="1"/>
  <c r="BL134" i="2"/>
  <c r="BM132" i="2"/>
  <c r="BY132" i="2" s="1"/>
  <c r="BL132" i="2"/>
  <c r="BM130" i="2"/>
  <c r="BY130" i="2" s="1"/>
  <c r="BL130" i="2"/>
  <c r="BM122" i="2"/>
  <c r="BY122" i="2" s="1"/>
  <c r="BL122" i="2"/>
  <c r="BM106" i="2"/>
  <c r="BY106" i="2" s="1"/>
  <c r="BL106" i="2"/>
  <c r="BM88" i="2"/>
  <c r="BY88" i="2" s="1"/>
  <c r="BL88" i="2"/>
  <c r="BM86" i="2"/>
  <c r="BY86" i="2" s="1"/>
  <c r="BL86" i="2"/>
  <c r="BM84" i="2"/>
  <c r="BY84" i="2" s="1"/>
  <c r="BL84" i="2"/>
  <c r="BM76" i="2"/>
  <c r="BY76" i="2" s="1"/>
  <c r="BL76" i="2"/>
  <c r="BM74" i="2"/>
  <c r="BY74" i="2" s="1"/>
  <c r="BL74" i="2"/>
  <c r="BM68" i="2"/>
  <c r="BY68" i="2" s="1"/>
  <c r="BL68" i="2"/>
  <c r="BM66" i="2"/>
  <c r="BY66" i="2" s="1"/>
  <c r="BL66" i="2"/>
  <c r="BM62" i="2"/>
  <c r="BY62" i="2" s="1"/>
  <c r="BL62" i="2"/>
  <c r="BM58" i="2"/>
  <c r="BY58" i="2" s="1"/>
  <c r="BL58" i="2"/>
  <c r="BM54" i="2"/>
  <c r="BY54" i="2" s="1"/>
  <c r="BL54" i="2"/>
  <c r="BM52" i="2"/>
  <c r="BY52" i="2" s="1"/>
  <c r="BL52" i="2"/>
  <c r="BM48" i="2"/>
  <c r="BY48" i="2" s="1"/>
  <c r="BL48" i="2"/>
  <c r="BM46" i="2"/>
  <c r="BY46" i="2" s="1"/>
  <c r="BL46" i="2"/>
  <c r="BM36" i="2"/>
  <c r="BY36" i="2" s="1"/>
  <c r="BL36" i="2"/>
  <c r="BM21" i="2"/>
  <c r="BY21" i="2" s="1"/>
  <c r="BL21" i="2"/>
  <c r="BM15" i="2"/>
  <c r="BY15" i="2" s="1"/>
  <c r="BL15" i="2"/>
  <c r="BM13" i="2"/>
  <c r="BY13" i="2" s="1"/>
  <c r="BL13" i="2"/>
  <c r="BL276" i="2"/>
  <c r="BL270" i="2"/>
  <c r="BL264" i="2"/>
  <c r="BL262" i="2"/>
  <c r="BL258" i="2"/>
  <c r="BL256" i="2"/>
  <c r="BL248" i="2"/>
  <c r="BL246" i="2"/>
  <c r="BL240" i="2"/>
  <c r="BL238" i="2"/>
  <c r="BL234" i="2"/>
  <c r="BL232" i="2"/>
  <c r="BL230" i="2"/>
  <c r="BL224" i="2"/>
  <c r="BL222" i="2"/>
  <c r="BL212" i="2"/>
  <c r="BL208" i="2"/>
  <c r="BL206" i="2"/>
  <c r="BL198" i="2"/>
  <c r="BL192" i="2"/>
  <c r="BL190" i="2"/>
  <c r="BL189" i="2"/>
  <c r="BL185" i="2"/>
  <c r="BL183" i="2"/>
  <c r="BL179" i="2"/>
  <c r="BL175" i="2"/>
  <c r="BL169" i="2"/>
  <c r="BL165" i="2"/>
  <c r="BL161" i="2"/>
  <c r="BL157" i="2"/>
  <c r="BL153" i="2"/>
  <c r="BL149" i="2"/>
  <c r="BL147" i="2"/>
  <c r="BL145" i="2"/>
  <c r="BL141" i="2"/>
  <c r="BL137" i="2"/>
  <c r="BL133" i="2"/>
  <c r="BL129" i="2"/>
  <c r="BL125" i="2"/>
  <c r="BL121" i="2"/>
  <c r="BL119" i="2"/>
  <c r="BL115" i="2"/>
  <c r="BL111" i="2"/>
  <c r="BL107" i="2"/>
  <c r="BS272" i="2"/>
  <c r="BS264" i="2"/>
  <c r="BS248" i="2"/>
  <c r="BW243" i="2"/>
  <c r="BW239" i="2"/>
  <c r="BS232" i="2"/>
  <c r="BS274" i="2"/>
  <c r="BS260" i="2"/>
  <c r="BO255" i="2"/>
  <c r="BS254" i="2"/>
  <c r="BW247" i="2"/>
  <c r="BO243" i="2"/>
  <c r="BS238" i="2"/>
  <c r="BS224" i="2"/>
  <c r="BS218" i="2"/>
  <c r="BS216" i="2"/>
  <c r="BW199" i="2"/>
  <c r="BS196" i="2"/>
  <c r="BW191" i="2"/>
  <c r="BO191" i="2"/>
  <c r="BS171" i="2"/>
  <c r="BW168" i="2"/>
  <c r="BS163" i="2"/>
  <c r="BW160" i="2"/>
  <c r="BO158" i="2"/>
  <c r="BS155" i="2"/>
  <c r="BO152" i="2"/>
  <c r="BS149" i="2"/>
  <c r="BS145" i="2"/>
  <c r="BS125" i="2"/>
  <c r="BR274" i="2"/>
  <c r="BN271" i="2"/>
  <c r="BV267" i="2"/>
  <c r="BR264" i="2"/>
  <c r="BR246" i="2"/>
  <c r="BV243" i="2"/>
  <c r="BR240" i="2"/>
  <c r="BR238" i="2"/>
  <c r="BR236" i="2"/>
  <c r="BR234" i="2"/>
  <c r="BR232" i="2"/>
  <c r="BR230" i="2"/>
  <c r="BV227" i="2"/>
  <c r="BN223" i="2"/>
  <c r="BV219" i="2"/>
  <c r="BR216" i="2"/>
  <c r="BV215" i="2"/>
  <c r="BN215" i="2"/>
  <c r="BR210" i="2"/>
  <c r="BR208" i="2"/>
  <c r="BR206" i="2"/>
  <c r="BR204" i="2"/>
  <c r="BN203" i="2"/>
  <c r="BR198" i="2"/>
  <c r="BR189" i="2"/>
  <c r="BR181" i="2"/>
  <c r="BR177" i="2"/>
  <c r="BR163" i="2"/>
  <c r="BN160" i="2"/>
  <c r="BN156" i="2"/>
  <c r="BR153" i="2"/>
  <c r="BR149" i="2"/>
  <c r="BR125" i="2"/>
  <c r="BM275" i="2"/>
  <c r="BU271" i="2"/>
  <c r="BQ268" i="2"/>
  <c r="BM255" i="2"/>
  <c r="BQ254" i="2"/>
  <c r="BQ230" i="2"/>
  <c r="BQ226" i="2"/>
  <c r="BQ222" i="2"/>
  <c r="BQ218" i="2"/>
  <c r="BQ212" i="2"/>
  <c r="BM199" i="2"/>
  <c r="BQ189" i="2"/>
  <c r="BQ181" i="2"/>
  <c r="BQ177" i="2"/>
  <c r="BQ159" i="2"/>
  <c r="BQ125" i="2"/>
  <c r="BQ121" i="2"/>
  <c r="BQ53" i="2"/>
  <c r="BS276" i="2"/>
  <c r="BW271" i="2"/>
  <c r="BO267" i="2"/>
  <c r="BS262" i="2"/>
  <c r="BW259" i="2"/>
  <c r="BS250" i="2"/>
  <c r="BS236" i="2"/>
  <c r="BW231" i="2"/>
  <c r="BS230" i="2"/>
  <c r="BO227" i="2"/>
  <c r="BS214" i="2"/>
  <c r="BO211" i="2"/>
  <c r="BW207" i="2"/>
  <c r="BS198" i="2"/>
  <c r="BW195" i="2"/>
  <c r="BW188" i="2"/>
  <c r="BS183" i="2"/>
  <c r="BO180" i="2"/>
  <c r="BO176" i="2"/>
  <c r="BO168" i="2"/>
  <c r="BS165" i="2"/>
  <c r="BO160" i="2"/>
  <c r="BW156" i="2"/>
  <c r="BS153" i="2"/>
  <c r="BO148" i="2"/>
  <c r="BO144" i="2"/>
  <c r="BO140" i="2"/>
  <c r="BW136" i="2"/>
  <c r="CB136" i="2" s="1"/>
  <c r="BN275" i="2"/>
  <c r="BV271" i="2"/>
  <c r="BR266" i="2"/>
  <c r="BN263" i="2"/>
  <c r="BV259" i="2"/>
  <c r="BN255" i="2"/>
  <c r="BR250" i="2"/>
  <c r="BV247" i="2"/>
  <c r="BR244" i="2"/>
  <c r="BN239" i="2"/>
  <c r="BV231" i="2"/>
  <c r="BR228" i="2"/>
  <c r="BR226" i="2"/>
  <c r="BV223" i="2"/>
  <c r="BR220" i="2"/>
  <c r="BR218" i="2"/>
  <c r="BR212" i="2"/>
  <c r="BV199" i="2"/>
  <c r="BV191" i="2"/>
  <c r="BV188" i="2"/>
  <c r="BR179" i="2"/>
  <c r="BR175" i="2"/>
  <c r="BN172" i="2"/>
  <c r="BN168" i="2"/>
  <c r="BV164" i="2"/>
  <c r="BR161" i="2"/>
  <c r="BR129" i="2"/>
  <c r="BQ274" i="2"/>
  <c r="BM271" i="2"/>
  <c r="BU267" i="2"/>
  <c r="BQ264" i="2"/>
  <c r="BQ260" i="2"/>
  <c r="BU251" i="2"/>
  <c r="BU247" i="2"/>
  <c r="BU243" i="2"/>
  <c r="BQ240" i="2"/>
  <c r="BQ236" i="2"/>
  <c r="BM231" i="2"/>
  <c r="BU227" i="2"/>
  <c r="BU223" i="2"/>
  <c r="BQ220" i="2"/>
  <c r="BU215" i="2"/>
  <c r="BM215" i="2"/>
  <c r="BU211" i="2"/>
  <c r="BU207" i="2"/>
  <c r="BM203" i="2"/>
  <c r="BU188" i="2"/>
  <c r="BQ185" i="2"/>
  <c r="BU184" i="2"/>
  <c r="BM184" i="2"/>
  <c r="BM180" i="2"/>
  <c r="BM176" i="2"/>
  <c r="BM172" i="2"/>
  <c r="BM168" i="2"/>
  <c r="BM164" i="2"/>
  <c r="BU160" i="2"/>
  <c r="BQ157" i="2"/>
  <c r="BQ141" i="2"/>
  <c r="BQ137" i="2"/>
  <c r="BQ129" i="2"/>
  <c r="BQ57" i="2"/>
  <c r="BQ49" i="2"/>
  <c r="BX276" i="2"/>
  <c r="BP276" i="2"/>
  <c r="BT275" i="2"/>
  <c r="BX274" i="2"/>
  <c r="BP274" i="2"/>
  <c r="BX272" i="2"/>
  <c r="BP272" i="2"/>
  <c r="BT271" i="2"/>
  <c r="BX270" i="2"/>
  <c r="BP270" i="2"/>
  <c r="BX268" i="2"/>
  <c r="BP268" i="2"/>
  <c r="BT267" i="2"/>
  <c r="BX266" i="2"/>
  <c r="BP266" i="2"/>
  <c r="BX264" i="2"/>
  <c r="BP264" i="2"/>
  <c r="BT263" i="2"/>
  <c r="BX262" i="2"/>
  <c r="BP262" i="2"/>
  <c r="BX260" i="2"/>
  <c r="BP260" i="2"/>
  <c r="BT259" i="2"/>
  <c r="BX258" i="2"/>
  <c r="BP258" i="2"/>
  <c r="BX256" i="2"/>
  <c r="BP256" i="2"/>
  <c r="BT255" i="2"/>
  <c r="BX254" i="2"/>
  <c r="BP254" i="2"/>
  <c r="BX252" i="2"/>
  <c r="BP252" i="2"/>
  <c r="BT251" i="2"/>
  <c r="BX250" i="2"/>
  <c r="BP250" i="2"/>
  <c r="BX248" i="2"/>
  <c r="BP248" i="2"/>
  <c r="BT247" i="2"/>
  <c r="BX246" i="2"/>
  <c r="BP246" i="2"/>
  <c r="BX244" i="2"/>
  <c r="BP244" i="2"/>
  <c r="BT243" i="2"/>
  <c r="BX242" i="2"/>
  <c r="BP242" i="2"/>
  <c r="BX240" i="2"/>
  <c r="BP240" i="2"/>
  <c r="BT239" i="2"/>
  <c r="BX238" i="2"/>
  <c r="BP238" i="2"/>
  <c r="BX236" i="2"/>
  <c r="BP236" i="2"/>
  <c r="BT235" i="2"/>
  <c r="BX234" i="2"/>
  <c r="BP234" i="2"/>
  <c r="BX232" i="2"/>
  <c r="BP232" i="2"/>
  <c r="BT231" i="2"/>
  <c r="BX230" i="2"/>
  <c r="BP230" i="2"/>
  <c r="BX228" i="2"/>
  <c r="BP228" i="2"/>
  <c r="BT227" i="2"/>
  <c r="BX226" i="2"/>
  <c r="BP226" i="2"/>
  <c r="BX224" i="2"/>
  <c r="BP224" i="2"/>
  <c r="BT223" i="2"/>
  <c r="BX222" i="2"/>
  <c r="BP222" i="2"/>
  <c r="BX220" i="2"/>
  <c r="BP220" i="2"/>
  <c r="BT219" i="2"/>
  <c r="BX218" i="2"/>
  <c r="BP218" i="2"/>
  <c r="BX216" i="2"/>
  <c r="BP216" i="2"/>
  <c r="BT215" i="2"/>
  <c r="BX214" i="2"/>
  <c r="BP214" i="2"/>
  <c r="BX212" i="2"/>
  <c r="BP212" i="2"/>
  <c r="BT211" i="2"/>
  <c r="BX210" i="2"/>
  <c r="BP210" i="2"/>
  <c r="BX208" i="2"/>
  <c r="BP208" i="2"/>
  <c r="BT207" i="2"/>
  <c r="BX206" i="2"/>
  <c r="BP206" i="2"/>
  <c r="BX204" i="2"/>
  <c r="BP204" i="2"/>
  <c r="BT203" i="2"/>
  <c r="BX202" i="2"/>
  <c r="BP202" i="2"/>
  <c r="BX200" i="2"/>
  <c r="BP200" i="2"/>
  <c r="BT199" i="2"/>
  <c r="BX198" i="2"/>
  <c r="BP198" i="2"/>
  <c r="BX196" i="2"/>
  <c r="BP196" i="2"/>
  <c r="BT195" i="2"/>
  <c r="BX194" i="2"/>
  <c r="BP194" i="2"/>
  <c r="BX192" i="2"/>
  <c r="BP192" i="2"/>
  <c r="BT191" i="2"/>
  <c r="BX190" i="2"/>
  <c r="BP190" i="2"/>
  <c r="BX189" i="2"/>
  <c r="BP189" i="2"/>
  <c r="BT188" i="2"/>
  <c r="BX187" i="2"/>
  <c r="BP187" i="2"/>
  <c r="BX185" i="2"/>
  <c r="BP185" i="2"/>
  <c r="BT184" i="2"/>
  <c r="BX183" i="2"/>
  <c r="BP183" i="2"/>
  <c r="BX181" i="2"/>
  <c r="BP181" i="2"/>
  <c r="BT180" i="2"/>
  <c r="BX179" i="2"/>
  <c r="BP179" i="2"/>
  <c r="BX177" i="2"/>
  <c r="BP177" i="2"/>
  <c r="BT176" i="2"/>
  <c r="BX175" i="2"/>
  <c r="BP175" i="2"/>
  <c r="BX173" i="2"/>
  <c r="BP173" i="2"/>
  <c r="BT172" i="2"/>
  <c r="BX171" i="2"/>
  <c r="BP171" i="2"/>
  <c r="BX169" i="2"/>
  <c r="BP169" i="2"/>
  <c r="BT168" i="2"/>
  <c r="BX167" i="2"/>
  <c r="BP167" i="2"/>
  <c r="BO275" i="2"/>
  <c r="BO271" i="2"/>
  <c r="BO259" i="2"/>
  <c r="BW251" i="2"/>
  <c r="BO247" i="2"/>
  <c r="BO231" i="2"/>
  <c r="BW227" i="2"/>
  <c r="BO219" i="2"/>
  <c r="BW215" i="2"/>
  <c r="BO203" i="2"/>
  <c r="BW197" i="2"/>
  <c r="BO195" i="2"/>
  <c r="BS192" i="2"/>
  <c r="BW180" i="2"/>
  <c r="BS177" i="2"/>
  <c r="BW172" i="2"/>
  <c r="BW140" i="2"/>
  <c r="CB140" i="2" s="1"/>
  <c r="BS137" i="2"/>
  <c r="BS133" i="2"/>
  <c r="BV275" i="2"/>
  <c r="BR272" i="2"/>
  <c r="BR268" i="2"/>
  <c r="BR262" i="2"/>
  <c r="BN259" i="2"/>
  <c r="BR258" i="2"/>
  <c r="BR256" i="2"/>
  <c r="BR252" i="2"/>
  <c r="BV251" i="2"/>
  <c r="BN251" i="2"/>
  <c r="BN247" i="2"/>
  <c r="BN243" i="2"/>
  <c r="BR214" i="2"/>
  <c r="BN211" i="2"/>
  <c r="BN207" i="2"/>
  <c r="BV203" i="2"/>
  <c r="BR202" i="2"/>
  <c r="BR194" i="2"/>
  <c r="BR187" i="2"/>
  <c r="BR183" i="2"/>
  <c r="BV180" i="2"/>
  <c r="BR171" i="2"/>
  <c r="BV168" i="2"/>
  <c r="BR159" i="2"/>
  <c r="BR157" i="2"/>
  <c r="BR151" i="2"/>
  <c r="BZ151" i="2" s="1"/>
  <c r="BN148" i="2"/>
  <c r="BR145" i="2"/>
  <c r="BR137" i="2"/>
  <c r="BT3" i="2"/>
  <c r="CA3" i="2" s="1"/>
  <c r="BU275" i="2"/>
  <c r="BQ272" i="2"/>
  <c r="BM267" i="2"/>
  <c r="BU263" i="2"/>
  <c r="BM259" i="2"/>
  <c r="BQ258" i="2"/>
  <c r="BQ256" i="2"/>
  <c r="BQ252" i="2"/>
  <c r="BM251" i="2"/>
  <c r="BQ248" i="2"/>
  <c r="BM243" i="2"/>
  <c r="BM239" i="2"/>
  <c r="BU235" i="2"/>
  <c r="BQ232" i="2"/>
  <c r="BQ228" i="2"/>
  <c r="BM223" i="2"/>
  <c r="BM219" i="2"/>
  <c r="BQ214" i="2"/>
  <c r="BQ210" i="2"/>
  <c r="BQ208" i="2"/>
  <c r="BQ206" i="2"/>
  <c r="BU203" i="2"/>
  <c r="BQ202" i="2"/>
  <c r="BQ198" i="2"/>
  <c r="BQ196" i="2"/>
  <c r="BM195" i="2"/>
  <c r="BU191" i="2"/>
  <c r="BM191" i="2"/>
  <c r="BQ187" i="2"/>
  <c r="BQ163" i="2"/>
  <c r="BM156" i="2"/>
  <c r="BQ145" i="2"/>
  <c r="BQ133" i="2"/>
  <c r="BS275" i="2"/>
  <c r="BS271" i="2"/>
  <c r="BS267" i="2"/>
  <c r="BS263" i="2"/>
  <c r="BW258" i="2"/>
  <c r="BS255" i="2"/>
  <c r="BO254" i="2"/>
  <c r="BO252" i="2"/>
  <c r="BS251" i="2"/>
  <c r="BS249" i="2"/>
  <c r="CA249" i="2" s="1"/>
  <c r="BS247" i="2"/>
  <c r="BS245" i="2"/>
  <c r="CA245" i="2" s="1"/>
  <c r="BS243" i="2"/>
  <c r="BO242" i="2"/>
  <c r="BW240" i="2"/>
  <c r="BS239" i="2"/>
  <c r="BO238" i="2"/>
  <c r="BO236" i="2"/>
  <c r="BW234" i="2"/>
  <c r="BW232" i="2"/>
  <c r="BS231" i="2"/>
  <c r="BO228" i="2"/>
  <c r="BS227" i="2"/>
  <c r="BW226" i="2"/>
  <c r="BO226" i="2"/>
  <c r="BW224" i="2"/>
  <c r="BO224" i="2"/>
  <c r="BS223" i="2"/>
  <c r="BW222" i="2"/>
  <c r="BO222" i="2"/>
  <c r="BW220" i="2"/>
  <c r="BO220" i="2"/>
  <c r="BS219" i="2"/>
  <c r="BW218" i="2"/>
  <c r="BO218" i="2"/>
  <c r="BW216" i="2"/>
  <c r="BO216" i="2"/>
  <c r="BS215" i="2"/>
  <c r="BW214" i="2"/>
  <c r="BO214" i="2"/>
  <c r="BW212" i="2"/>
  <c r="BO212" i="2"/>
  <c r="BS211" i="2"/>
  <c r="BW210" i="2"/>
  <c r="BO210" i="2"/>
  <c r="BW208" i="2"/>
  <c r="BO208" i="2"/>
  <c r="BS207" i="2"/>
  <c r="BW206" i="2"/>
  <c r="BO206" i="2"/>
  <c r="BW204" i="2"/>
  <c r="BO204" i="2"/>
  <c r="BS203" i="2"/>
  <c r="BW202" i="2"/>
  <c r="BO202" i="2"/>
  <c r="BW200" i="2"/>
  <c r="BO200" i="2"/>
  <c r="BS199" i="2"/>
  <c r="BW198" i="2"/>
  <c r="BO198" i="2"/>
  <c r="BW196" i="2"/>
  <c r="BO196" i="2"/>
  <c r="BS195" i="2"/>
  <c r="BW194" i="2"/>
  <c r="BO194" i="2"/>
  <c r="BW192" i="2"/>
  <c r="BO192" i="2"/>
  <c r="BS191" i="2"/>
  <c r="BW190" i="2"/>
  <c r="BO190" i="2"/>
  <c r="BW189" i="2"/>
  <c r="BO189" i="2"/>
  <c r="BS188" i="2"/>
  <c r="BW187" i="2"/>
  <c r="BO187" i="2"/>
  <c r="BS186" i="2"/>
  <c r="CA186" i="2" s="1"/>
  <c r="BW185" i="2"/>
  <c r="BO185" i="2"/>
  <c r="BS184" i="2"/>
  <c r="BW183" i="2"/>
  <c r="BO183" i="2"/>
  <c r="BW181" i="2"/>
  <c r="BO181" i="2"/>
  <c r="BS180" i="2"/>
  <c r="BW179" i="2"/>
  <c r="BO179" i="2"/>
  <c r="BW177" i="2"/>
  <c r="BO177" i="2"/>
  <c r="BS176" i="2"/>
  <c r="BW175" i="2"/>
  <c r="BO175" i="2"/>
  <c r="BW173" i="2"/>
  <c r="BO173" i="2"/>
  <c r="BS172" i="2"/>
  <c r="BW171" i="2"/>
  <c r="BO171" i="2"/>
  <c r="BW169" i="2"/>
  <c r="BO169" i="2"/>
  <c r="BS168" i="2"/>
  <c r="BW167" i="2"/>
  <c r="BO167" i="2"/>
  <c r="BW165" i="2"/>
  <c r="BO165" i="2"/>
  <c r="BS164" i="2"/>
  <c r="BW163" i="2"/>
  <c r="BO163" i="2"/>
  <c r="BW161" i="2"/>
  <c r="BO161" i="2"/>
  <c r="BS160" i="2"/>
  <c r="BW159" i="2"/>
  <c r="BO159" i="2"/>
  <c r="BW157" i="2"/>
  <c r="BO157" i="2"/>
  <c r="BS156" i="2"/>
  <c r="BW155" i="2"/>
  <c r="BO155" i="2"/>
  <c r="BW153" i="2"/>
  <c r="BO153" i="2"/>
  <c r="BS152" i="2"/>
  <c r="BW151" i="2"/>
  <c r="BO151" i="2"/>
  <c r="BW149" i="2"/>
  <c r="BO149" i="2"/>
  <c r="BS148" i="2"/>
  <c r="CA148" i="2" s="1"/>
  <c r="BW147" i="2"/>
  <c r="CB147" i="2" s="1"/>
  <c r="BO147" i="2"/>
  <c r="BW145" i="2"/>
  <c r="BO145" i="2"/>
  <c r="BS144" i="2"/>
  <c r="CA144" i="2" s="1"/>
  <c r="BW143" i="2"/>
  <c r="CB143" i="2" s="1"/>
  <c r="BO143" i="2"/>
  <c r="BW141" i="2"/>
  <c r="BO141" i="2"/>
  <c r="BS140" i="2"/>
  <c r="CA140" i="2" s="1"/>
  <c r="BW139" i="2"/>
  <c r="CB139" i="2" s="1"/>
  <c r="BO139" i="2"/>
  <c r="BW137" i="2"/>
  <c r="BO137" i="2"/>
  <c r="BS136" i="2"/>
  <c r="CA136" i="2" s="1"/>
  <c r="BW275" i="2"/>
  <c r="BS270" i="2"/>
  <c r="BS266" i="2"/>
  <c r="BS258" i="2"/>
  <c r="BS252" i="2"/>
  <c r="BO251" i="2"/>
  <c r="BS246" i="2"/>
  <c r="BS242" i="2"/>
  <c r="BO235" i="2"/>
  <c r="BS226" i="2"/>
  <c r="BW223" i="2"/>
  <c r="BS210" i="2"/>
  <c r="BW203" i="2"/>
  <c r="BS202" i="2"/>
  <c r="BS194" i="2"/>
  <c r="BS187" i="2"/>
  <c r="BS181" i="2"/>
  <c r="BW176" i="2"/>
  <c r="BS173" i="2"/>
  <c r="BS167" i="2"/>
  <c r="BW164" i="2"/>
  <c r="BS159" i="2"/>
  <c r="BS157" i="2"/>
  <c r="BW152" i="2"/>
  <c r="BO150" i="2"/>
  <c r="BW144" i="2"/>
  <c r="BS141" i="2"/>
  <c r="BS129" i="2"/>
  <c r="BR270" i="2"/>
  <c r="BN267" i="2"/>
  <c r="BV263" i="2"/>
  <c r="BR260" i="2"/>
  <c r="BV255" i="2"/>
  <c r="BR254" i="2"/>
  <c r="BV235" i="2"/>
  <c r="BN231" i="2"/>
  <c r="BR224" i="2"/>
  <c r="BN219" i="2"/>
  <c r="BV211" i="2"/>
  <c r="BV207" i="2"/>
  <c r="BN199" i="2"/>
  <c r="BR196" i="2"/>
  <c r="BV195" i="2"/>
  <c r="BR190" i="2"/>
  <c r="BN188" i="2"/>
  <c r="BR185" i="2"/>
  <c r="BN184" i="2"/>
  <c r="BN176" i="2"/>
  <c r="BR173" i="2"/>
  <c r="BR167" i="2"/>
  <c r="BN164" i="2"/>
  <c r="BR155" i="2"/>
  <c r="BV152" i="2"/>
  <c r="BR147" i="2"/>
  <c r="BZ147" i="2" s="1"/>
  <c r="BN144" i="2"/>
  <c r="BR141" i="2"/>
  <c r="BR133" i="2"/>
  <c r="BQ276" i="2"/>
  <c r="BM263" i="2"/>
  <c r="BU259" i="2"/>
  <c r="BU255" i="2"/>
  <c r="BM247" i="2"/>
  <c r="BQ244" i="2"/>
  <c r="BU239" i="2"/>
  <c r="BQ234" i="2"/>
  <c r="BU231" i="2"/>
  <c r="BM227" i="2"/>
  <c r="BQ224" i="2"/>
  <c r="BU219" i="2"/>
  <c r="BQ216" i="2"/>
  <c r="BM211" i="2"/>
  <c r="BM207" i="2"/>
  <c r="BQ204" i="2"/>
  <c r="BU199" i="2"/>
  <c r="BQ194" i="2"/>
  <c r="BQ190" i="2"/>
  <c r="BM188" i="2"/>
  <c r="BQ183" i="2"/>
  <c r="BU180" i="2"/>
  <c r="BQ179" i="2"/>
  <c r="BQ175" i="2"/>
  <c r="BQ173" i="2"/>
  <c r="BU172" i="2"/>
  <c r="BQ169" i="2"/>
  <c r="BQ167" i="2"/>
  <c r="BQ165" i="2"/>
  <c r="BM160" i="2"/>
  <c r="BU156" i="2"/>
  <c r="BQ155" i="2"/>
  <c r="BQ153" i="2"/>
  <c r="BN3" i="2"/>
  <c r="BW276" i="2"/>
  <c r="BW274" i="2"/>
  <c r="BO274" i="2"/>
  <c r="BO272" i="2"/>
  <c r="BO270" i="2"/>
  <c r="BO268" i="2"/>
  <c r="BW266" i="2"/>
  <c r="BW264" i="2"/>
  <c r="BW262" i="2"/>
  <c r="BW260" i="2"/>
  <c r="BS259" i="2"/>
  <c r="BW256" i="2"/>
  <c r="BO256" i="2"/>
  <c r="BW254" i="2"/>
  <c r="BW252" i="2"/>
  <c r="BO250" i="2"/>
  <c r="BW248" i="2"/>
  <c r="BW246" i="2"/>
  <c r="BW244" i="2"/>
  <c r="BO244" i="2"/>
  <c r="BW242" i="2"/>
  <c r="BS241" i="2"/>
  <c r="CA241" i="2" s="1"/>
  <c r="BO240" i="2"/>
  <c r="BW238" i="2"/>
  <c r="BS237" i="2"/>
  <c r="CA237" i="2" s="1"/>
  <c r="BW236" i="2"/>
  <c r="BS235" i="2"/>
  <c r="BO234" i="2"/>
  <c r="BO232" i="2"/>
  <c r="BW230" i="2"/>
  <c r="BO230" i="2"/>
  <c r="BW228" i="2"/>
  <c r="BO3" i="2"/>
  <c r="BW3" i="2"/>
  <c r="BV276" i="2"/>
  <c r="BN276" i="2"/>
  <c r="BR275" i="2"/>
  <c r="BV274" i="2"/>
  <c r="BN274" i="2"/>
  <c r="BV272" i="2"/>
  <c r="BN272" i="2"/>
  <c r="BR271" i="2"/>
  <c r="BV270" i="2"/>
  <c r="BN270" i="2"/>
  <c r="BV268" i="2"/>
  <c r="BN268" i="2"/>
  <c r="BR267" i="2"/>
  <c r="BV266" i="2"/>
  <c r="BN266" i="2"/>
  <c r="BV264" i="2"/>
  <c r="BN264" i="2"/>
  <c r="BR263" i="2"/>
  <c r="BV262" i="2"/>
  <c r="BN262" i="2"/>
  <c r="BV260" i="2"/>
  <c r="BN260" i="2"/>
  <c r="BR259" i="2"/>
  <c r="BV258" i="2"/>
  <c r="BN258" i="2"/>
  <c r="BV256" i="2"/>
  <c r="BN256" i="2"/>
  <c r="BR255" i="2"/>
  <c r="BV254" i="2"/>
  <c r="BN254" i="2"/>
  <c r="BV252" i="2"/>
  <c r="BN252" i="2"/>
  <c r="BR251" i="2"/>
  <c r="BV250" i="2"/>
  <c r="BN250" i="2"/>
  <c r="BV248" i="2"/>
  <c r="BN248" i="2"/>
  <c r="BR247" i="2"/>
  <c r="BV246" i="2"/>
  <c r="BN246" i="2"/>
  <c r="BV244" i="2"/>
  <c r="BN244" i="2"/>
  <c r="BR243" i="2"/>
  <c r="BV242" i="2"/>
  <c r="BN242" i="2"/>
  <c r="BV240" i="2"/>
  <c r="BN240" i="2"/>
  <c r="BR239" i="2"/>
  <c r="BV238" i="2"/>
  <c r="BN238" i="2"/>
  <c r="BV236" i="2"/>
  <c r="BN236" i="2"/>
  <c r="BR235" i="2"/>
  <c r="BV234" i="2"/>
  <c r="BN234" i="2"/>
  <c r="BV232" i="2"/>
  <c r="BN232" i="2"/>
  <c r="BR231" i="2"/>
  <c r="BV230" i="2"/>
  <c r="BN230" i="2"/>
  <c r="BV228" i="2"/>
  <c r="BN228" i="2"/>
  <c r="BR227" i="2"/>
  <c r="BV226" i="2"/>
  <c r="BN226" i="2"/>
  <c r="BV224" i="2"/>
  <c r="BN224" i="2"/>
  <c r="BR223" i="2"/>
  <c r="BV222" i="2"/>
  <c r="BN222" i="2"/>
  <c r="BV220" i="2"/>
  <c r="BN220" i="2"/>
  <c r="BR219" i="2"/>
  <c r="BV218" i="2"/>
  <c r="BN218" i="2"/>
  <c r="BV216" i="2"/>
  <c r="BN216" i="2"/>
  <c r="BR215" i="2"/>
  <c r="BV214" i="2"/>
  <c r="BN214" i="2"/>
  <c r="BV212" i="2"/>
  <c r="BN212" i="2"/>
  <c r="BR211" i="2"/>
  <c r="BV210" i="2"/>
  <c r="BN210" i="2"/>
  <c r="BV208" i="2"/>
  <c r="BN208" i="2"/>
  <c r="BR207" i="2"/>
  <c r="BV206" i="2"/>
  <c r="BN206" i="2"/>
  <c r="BV204" i="2"/>
  <c r="BN204" i="2"/>
  <c r="BR203" i="2"/>
  <c r="BV202" i="2"/>
  <c r="BN202" i="2"/>
  <c r="BV200" i="2"/>
  <c r="BN200" i="2"/>
  <c r="BR199" i="2"/>
  <c r="BV198" i="2"/>
  <c r="BN198" i="2"/>
  <c r="BV196" i="2"/>
  <c r="BN196" i="2"/>
  <c r="BR195" i="2"/>
  <c r="BV194" i="2"/>
  <c r="BN194" i="2"/>
  <c r="BV192" i="2"/>
  <c r="BN192" i="2"/>
  <c r="BR191" i="2"/>
  <c r="BV190" i="2"/>
  <c r="BN190" i="2"/>
  <c r="BV189" i="2"/>
  <c r="BN189" i="2"/>
  <c r="BR188" i="2"/>
  <c r="BV187" i="2"/>
  <c r="BN187" i="2"/>
  <c r="BV185" i="2"/>
  <c r="BN185" i="2"/>
  <c r="BR184" i="2"/>
  <c r="BV183" i="2"/>
  <c r="BN183" i="2"/>
  <c r="BV181" i="2"/>
  <c r="BN181" i="2"/>
  <c r="BR180" i="2"/>
  <c r="BV179" i="2"/>
  <c r="BN179" i="2"/>
  <c r="BV177" i="2"/>
  <c r="BN177" i="2"/>
  <c r="BR176" i="2"/>
  <c r="BV175" i="2"/>
  <c r="BN175" i="2"/>
  <c r="BV173" i="2"/>
  <c r="BN173" i="2"/>
  <c r="BR172" i="2"/>
  <c r="BV171" i="2"/>
  <c r="BN171" i="2"/>
  <c r="BV169" i="2"/>
  <c r="BN169" i="2"/>
  <c r="BR168" i="2"/>
  <c r="BV167" i="2"/>
  <c r="BN167" i="2"/>
  <c r="BV165" i="2"/>
  <c r="BN165" i="2"/>
  <c r="BR164" i="2"/>
  <c r="BV163" i="2"/>
  <c r="BN163" i="2"/>
  <c r="BV161" i="2"/>
  <c r="BN161" i="2"/>
  <c r="BR160" i="2"/>
  <c r="BV159" i="2"/>
  <c r="BN159" i="2"/>
  <c r="BV157" i="2"/>
  <c r="BN157" i="2"/>
  <c r="BR156" i="2"/>
  <c r="BV155" i="2"/>
  <c r="BN155" i="2"/>
  <c r="BV153" i="2"/>
  <c r="BN153" i="2"/>
  <c r="BR152" i="2"/>
  <c r="BV151" i="2"/>
  <c r="BN151" i="2"/>
  <c r="BV149" i="2"/>
  <c r="BN149" i="2"/>
  <c r="BR148" i="2"/>
  <c r="BZ148" i="2" s="1"/>
  <c r="BV145" i="2"/>
  <c r="BW267" i="2"/>
  <c r="BW263" i="2"/>
  <c r="BS256" i="2"/>
  <c r="BS240" i="2"/>
  <c r="BW235" i="2"/>
  <c r="BS228" i="2"/>
  <c r="BS222" i="2"/>
  <c r="BW219" i="2"/>
  <c r="BS212" i="2"/>
  <c r="BO207" i="2"/>
  <c r="BS200" i="2"/>
  <c r="BS190" i="2"/>
  <c r="BO188" i="2"/>
  <c r="BW184" i="2"/>
  <c r="BS175" i="2"/>
  <c r="BO172" i="2"/>
  <c r="BS169" i="2"/>
  <c r="BO164" i="2"/>
  <c r="BS161" i="2"/>
  <c r="BO156" i="2"/>
  <c r="BO154" i="2"/>
  <c r="BW148" i="2"/>
  <c r="BR276" i="2"/>
  <c r="BR248" i="2"/>
  <c r="BR242" i="2"/>
  <c r="BV239" i="2"/>
  <c r="BN235" i="2"/>
  <c r="BN227" i="2"/>
  <c r="BR222" i="2"/>
  <c r="BR200" i="2"/>
  <c r="BN195" i="2"/>
  <c r="BR192" i="2"/>
  <c r="BN191" i="2"/>
  <c r="BV184" i="2"/>
  <c r="BN180" i="2"/>
  <c r="BV176" i="2"/>
  <c r="BV172" i="2"/>
  <c r="BR169" i="2"/>
  <c r="BR165" i="2"/>
  <c r="BV160" i="2"/>
  <c r="BV156" i="2"/>
  <c r="BN152" i="2"/>
  <c r="BV148" i="2"/>
  <c r="BV144" i="2"/>
  <c r="BQ270" i="2"/>
  <c r="BQ266" i="2"/>
  <c r="BQ262" i="2"/>
  <c r="BQ250" i="2"/>
  <c r="BQ246" i="2"/>
  <c r="BQ242" i="2"/>
  <c r="BQ238" i="2"/>
  <c r="BM235" i="2"/>
  <c r="BQ200" i="2"/>
  <c r="BU195" i="2"/>
  <c r="BQ192" i="2"/>
  <c r="BU176" i="2"/>
  <c r="BQ171" i="2"/>
  <c r="BU168" i="2"/>
  <c r="BU164" i="2"/>
  <c r="BQ161" i="2"/>
  <c r="BQ149" i="2"/>
  <c r="BV3" i="2"/>
  <c r="BO276" i="2"/>
  <c r="BW272" i="2"/>
  <c r="BW270" i="2"/>
  <c r="BW268" i="2"/>
  <c r="BO266" i="2"/>
  <c r="BO264" i="2"/>
  <c r="BO262" i="2"/>
  <c r="BO260" i="2"/>
  <c r="BO258" i="2"/>
  <c r="BW250" i="2"/>
  <c r="BO248" i="2"/>
  <c r="BO246" i="2"/>
  <c r="BU276" i="2"/>
  <c r="BM276" i="2"/>
  <c r="BQ275" i="2"/>
  <c r="BU274" i="2"/>
  <c r="BM274" i="2"/>
  <c r="BU272" i="2"/>
  <c r="BM272" i="2"/>
  <c r="BQ271" i="2"/>
  <c r="BU270" i="2"/>
  <c r="BM270" i="2"/>
  <c r="BU268" i="2"/>
  <c r="BM268" i="2"/>
  <c r="BQ267" i="2"/>
  <c r="BU266" i="2"/>
  <c r="BM266" i="2"/>
  <c r="BU264" i="2"/>
  <c r="BM264" i="2"/>
  <c r="BQ263" i="2"/>
  <c r="BU262" i="2"/>
  <c r="BM262" i="2"/>
  <c r="BU260" i="2"/>
  <c r="BM260" i="2"/>
  <c r="BQ259" i="2"/>
  <c r="BU258" i="2"/>
  <c r="BM258" i="2"/>
  <c r="BU256" i="2"/>
  <c r="BM256" i="2"/>
  <c r="BQ255" i="2"/>
  <c r="BU254" i="2"/>
  <c r="BM254" i="2"/>
  <c r="BU252" i="2"/>
  <c r="BM252" i="2"/>
  <c r="BQ251" i="2"/>
  <c r="BU250" i="2"/>
  <c r="BM250" i="2"/>
  <c r="BU248" i="2"/>
  <c r="BM248" i="2"/>
  <c r="BQ247" i="2"/>
  <c r="BU246" i="2"/>
  <c r="BM246" i="2"/>
  <c r="BU244" i="2"/>
  <c r="BM244" i="2"/>
  <c r="BQ243" i="2"/>
  <c r="BU242" i="2"/>
  <c r="BM242" i="2"/>
  <c r="BU240" i="2"/>
  <c r="BM240" i="2"/>
  <c r="BQ239" i="2"/>
  <c r="BU238" i="2"/>
  <c r="BM238" i="2"/>
  <c r="BU236" i="2"/>
  <c r="BM236" i="2"/>
  <c r="BQ235" i="2"/>
  <c r="BU234" i="2"/>
  <c r="BM234" i="2"/>
  <c r="BU232" i="2"/>
  <c r="BM232" i="2"/>
  <c r="BQ231" i="2"/>
  <c r="BU230" i="2"/>
  <c r="BM230" i="2"/>
  <c r="BU228" i="2"/>
  <c r="BM228" i="2"/>
  <c r="BQ227" i="2"/>
  <c r="BU226" i="2"/>
  <c r="BM226" i="2"/>
  <c r="BU224" i="2"/>
  <c r="BM224" i="2"/>
  <c r="BQ223" i="2"/>
  <c r="BU222" i="2"/>
  <c r="BM222" i="2"/>
  <c r="BU220" i="2"/>
  <c r="BM220" i="2"/>
  <c r="BQ219" i="2"/>
  <c r="BU218" i="2"/>
  <c r="BM218" i="2"/>
  <c r="BU216" i="2"/>
  <c r="BM216" i="2"/>
  <c r="BQ215" i="2"/>
  <c r="BU214" i="2"/>
  <c r="BM214" i="2"/>
  <c r="BU212" i="2"/>
  <c r="BM212" i="2"/>
  <c r="BQ211" i="2"/>
  <c r="BU210" i="2"/>
  <c r="BM210" i="2"/>
  <c r="BU208" i="2"/>
  <c r="BM208" i="2"/>
  <c r="BQ207" i="2"/>
  <c r="BU206" i="2"/>
  <c r="BM206" i="2"/>
  <c r="BU204" i="2"/>
  <c r="BM204" i="2"/>
  <c r="BQ203" i="2"/>
  <c r="BU202" i="2"/>
  <c r="BM202" i="2"/>
  <c r="BU200" i="2"/>
  <c r="BM200" i="2"/>
  <c r="BQ199" i="2"/>
  <c r="BU198" i="2"/>
  <c r="BM198" i="2"/>
  <c r="BU196" i="2"/>
  <c r="BM196" i="2"/>
  <c r="BQ195" i="2"/>
  <c r="BU194" i="2"/>
  <c r="BM194" i="2"/>
  <c r="BU192" i="2"/>
  <c r="BM192" i="2"/>
  <c r="BQ191" i="2"/>
  <c r="BU190" i="2"/>
  <c r="BM190" i="2"/>
  <c r="BU189" i="2"/>
  <c r="BM189" i="2"/>
  <c r="BQ188" i="2"/>
  <c r="BU187" i="2"/>
  <c r="BM187" i="2"/>
  <c r="BU185" i="2"/>
  <c r="BM185" i="2"/>
  <c r="BQ184" i="2"/>
  <c r="BU183" i="2"/>
  <c r="BM183" i="2"/>
  <c r="BU181" i="2"/>
  <c r="BM181" i="2"/>
  <c r="BQ180" i="2"/>
  <c r="BU179" i="2"/>
  <c r="BM179" i="2"/>
  <c r="BU177" i="2"/>
  <c r="BM177" i="2"/>
  <c r="BQ176" i="2"/>
  <c r="BU175" i="2"/>
  <c r="BM175" i="2"/>
  <c r="BU173" i="2"/>
  <c r="BM173" i="2"/>
  <c r="BQ172" i="2"/>
  <c r="BU171" i="2"/>
  <c r="BM171" i="2"/>
  <c r="BU169" i="2"/>
  <c r="BM169" i="2"/>
  <c r="BQ168" i="2"/>
  <c r="BU167" i="2"/>
  <c r="BM167" i="2"/>
  <c r="BU165" i="2"/>
  <c r="BM165" i="2"/>
  <c r="BQ164" i="2"/>
  <c r="BU163" i="2"/>
  <c r="BM163" i="2"/>
  <c r="BU161" i="2"/>
  <c r="BM161" i="2"/>
  <c r="BQ160" i="2"/>
  <c r="BU159" i="2"/>
  <c r="BM159" i="2"/>
  <c r="BU157" i="2"/>
  <c r="BM157" i="2"/>
  <c r="BQ156" i="2"/>
  <c r="BU155" i="2"/>
  <c r="BM155" i="2"/>
  <c r="BU153" i="2"/>
  <c r="BM153" i="2"/>
  <c r="BU151" i="2"/>
  <c r="BM151" i="2"/>
  <c r="BU149" i="2"/>
  <c r="BM149" i="2"/>
  <c r="BU147" i="2"/>
  <c r="BM147" i="2"/>
  <c r="BU145" i="2"/>
  <c r="BM145" i="2"/>
  <c r="BU143" i="2"/>
  <c r="BM143" i="2"/>
  <c r="BR3" i="2"/>
  <c r="BZ3" i="2" s="1"/>
  <c r="BS268" i="2"/>
  <c r="BO263" i="2"/>
  <c r="BW255" i="2"/>
  <c r="BS244" i="2"/>
  <c r="BO239" i="2"/>
  <c r="BS234" i="2"/>
  <c r="BO223" i="2"/>
  <c r="BS220" i="2"/>
  <c r="BO215" i="2"/>
  <c r="BW211" i="2"/>
  <c r="BS208" i="2"/>
  <c r="BS206" i="2"/>
  <c r="BS204" i="2"/>
  <c r="BO199" i="2"/>
  <c r="BS189" i="2"/>
  <c r="BS185" i="2"/>
  <c r="BO184" i="2"/>
  <c r="BS179" i="2"/>
  <c r="BX277" i="2"/>
  <c r="CB277" i="2" s="1"/>
  <c r="BP277" i="2"/>
  <c r="BZ277" i="2" s="1"/>
  <c r="BT276" i="2"/>
  <c r="BX275" i="2"/>
  <c r="BP275" i="2"/>
  <c r="BT274" i="2"/>
  <c r="BX273" i="2"/>
  <c r="CB273" i="2" s="1"/>
  <c r="BP273" i="2"/>
  <c r="BZ273" i="2" s="1"/>
  <c r="BT272" i="2"/>
  <c r="BX271" i="2"/>
  <c r="BP271" i="2"/>
  <c r="BT270" i="2"/>
  <c r="BX269" i="2"/>
  <c r="CB269" i="2" s="1"/>
  <c r="BP269" i="2"/>
  <c r="BZ269" i="2" s="1"/>
  <c r="BT268" i="2"/>
  <c r="BX267" i="2"/>
  <c r="BP267" i="2"/>
  <c r="BT266" i="2"/>
  <c r="BX265" i="2"/>
  <c r="CB265" i="2" s="1"/>
  <c r="BP265" i="2"/>
  <c r="BZ265" i="2" s="1"/>
  <c r="BT264" i="2"/>
  <c r="BX263" i="2"/>
  <c r="BP263" i="2"/>
  <c r="BT262" i="2"/>
  <c r="BX261" i="2"/>
  <c r="CB261" i="2" s="1"/>
  <c r="BP261" i="2"/>
  <c r="BZ261" i="2" s="1"/>
  <c r="BT260" i="2"/>
  <c r="BX259" i="2"/>
  <c r="BP259" i="2"/>
  <c r="BT258" i="2"/>
  <c r="BX257" i="2"/>
  <c r="CB257" i="2" s="1"/>
  <c r="BP257" i="2"/>
  <c r="BZ257" i="2" s="1"/>
  <c r="BT256" i="2"/>
  <c r="BX255" i="2"/>
  <c r="BP255" i="2"/>
  <c r="BT254" i="2"/>
  <c r="BX253" i="2"/>
  <c r="CB253" i="2" s="1"/>
  <c r="BP253" i="2"/>
  <c r="BZ253" i="2" s="1"/>
  <c r="BT252" i="2"/>
  <c r="BX251" i="2"/>
  <c r="BP251" i="2"/>
  <c r="BT250" i="2"/>
  <c r="BX249" i="2"/>
  <c r="CB249" i="2" s="1"/>
  <c r="BP249" i="2"/>
  <c r="BZ249" i="2" s="1"/>
  <c r="BT248" i="2"/>
  <c r="BX247" i="2"/>
  <c r="BP247" i="2"/>
  <c r="BT246" i="2"/>
  <c r="BX245" i="2"/>
  <c r="CB245" i="2" s="1"/>
  <c r="BP245" i="2"/>
  <c r="BZ245" i="2" s="1"/>
  <c r="BT244" i="2"/>
  <c r="BX243" i="2"/>
  <c r="BP243" i="2"/>
  <c r="BT242" i="2"/>
  <c r="BX241" i="2"/>
  <c r="CB241" i="2" s="1"/>
  <c r="BP241" i="2"/>
  <c r="BZ241" i="2" s="1"/>
  <c r="BT240" i="2"/>
  <c r="BX239" i="2"/>
  <c r="BP239" i="2"/>
  <c r="BT238" i="2"/>
  <c r="BX237" i="2"/>
  <c r="CB237" i="2" s="1"/>
  <c r="BP237" i="2"/>
  <c r="BZ237" i="2" s="1"/>
  <c r="BT236" i="2"/>
  <c r="BX235" i="2"/>
  <c r="BP235" i="2"/>
  <c r="BT234" i="2"/>
  <c r="BX233" i="2"/>
  <c r="CB233" i="2" s="1"/>
  <c r="BP233" i="2"/>
  <c r="BZ233" i="2" s="1"/>
  <c r="BT232" i="2"/>
  <c r="BX231" i="2"/>
  <c r="BP231" i="2"/>
  <c r="BT230" i="2"/>
  <c r="BX229" i="2"/>
  <c r="CB229" i="2" s="1"/>
  <c r="BP229" i="2"/>
  <c r="BZ229" i="2" s="1"/>
  <c r="BT228" i="2"/>
  <c r="BX227" i="2"/>
  <c r="BP227" i="2"/>
  <c r="BT226" i="2"/>
  <c r="BX225" i="2"/>
  <c r="CB225" i="2" s="1"/>
  <c r="BP225" i="2"/>
  <c r="BZ225" i="2" s="1"/>
  <c r="BT224" i="2"/>
  <c r="BX223" i="2"/>
  <c r="BP223" i="2"/>
  <c r="BT222" i="2"/>
  <c r="BX221" i="2"/>
  <c r="CB221" i="2" s="1"/>
  <c r="BP221" i="2"/>
  <c r="BZ221" i="2" s="1"/>
  <c r="BT220" i="2"/>
  <c r="BX219" i="2"/>
  <c r="BP219" i="2"/>
  <c r="BT218" i="2"/>
  <c r="BX217" i="2"/>
  <c r="CB217" i="2" s="1"/>
  <c r="BP217" i="2"/>
  <c r="BZ217" i="2" s="1"/>
  <c r="BT216" i="2"/>
  <c r="BX215" i="2"/>
  <c r="BP215" i="2"/>
  <c r="BT214" i="2"/>
  <c r="BX213" i="2"/>
  <c r="CB213" i="2" s="1"/>
  <c r="BP213" i="2"/>
  <c r="BZ213" i="2" s="1"/>
  <c r="BT212" i="2"/>
  <c r="BX211" i="2"/>
  <c r="BP211" i="2"/>
  <c r="BT210" i="2"/>
  <c r="BX209" i="2"/>
  <c r="CB209" i="2" s="1"/>
  <c r="BP209" i="2"/>
  <c r="BZ209" i="2" s="1"/>
  <c r="BT208" i="2"/>
  <c r="BX207" i="2"/>
  <c r="BP207" i="2"/>
  <c r="BT206" i="2"/>
  <c r="BX205" i="2"/>
  <c r="CB205" i="2" s="1"/>
  <c r="BP205" i="2"/>
  <c r="BZ205" i="2" s="1"/>
  <c r="BT204" i="2"/>
  <c r="BX203" i="2"/>
  <c r="BP203" i="2"/>
  <c r="BT202" i="2"/>
  <c r="BX201" i="2"/>
  <c r="CB201" i="2" s="1"/>
  <c r="BP201" i="2"/>
  <c r="BZ201" i="2" s="1"/>
  <c r="BT200" i="2"/>
  <c r="BX199" i="2"/>
  <c r="BP199" i="2"/>
  <c r="BT198" i="2"/>
  <c r="BX197" i="2"/>
  <c r="BP197" i="2"/>
  <c r="BZ197" i="2" s="1"/>
  <c r="BT196" i="2"/>
  <c r="BX195" i="2"/>
  <c r="BP195" i="2"/>
  <c r="BT194" i="2"/>
  <c r="BX193" i="2"/>
  <c r="CB193" i="2" s="1"/>
  <c r="BP193" i="2"/>
  <c r="BZ193" i="2" s="1"/>
  <c r="BT192" i="2"/>
  <c r="BX191" i="2"/>
  <c r="BP191" i="2"/>
  <c r="BT190" i="2"/>
  <c r="BT189" i="2"/>
  <c r="BX188" i="2"/>
  <c r="BP188" i="2"/>
  <c r="BT187" i="2"/>
  <c r="BX186" i="2"/>
  <c r="CB186" i="2" s="1"/>
  <c r="BP186" i="2"/>
  <c r="BZ186" i="2" s="1"/>
  <c r="BT185" i="2"/>
  <c r="BX184" i="2"/>
  <c r="BP184" i="2"/>
  <c r="BT183" i="2"/>
  <c r="BX182" i="2"/>
  <c r="CB182" i="2" s="1"/>
  <c r="BP182" i="2"/>
  <c r="BZ182" i="2" s="1"/>
  <c r="BT181" i="2"/>
  <c r="BX180" i="2"/>
  <c r="BP180" i="2"/>
  <c r="BT179" i="2"/>
  <c r="BX178" i="2"/>
  <c r="CB178" i="2" s="1"/>
  <c r="BP178" i="2"/>
  <c r="BZ178" i="2" s="1"/>
  <c r="BT177" i="2"/>
  <c r="BX176" i="2"/>
  <c r="BP176" i="2"/>
  <c r="BT175" i="2"/>
  <c r="BX174" i="2"/>
  <c r="CB174" i="2" s="1"/>
  <c r="BP174" i="2"/>
  <c r="BZ174" i="2" s="1"/>
  <c r="BT173" i="2"/>
  <c r="BX172" i="2"/>
  <c r="BP172" i="2"/>
  <c r="BT171" i="2"/>
  <c r="BX170" i="2"/>
  <c r="CB170" i="2" s="1"/>
  <c r="BP170" i="2"/>
  <c r="BZ170" i="2" s="1"/>
  <c r="BT169" i="2"/>
  <c r="BX168" i="2"/>
  <c r="BP168" i="2"/>
  <c r="BT167" i="2"/>
  <c r="BX166" i="2"/>
  <c r="CB166" i="2" s="1"/>
  <c r="BP166" i="2"/>
  <c r="BZ166" i="2" s="1"/>
  <c r="BT165" i="2"/>
  <c r="BX164" i="2"/>
  <c r="BP164" i="2"/>
  <c r="BT163" i="2"/>
  <c r="BX162" i="2"/>
  <c r="CB162" i="2" s="1"/>
  <c r="BP162" i="2"/>
  <c r="BZ162" i="2" s="1"/>
  <c r="BT161" i="2"/>
  <c r="BX160" i="2"/>
  <c r="BP160" i="2"/>
  <c r="BT159" i="2"/>
  <c r="BX158" i="2"/>
  <c r="CB158" i="2" s="1"/>
  <c r="BP158" i="2"/>
  <c r="BZ158" i="2" s="1"/>
  <c r="BT157" i="2"/>
  <c r="BX156" i="2"/>
  <c r="BP156" i="2"/>
  <c r="BT155" i="2"/>
  <c r="BX154" i="2"/>
  <c r="CB154" i="2" s="1"/>
  <c r="BP154" i="2"/>
  <c r="BZ154" i="2" s="1"/>
  <c r="BT153" i="2"/>
  <c r="BX152" i="2"/>
  <c r="BP152" i="2"/>
  <c r="BT151" i="2"/>
  <c r="BX150" i="2"/>
  <c r="CB150" i="2" s="1"/>
  <c r="BP150" i="2"/>
  <c r="BZ150" i="2" s="1"/>
  <c r="BT149" i="2"/>
  <c r="BT147" i="2"/>
  <c r="BX146" i="2"/>
  <c r="CB146" i="2" s="1"/>
  <c r="BP146" i="2"/>
  <c r="BZ146" i="2" s="1"/>
  <c r="BT145" i="2"/>
  <c r="BT143" i="2"/>
  <c r="BX142" i="2"/>
  <c r="CB142" i="2" s="1"/>
  <c r="BP142" i="2"/>
  <c r="BZ142" i="2" s="1"/>
  <c r="BT141" i="2"/>
  <c r="BT139" i="2"/>
  <c r="BX138" i="2"/>
  <c r="CB138" i="2" s="1"/>
  <c r="BP138" i="2"/>
  <c r="BZ138" i="2" s="1"/>
  <c r="BT137" i="2"/>
  <c r="BX134" i="2"/>
  <c r="CB134" i="2" s="1"/>
  <c r="BP134" i="2"/>
  <c r="BZ134" i="2" s="1"/>
  <c r="BT133" i="2"/>
  <c r="BX130" i="2"/>
  <c r="CB130" i="2" s="1"/>
  <c r="BP130" i="2"/>
  <c r="BZ130" i="2" s="1"/>
  <c r="BT129" i="2"/>
  <c r="BX126" i="2"/>
  <c r="CB126" i="2" s="1"/>
  <c r="BP126" i="2"/>
  <c r="BZ126" i="2" s="1"/>
  <c r="BT125" i="2"/>
  <c r="BX122" i="2"/>
  <c r="CB122" i="2" s="1"/>
  <c r="BP122" i="2"/>
  <c r="BZ122" i="2" s="1"/>
  <c r="BT121" i="2"/>
  <c r="BX118" i="2"/>
  <c r="CB118" i="2" s="1"/>
  <c r="BP118" i="2"/>
  <c r="BZ118" i="2" s="1"/>
  <c r="BT117" i="2"/>
  <c r="BX114" i="2"/>
  <c r="CB114" i="2" s="1"/>
  <c r="BP114" i="2"/>
  <c r="BZ114" i="2" s="1"/>
  <c r="BT113" i="2"/>
  <c r="BX110" i="2"/>
  <c r="CB110" i="2" s="1"/>
  <c r="BP110" i="2"/>
  <c r="BZ110" i="2" s="1"/>
  <c r="BT109" i="2"/>
  <c r="BX106" i="2"/>
  <c r="CB106" i="2" s="1"/>
  <c r="BP106" i="2"/>
  <c r="BZ106" i="2" s="1"/>
  <c r="BT105" i="2"/>
  <c r="BX102" i="2"/>
  <c r="CB102" i="2" s="1"/>
  <c r="BP102" i="2"/>
  <c r="BZ102" i="2" s="1"/>
  <c r="BT101" i="2"/>
  <c r="BX98" i="2"/>
  <c r="CB98" i="2" s="1"/>
  <c r="BP98" i="2"/>
  <c r="BZ98" i="2" s="1"/>
  <c r="BT97" i="2"/>
  <c r="BX94" i="2"/>
  <c r="CB94" i="2" s="1"/>
  <c r="BP94" i="2"/>
  <c r="BZ94" i="2" s="1"/>
  <c r="BT93" i="2"/>
  <c r="BX90" i="2"/>
  <c r="BP90" i="2"/>
  <c r="BZ90" i="2" s="1"/>
  <c r="BT89" i="2"/>
  <c r="BX86" i="2"/>
  <c r="CB86" i="2" s="1"/>
  <c r="BP86" i="2"/>
  <c r="BZ86" i="2" s="1"/>
  <c r="BT85" i="2"/>
  <c r="BX82" i="2"/>
  <c r="CB82" i="2" s="1"/>
  <c r="BP82" i="2"/>
  <c r="BZ82" i="2" s="1"/>
  <c r="BT81" i="2"/>
  <c r="CA81" i="2" s="1"/>
  <c r="BX78" i="2"/>
  <c r="BP78" i="2"/>
  <c r="BZ78" i="2" s="1"/>
  <c r="BT77" i="2"/>
  <c r="CA77" i="2" s="1"/>
  <c r="BX74" i="2"/>
  <c r="CB74" i="2" s="1"/>
  <c r="BP74" i="2"/>
  <c r="BZ74" i="2" s="1"/>
  <c r="BS113" i="2"/>
  <c r="BS109" i="2"/>
  <c r="BS105" i="2"/>
  <c r="BS101" i="2"/>
  <c r="BS97" i="2"/>
  <c r="BW90" i="2"/>
  <c r="BO82" i="2"/>
  <c r="BW78" i="2"/>
  <c r="BR121" i="2"/>
  <c r="BR117" i="2"/>
  <c r="BR113" i="2"/>
  <c r="BZ113" i="2" s="1"/>
  <c r="BR109" i="2"/>
  <c r="BZ109" i="2" s="1"/>
  <c r="BR105" i="2"/>
  <c r="BZ105" i="2" s="1"/>
  <c r="BR101" i="2"/>
  <c r="BZ101" i="2" s="1"/>
  <c r="BR97" i="2"/>
  <c r="BZ97" i="2" s="1"/>
  <c r="BR93" i="2"/>
  <c r="BZ93" i="2" s="1"/>
  <c r="BR89" i="2"/>
  <c r="BZ89" i="2" s="1"/>
  <c r="BR85" i="2"/>
  <c r="BR81" i="2"/>
  <c r="BZ81" i="2" s="1"/>
  <c r="BR77" i="2"/>
  <c r="BZ77" i="2" s="1"/>
  <c r="BR73" i="2"/>
  <c r="BZ73" i="2" s="1"/>
  <c r="BR69" i="2"/>
  <c r="BR65" i="2"/>
  <c r="BR61" i="2"/>
  <c r="BR57" i="2"/>
  <c r="BR53" i="2"/>
  <c r="BR49" i="2"/>
  <c r="BR45" i="2"/>
  <c r="BZ45" i="2" s="1"/>
  <c r="BR41" i="2"/>
  <c r="BZ41" i="2" s="1"/>
  <c r="BR37" i="2"/>
  <c r="BR33" i="2"/>
  <c r="BZ33" i="2" s="1"/>
  <c r="BX165" i="2"/>
  <c r="BP165" i="2"/>
  <c r="BT164" i="2"/>
  <c r="BX163" i="2"/>
  <c r="BP163" i="2"/>
  <c r="BX161" i="2"/>
  <c r="BP161" i="2"/>
  <c r="BT160" i="2"/>
  <c r="BX159" i="2"/>
  <c r="BP159" i="2"/>
  <c r="BX157" i="2"/>
  <c r="BP157" i="2"/>
  <c r="BT156" i="2"/>
  <c r="BX155" i="2"/>
  <c r="BP155" i="2"/>
  <c r="BX153" i="2"/>
  <c r="BP153" i="2"/>
  <c r="BT152" i="2"/>
  <c r="BX149" i="2"/>
  <c r="BP149" i="2"/>
  <c r="BX145" i="2"/>
  <c r="BP145" i="2"/>
  <c r="BX141" i="2"/>
  <c r="BP141" i="2"/>
  <c r="BX137" i="2"/>
  <c r="BP137" i="2"/>
  <c r="BX133" i="2"/>
  <c r="BP133" i="2"/>
  <c r="BX129" i="2"/>
  <c r="BP129" i="2"/>
  <c r="BX125" i="2"/>
  <c r="BP125" i="2"/>
  <c r="BP85" i="2"/>
  <c r="BP69" i="2"/>
  <c r="BP65" i="2"/>
  <c r="BP61" i="2"/>
  <c r="BP37" i="2"/>
  <c r="BW133" i="2"/>
  <c r="BO133" i="2"/>
  <c r="BS132" i="2"/>
  <c r="CA132" i="2" s="1"/>
  <c r="BW129" i="2"/>
  <c r="BO129" i="2"/>
  <c r="BS128" i="2"/>
  <c r="CA128" i="2" s="1"/>
  <c r="BW125" i="2"/>
  <c r="BO125" i="2"/>
  <c r="BS124" i="2"/>
  <c r="CA124" i="2" s="1"/>
  <c r="BW121" i="2"/>
  <c r="CB121" i="2" s="1"/>
  <c r="BO121" i="2"/>
  <c r="BS120" i="2"/>
  <c r="CA120" i="2" s="1"/>
  <c r="BW117" i="2"/>
  <c r="BO117" i="2"/>
  <c r="BS116" i="2"/>
  <c r="CA116" i="2" s="1"/>
  <c r="BW113" i="2"/>
  <c r="CB113" i="2" s="1"/>
  <c r="BO113" i="2"/>
  <c r="BS112" i="2"/>
  <c r="CA112" i="2" s="1"/>
  <c r="BW109" i="2"/>
  <c r="CB109" i="2" s="1"/>
  <c r="BO109" i="2"/>
  <c r="BS108" i="2"/>
  <c r="CA108" i="2" s="1"/>
  <c r="BW105" i="2"/>
  <c r="CB105" i="2" s="1"/>
  <c r="BO105" i="2"/>
  <c r="BS104" i="2"/>
  <c r="CA104" i="2" s="1"/>
  <c r="BW101" i="2"/>
  <c r="CB101" i="2" s="1"/>
  <c r="BO101" i="2"/>
  <c r="BS100" i="2"/>
  <c r="CA100" i="2" s="1"/>
  <c r="BW97" i="2"/>
  <c r="CB97" i="2" s="1"/>
  <c r="BO97" i="2"/>
  <c r="BS96" i="2"/>
  <c r="CA96" i="2" s="1"/>
  <c r="BW93" i="2"/>
  <c r="CB93" i="2" s="1"/>
  <c r="BO93" i="2"/>
  <c r="BS92" i="2"/>
  <c r="CA92" i="2" s="1"/>
  <c r="BW89" i="2"/>
  <c r="CB89" i="2" s="1"/>
  <c r="BO89" i="2"/>
  <c r="BS88" i="2"/>
  <c r="CA88" i="2" s="1"/>
  <c r="BW85" i="2"/>
  <c r="CB85" i="2" s="1"/>
  <c r="BO85" i="2"/>
  <c r="BS84" i="2"/>
  <c r="CA84" i="2" s="1"/>
  <c r="BW81" i="2"/>
  <c r="CB81" i="2" s="1"/>
  <c r="BO81" i="2"/>
  <c r="BS80" i="2"/>
  <c r="CA80" i="2" s="1"/>
  <c r="BW77" i="2"/>
  <c r="CB77" i="2" s="1"/>
  <c r="BO77" i="2"/>
  <c r="BS76" i="2"/>
  <c r="CA76" i="2" s="1"/>
  <c r="BW73" i="2"/>
  <c r="CB73" i="2" s="1"/>
  <c r="BO73" i="2"/>
  <c r="BS72" i="2"/>
  <c r="CA72" i="2" s="1"/>
  <c r="BW69" i="2"/>
  <c r="CB69" i="2" s="1"/>
  <c r="BO69" i="2"/>
  <c r="BS68" i="2"/>
  <c r="CA68" i="2" s="1"/>
  <c r="BW65" i="2"/>
  <c r="CB65" i="2" s="1"/>
  <c r="BO65" i="2"/>
  <c r="BS64" i="2"/>
  <c r="CA64" i="2" s="1"/>
  <c r="BW61" i="2"/>
  <c r="CB61" i="2" s="1"/>
  <c r="BO61" i="2"/>
  <c r="BS60" i="2"/>
  <c r="CA60" i="2" s="1"/>
  <c r="BW57" i="2"/>
  <c r="CB57" i="2" s="1"/>
  <c r="BO57" i="2"/>
  <c r="BS56" i="2"/>
  <c r="CA56" i="2" s="1"/>
  <c r="BW53" i="2"/>
  <c r="CB53" i="2" s="1"/>
  <c r="BO53" i="2"/>
  <c r="BS52" i="2"/>
  <c r="CA52" i="2" s="1"/>
  <c r="BW49" i="2"/>
  <c r="CB49" i="2" s="1"/>
  <c r="BO49" i="2"/>
  <c r="BS48" i="2"/>
  <c r="CA48" i="2" s="1"/>
  <c r="BW45" i="2"/>
  <c r="CB45" i="2" s="1"/>
  <c r="BO45" i="2"/>
  <c r="BS44" i="2"/>
  <c r="CA44" i="2" s="1"/>
  <c r="BW41" i="2"/>
  <c r="CB41" i="2" s="1"/>
  <c r="BO41" i="2"/>
  <c r="BS40" i="2"/>
  <c r="CA40" i="2" s="1"/>
  <c r="BW37" i="2"/>
  <c r="CB37" i="2" s="1"/>
  <c r="BO37" i="2"/>
  <c r="BS36" i="2"/>
  <c r="CA36" i="2" s="1"/>
  <c r="BW33" i="2"/>
  <c r="CB33" i="2" s="1"/>
  <c r="BO33" i="2"/>
  <c r="BS32" i="2"/>
  <c r="CA32" i="2" s="1"/>
  <c r="BS28" i="2"/>
  <c r="CA28" i="2" s="1"/>
  <c r="BS24" i="2"/>
  <c r="CA24" i="2" s="1"/>
  <c r="BS21" i="2"/>
  <c r="CA21" i="2" s="1"/>
  <c r="BS17" i="2"/>
  <c r="CA17" i="2" s="1"/>
  <c r="BS13" i="2"/>
  <c r="CA13" i="2" s="1"/>
  <c r="BS9" i="2"/>
  <c r="CA9" i="2" s="1"/>
  <c r="BS5" i="2"/>
  <c r="CA5" i="2" s="1"/>
  <c r="BN145" i="2"/>
  <c r="BV141" i="2"/>
  <c r="BN141" i="2"/>
  <c r="BV137" i="2"/>
  <c r="BN137" i="2"/>
  <c r="BV133" i="2"/>
  <c r="BN133" i="2"/>
  <c r="BV129" i="2"/>
  <c r="BN129" i="2"/>
  <c r="BV125" i="2"/>
  <c r="BN125" i="2"/>
  <c r="BN45" i="2"/>
  <c r="BN41" i="2"/>
  <c r="BN33" i="2"/>
  <c r="BN29" i="2"/>
  <c r="BN22" i="2"/>
  <c r="BU141" i="2"/>
  <c r="BM141" i="2"/>
  <c r="BU139" i="2"/>
  <c r="BM139" i="2"/>
  <c r="BU137" i="2"/>
  <c r="BM137" i="2"/>
  <c r="BU135" i="2"/>
  <c r="CA135" i="2" s="1"/>
  <c r="BM135" i="2"/>
  <c r="BY135" i="2" s="1"/>
  <c r="BU133" i="2"/>
  <c r="BM133" i="2"/>
  <c r="BU131" i="2"/>
  <c r="CA131" i="2" s="1"/>
  <c r="BM131" i="2"/>
  <c r="BY131" i="2" s="1"/>
  <c r="BU129" i="2"/>
  <c r="BM129" i="2"/>
  <c r="BU127" i="2"/>
  <c r="CA127" i="2" s="1"/>
  <c r="BM127" i="2"/>
  <c r="BY127" i="2" s="1"/>
  <c r="BU125" i="2"/>
  <c r="BM125" i="2"/>
  <c r="BU123" i="2"/>
  <c r="CA123" i="2" s="1"/>
  <c r="BM123" i="2"/>
  <c r="BY123" i="2" s="1"/>
  <c r="BU121" i="2"/>
  <c r="BM121" i="2"/>
  <c r="BU119" i="2"/>
  <c r="CA119" i="2" s="1"/>
  <c r="BM119" i="2"/>
  <c r="BY119" i="2" s="1"/>
  <c r="BU117" i="2"/>
  <c r="BM117" i="2"/>
  <c r="BY117" i="2" s="1"/>
  <c r="BU115" i="2"/>
  <c r="CA115" i="2" s="1"/>
  <c r="BM115" i="2"/>
  <c r="BY115" i="2" s="1"/>
  <c r="BU113" i="2"/>
  <c r="BM113" i="2"/>
  <c r="BU111" i="2"/>
  <c r="CA111" i="2" s="1"/>
  <c r="BM111" i="2"/>
  <c r="BY111" i="2" s="1"/>
  <c r="BU109" i="2"/>
  <c r="BM109" i="2"/>
  <c r="BU107" i="2"/>
  <c r="CA107" i="2" s="1"/>
  <c r="BM107" i="2"/>
  <c r="BY107" i="2" s="1"/>
  <c r="BU105" i="2"/>
  <c r="BM105" i="2"/>
  <c r="BU103" i="2"/>
  <c r="CA103" i="2" s="1"/>
  <c r="BM103" i="2"/>
  <c r="BY103" i="2" s="1"/>
  <c r="BU101" i="2"/>
  <c r="BM101" i="2"/>
  <c r="BU99" i="2"/>
  <c r="CA99" i="2" s="1"/>
  <c r="BM99" i="2"/>
  <c r="BY99" i="2" s="1"/>
  <c r="BU97" i="2"/>
  <c r="BM97" i="2"/>
  <c r="BU95" i="2"/>
  <c r="CA95" i="2" s="1"/>
  <c r="BM95" i="2"/>
  <c r="BY95" i="2" s="1"/>
  <c r="BU93" i="2"/>
  <c r="BM93" i="2"/>
  <c r="BU91" i="2"/>
  <c r="CA91" i="2" s="1"/>
  <c r="BM91" i="2"/>
  <c r="BY91" i="2" s="1"/>
  <c r="BU89" i="2"/>
  <c r="BM89" i="2"/>
  <c r="BU87" i="2"/>
  <c r="CA87" i="2" s="1"/>
  <c r="BM87" i="2"/>
  <c r="BY87" i="2" s="1"/>
  <c r="BU85" i="2"/>
  <c r="BM85" i="2"/>
  <c r="BU83" i="2"/>
  <c r="CA83" i="2" s="1"/>
  <c r="BM83" i="2"/>
  <c r="BY83" i="2" s="1"/>
  <c r="BU79" i="2"/>
  <c r="CA79" i="2" s="1"/>
  <c r="BM79" i="2"/>
  <c r="BY79" i="2" s="1"/>
  <c r="BU75" i="2"/>
  <c r="CA75" i="2" s="1"/>
  <c r="BM75" i="2"/>
  <c r="BY75" i="2" s="1"/>
  <c r="BU73" i="2"/>
  <c r="BU71" i="2"/>
  <c r="CA71" i="2" s="1"/>
  <c r="BM71" i="2"/>
  <c r="BY71" i="2" s="1"/>
  <c r="BU67" i="2"/>
  <c r="CA67" i="2" s="1"/>
  <c r="BM67" i="2"/>
  <c r="BY67" i="2" s="1"/>
  <c r="BU63" i="2"/>
  <c r="CA63" i="2" s="1"/>
  <c r="BM63" i="2"/>
  <c r="BY63" i="2" s="1"/>
  <c r="BU59" i="2"/>
  <c r="CA59" i="2" s="1"/>
  <c r="BM59" i="2"/>
  <c r="BY59" i="2" s="1"/>
  <c r="BU55" i="2"/>
  <c r="CA55" i="2" s="1"/>
  <c r="BM55" i="2"/>
  <c r="BY55" i="2" s="1"/>
  <c r="BU51" i="2"/>
  <c r="CA51" i="2" s="1"/>
  <c r="BM51" i="2"/>
  <c r="BY51" i="2" s="1"/>
  <c r="BM20" i="2"/>
  <c r="BY20" i="2" s="1"/>
  <c r="BT73" i="2"/>
  <c r="BX70" i="2"/>
  <c r="CB70" i="2" s="1"/>
  <c r="BP70" i="2"/>
  <c r="BZ70" i="2" s="1"/>
  <c r="BT69" i="2"/>
  <c r="CA69" i="2" s="1"/>
  <c r="BX66" i="2"/>
  <c r="CB66" i="2" s="1"/>
  <c r="BP66" i="2"/>
  <c r="BZ66" i="2" s="1"/>
  <c r="BT65" i="2"/>
  <c r="CA65" i="2" s="1"/>
  <c r="BX62" i="2"/>
  <c r="CB62" i="2" s="1"/>
  <c r="BP62" i="2"/>
  <c r="BZ62" i="2" s="1"/>
  <c r="BT61" i="2"/>
  <c r="CA61" i="2" s="1"/>
  <c r="BX58" i="2"/>
  <c r="CB58" i="2" s="1"/>
  <c r="BP58" i="2"/>
  <c r="BZ58" i="2" s="1"/>
  <c r="BT57" i="2"/>
  <c r="CA57" i="2" s="1"/>
  <c r="BX54" i="2"/>
  <c r="CB54" i="2" s="1"/>
  <c r="BP54" i="2"/>
  <c r="BZ54" i="2" s="1"/>
  <c r="BT53" i="2"/>
  <c r="CA53" i="2" s="1"/>
  <c r="BX50" i="2"/>
  <c r="CB50" i="2" s="1"/>
  <c r="BP50" i="2"/>
  <c r="BZ50" i="2" s="1"/>
  <c r="BT49" i="2"/>
  <c r="CA49" i="2" s="1"/>
  <c r="BX46" i="2"/>
  <c r="CB46" i="2" s="1"/>
  <c r="BP46" i="2"/>
  <c r="BZ46" i="2" s="1"/>
  <c r="BT45" i="2"/>
  <c r="CA45" i="2" s="1"/>
  <c r="BX42" i="2"/>
  <c r="CB42" i="2" s="1"/>
  <c r="BP42" i="2"/>
  <c r="BZ42" i="2" s="1"/>
  <c r="BT41" i="2"/>
  <c r="CA41" i="2" s="1"/>
  <c r="BX38" i="2"/>
  <c r="CB38" i="2" s="1"/>
  <c r="BP38" i="2"/>
  <c r="BZ38" i="2" s="1"/>
  <c r="BT37" i="2"/>
  <c r="CA37" i="2" s="1"/>
  <c r="BX34" i="2"/>
  <c r="CB34" i="2" s="1"/>
  <c r="BP34" i="2"/>
  <c r="BZ34" i="2" s="1"/>
  <c r="BT33" i="2"/>
  <c r="CA33" i="2" s="1"/>
  <c r="BX30" i="2"/>
  <c r="CB30" i="2" s="1"/>
  <c r="BP30" i="2"/>
  <c r="BZ30" i="2" s="1"/>
  <c r="BT29" i="2"/>
  <c r="CA29" i="2" s="1"/>
  <c r="BX26" i="2"/>
  <c r="CB26" i="2" s="1"/>
  <c r="BP26" i="2"/>
  <c r="BZ26" i="2" s="1"/>
  <c r="BT25" i="2"/>
  <c r="CA25" i="2" s="1"/>
  <c r="BX23" i="2"/>
  <c r="CB23" i="2" s="1"/>
  <c r="BP23" i="2"/>
  <c r="BZ23" i="2" s="1"/>
  <c r="BT22" i="2"/>
  <c r="CA22" i="2" s="1"/>
  <c r="BX19" i="2"/>
  <c r="CB19" i="2" s="1"/>
  <c r="BP19" i="2"/>
  <c r="BZ19" i="2" s="1"/>
  <c r="BT18" i="2"/>
  <c r="CA18" i="2" s="1"/>
  <c r="BX15" i="2"/>
  <c r="CB15" i="2" s="1"/>
  <c r="BP15" i="2"/>
  <c r="BZ15" i="2" s="1"/>
  <c r="BT14" i="2"/>
  <c r="CA14" i="2" s="1"/>
  <c r="BX11" i="2"/>
  <c r="CB11" i="2" s="1"/>
  <c r="BP11" i="2"/>
  <c r="BZ11" i="2" s="1"/>
  <c r="BT10" i="2"/>
  <c r="CA10" i="2" s="1"/>
  <c r="BX7" i="2"/>
  <c r="CB7" i="2" s="1"/>
  <c r="BP7" i="2"/>
  <c r="BZ7" i="2" s="1"/>
  <c r="BT6" i="2"/>
  <c r="CA6" i="2" s="1"/>
  <c r="AO238" i="2" l="1"/>
  <c r="AK167" i="2"/>
  <c r="AI269" i="2"/>
  <c r="AN266" i="2"/>
  <c r="AK20" i="2"/>
  <c r="AE4" i="2"/>
  <c r="AO206" i="2"/>
  <c r="AF103" i="2"/>
  <c r="AD206" i="2"/>
  <c r="AJ267" i="2"/>
  <c r="AN27" i="2"/>
  <c r="AM55" i="2"/>
  <c r="AE103" i="2"/>
  <c r="AF27" i="2"/>
  <c r="AL107" i="2"/>
  <c r="AJ274" i="2"/>
  <c r="AN51" i="2"/>
  <c r="AJ230" i="2"/>
  <c r="AE270" i="2"/>
  <c r="AJ262" i="2"/>
  <c r="AI159" i="2"/>
  <c r="AI202" i="2"/>
  <c r="AI143" i="2"/>
  <c r="AK215" i="2"/>
  <c r="AO156" i="2"/>
  <c r="AI167" i="2"/>
  <c r="AO258" i="2"/>
  <c r="AM59" i="2"/>
  <c r="AM12" i="2"/>
  <c r="AK226" i="2"/>
  <c r="AO90" i="2"/>
  <c r="AI127" i="2"/>
  <c r="AM51" i="2"/>
  <c r="AF122" i="2"/>
  <c r="AF123" i="2"/>
  <c r="AI201" i="2"/>
  <c r="AM76" i="2"/>
  <c r="AK47" i="2"/>
  <c r="AM54" i="2"/>
  <c r="AO154" i="2"/>
  <c r="AO209" i="2"/>
  <c r="AI58" i="2"/>
  <c r="AO58" i="2"/>
  <c r="AM155" i="2"/>
  <c r="AI103" i="2"/>
  <c r="AE102" i="2"/>
  <c r="AE183" i="2"/>
  <c r="AI198" i="2"/>
  <c r="AI95" i="2"/>
  <c r="AN221" i="2"/>
  <c r="AN77" i="2"/>
  <c r="AM52" i="2"/>
  <c r="AS52" i="2" s="1"/>
  <c r="AI71" i="2"/>
  <c r="AM39" i="2"/>
  <c r="AS39" i="2" s="1"/>
  <c r="AD91" i="2"/>
  <c r="AO250" i="2"/>
  <c r="AE158" i="2"/>
  <c r="AO160" i="2"/>
  <c r="AI111" i="2"/>
  <c r="AH270" i="2"/>
  <c r="AF107" i="2"/>
  <c r="AJ77" i="2"/>
  <c r="AH52" i="2"/>
  <c r="AE55" i="2"/>
  <c r="AK135" i="2"/>
  <c r="AI135" i="2"/>
  <c r="AM84" i="2"/>
  <c r="AI187" i="2"/>
  <c r="AO245" i="2"/>
  <c r="AM99" i="2"/>
  <c r="AM123" i="2"/>
  <c r="AN172" i="2"/>
  <c r="AF194" i="2"/>
  <c r="AH54" i="2"/>
  <c r="AD210" i="2"/>
  <c r="AM108" i="2"/>
  <c r="AJ222" i="2"/>
  <c r="AG250" i="2"/>
  <c r="AI121" i="2"/>
  <c r="AM139" i="2"/>
  <c r="AK242" i="2"/>
  <c r="AM132" i="2"/>
  <c r="AM250" i="2"/>
  <c r="AI190" i="2"/>
  <c r="AG115" i="2"/>
  <c r="AH122" i="2"/>
  <c r="AF76" i="2"/>
  <c r="AK143" i="2"/>
  <c r="AK88" i="2"/>
  <c r="AM67" i="2"/>
  <c r="AM43" i="2"/>
  <c r="AK4" i="2"/>
  <c r="AG52" i="2"/>
  <c r="AH58" i="2"/>
  <c r="AK56" i="2"/>
  <c r="AK57" i="2"/>
  <c r="AN53" i="2"/>
  <c r="AL147" i="2"/>
  <c r="AN258" i="2"/>
  <c r="AH254" i="2"/>
  <c r="AG121" i="2"/>
  <c r="AM242" i="2"/>
  <c r="AG53" i="2"/>
  <c r="AL121" i="2"/>
  <c r="AK246" i="2"/>
  <c r="AL83" i="2"/>
  <c r="AE111" i="2"/>
  <c r="AI53" i="2"/>
  <c r="AE121" i="2"/>
  <c r="AK54" i="2"/>
  <c r="AM179" i="2"/>
  <c r="AG58" i="2"/>
  <c r="AK75" i="2"/>
  <c r="AI96" i="2"/>
  <c r="AK243" i="2"/>
  <c r="AM87" i="2"/>
  <c r="AE198" i="2"/>
  <c r="AE52" i="2"/>
  <c r="AK123" i="2"/>
  <c r="AN155" i="2"/>
  <c r="AH77" i="2"/>
  <c r="AF55" i="2"/>
  <c r="AE47" i="2"/>
  <c r="AK132" i="2"/>
  <c r="AF201" i="2"/>
  <c r="AM217" i="2"/>
  <c r="AG77" i="2"/>
  <c r="AG122" i="2"/>
  <c r="AL51" i="2"/>
  <c r="AG123" i="2"/>
  <c r="AE99" i="2"/>
  <c r="AE76" i="2"/>
  <c r="AL115" i="2"/>
  <c r="AF274" i="2"/>
  <c r="AE63" i="2"/>
  <c r="AO57" i="2"/>
  <c r="AF59" i="2"/>
  <c r="AD75" i="2"/>
  <c r="AN250" i="2"/>
  <c r="AK168" i="2"/>
  <c r="AO121" i="2"/>
  <c r="AJ57" i="2"/>
  <c r="AK151" i="2"/>
  <c r="AG51" i="2"/>
  <c r="AK121" i="2"/>
  <c r="AN122" i="2"/>
  <c r="AG55" i="2"/>
  <c r="AO55" i="2"/>
  <c r="AH59" i="2"/>
  <c r="AD63" i="2"/>
  <c r="AN159" i="2"/>
  <c r="AL214" i="2"/>
  <c r="AG246" i="2"/>
  <c r="AO59" i="2"/>
  <c r="AN273" i="2"/>
  <c r="AH151" i="2"/>
  <c r="AL151" i="2"/>
  <c r="AL246" i="2"/>
  <c r="AO17" i="2"/>
  <c r="AH56" i="2"/>
  <c r="AJ100" i="2"/>
  <c r="AG91" i="2"/>
  <c r="AO184" i="2"/>
  <c r="AM103" i="2"/>
  <c r="AK127" i="2"/>
  <c r="AF57" i="2"/>
  <c r="AH123" i="2"/>
  <c r="AL167" i="2"/>
  <c r="AJ108" i="2"/>
  <c r="AI218" i="2"/>
  <c r="AK122" i="2"/>
  <c r="AO27" i="2"/>
  <c r="AK254" i="2"/>
  <c r="AO123" i="2"/>
  <c r="AH53" i="2"/>
  <c r="AF77" i="2"/>
  <c r="AO77" i="2"/>
  <c r="AJ54" i="2"/>
  <c r="AF58" i="2"/>
  <c r="AF95" i="2"/>
  <c r="AD190" i="2"/>
  <c r="AI76" i="2"/>
  <c r="AQ76" i="2" s="1"/>
  <c r="AO115" i="2"/>
  <c r="AK159" i="2"/>
  <c r="AK175" i="2"/>
  <c r="AN158" i="2"/>
  <c r="AE57" i="2"/>
  <c r="AK55" i="2"/>
  <c r="AI87" i="2"/>
  <c r="AO234" i="2"/>
  <c r="AN182" i="2"/>
  <c r="AM71" i="2"/>
  <c r="AH159" i="2"/>
  <c r="AG214" i="2"/>
  <c r="AI214" i="2"/>
  <c r="AF53" i="2"/>
  <c r="AL57" i="2"/>
  <c r="AI77" i="2"/>
  <c r="AN121" i="2"/>
  <c r="AO107" i="2"/>
  <c r="AN57" i="2"/>
  <c r="AO136" i="2"/>
  <c r="AI119" i="2"/>
  <c r="AI226" i="2"/>
  <c r="AM128" i="2"/>
  <c r="AJ234" i="2"/>
  <c r="AI151" i="2"/>
  <c r="AJ53" i="2"/>
  <c r="AD121" i="2"/>
  <c r="AJ122" i="2"/>
  <c r="AO51" i="2"/>
  <c r="AL77" i="2"/>
  <c r="AN161" i="2"/>
  <c r="AO83" i="2"/>
  <c r="AL53" i="2"/>
  <c r="AK53" i="2"/>
  <c r="AH57" i="2"/>
  <c r="AE77" i="2"/>
  <c r="AK77" i="2"/>
  <c r="AH121" i="2"/>
  <c r="AL26" i="2"/>
  <c r="AL58" i="2"/>
  <c r="AM82" i="2"/>
  <c r="AM114" i="2"/>
  <c r="AE122" i="2"/>
  <c r="AM122" i="2"/>
  <c r="AF241" i="2"/>
  <c r="AG265" i="2"/>
  <c r="AF16" i="2"/>
  <c r="AH43" i="2"/>
  <c r="AI47" i="2"/>
  <c r="AF51" i="2"/>
  <c r="AI79" i="2"/>
  <c r="AK87" i="2"/>
  <c r="AM95" i="2"/>
  <c r="AF99" i="2"/>
  <c r="AF111" i="2"/>
  <c r="AK119" i="2"/>
  <c r="AG127" i="2"/>
  <c r="AF131" i="2"/>
  <c r="AG135" i="2"/>
  <c r="AG155" i="2"/>
  <c r="AN167" i="2"/>
  <c r="AG171" i="2"/>
  <c r="AD198" i="2"/>
  <c r="AF202" i="2"/>
  <c r="AI210" i="2"/>
  <c r="AM222" i="2"/>
  <c r="AD230" i="2"/>
  <c r="AI242" i="2"/>
  <c r="AM270" i="2"/>
  <c r="AG274" i="2"/>
  <c r="AJ32" i="2"/>
  <c r="AI56" i="2"/>
  <c r="AL56" i="2"/>
  <c r="AL88" i="2"/>
  <c r="AD160" i="2"/>
  <c r="AJ258" i="2"/>
  <c r="AJ132" i="2"/>
  <c r="AI183" i="2"/>
  <c r="AO76" i="2"/>
  <c r="AJ58" i="2"/>
  <c r="AJ56" i="2"/>
  <c r="AG59" i="2"/>
  <c r="AO220" i="2"/>
  <c r="AM53" i="2"/>
  <c r="AI57" i="2"/>
  <c r="AL69" i="2"/>
  <c r="AM77" i="2"/>
  <c r="AF121" i="2"/>
  <c r="AL19" i="2"/>
  <c r="AG54" i="2"/>
  <c r="AE58" i="2"/>
  <c r="AM58" i="2"/>
  <c r="AL122" i="2"/>
  <c r="AL201" i="2"/>
  <c r="AG261" i="2"/>
  <c r="AL16" i="2"/>
  <c r="AG39" i="2"/>
  <c r="AL39" i="2"/>
  <c r="AJ43" i="2"/>
  <c r="AD55" i="2"/>
  <c r="AL55" i="2"/>
  <c r="AL71" i="2"/>
  <c r="AN75" i="2"/>
  <c r="AD87" i="2"/>
  <c r="AI123" i="2"/>
  <c r="AL127" i="2"/>
  <c r="AL135" i="2"/>
  <c r="AN139" i="2"/>
  <c r="AL143" i="2"/>
  <c r="AL159" i="2"/>
  <c r="AL175" i="2"/>
  <c r="AF179" i="2"/>
  <c r="AM183" i="2"/>
  <c r="AG190" i="2"/>
  <c r="AG198" i="2"/>
  <c r="AL222" i="2"/>
  <c r="AN234" i="2"/>
  <c r="AM246" i="2"/>
  <c r="AG262" i="2"/>
  <c r="AL270" i="2"/>
  <c r="AL52" i="2"/>
  <c r="AM56" i="2"/>
  <c r="AH88" i="2"/>
  <c r="AE184" i="2"/>
  <c r="AM199" i="2"/>
  <c r="AF251" i="2"/>
  <c r="AH218" i="2"/>
  <c r="AG103" i="2"/>
  <c r="AG254" i="2"/>
  <c r="AF4" i="2"/>
  <c r="AI52" i="2"/>
  <c r="AI59" i="2"/>
  <c r="AF215" i="2"/>
  <c r="AJ270" i="2"/>
  <c r="AO56" i="2"/>
  <c r="AM4" i="2"/>
  <c r="AI51" i="2"/>
  <c r="AD270" i="2"/>
  <c r="AM262" i="2"/>
  <c r="AL63" i="2"/>
  <c r="AM238" i="2"/>
  <c r="AG238" i="2"/>
  <c r="AM254" i="2"/>
  <c r="AG206" i="2"/>
  <c r="AG172" i="2"/>
  <c r="AI258" i="2"/>
  <c r="AI55" i="2"/>
  <c r="AM119" i="2"/>
  <c r="AE257" i="2"/>
  <c r="AL262" i="2"/>
  <c r="AE206" i="2"/>
  <c r="AI23" i="2"/>
  <c r="AL4" i="2"/>
  <c r="AM20" i="2"/>
  <c r="AM131" i="2"/>
  <c r="AM258" i="2"/>
  <c r="AL54" i="2"/>
  <c r="AL238" i="2"/>
  <c r="AO265" i="2"/>
  <c r="AN67" i="2"/>
  <c r="AE9" i="2"/>
  <c r="AK270" i="2"/>
  <c r="AF56" i="2"/>
  <c r="AM171" i="2"/>
  <c r="AM266" i="2"/>
  <c r="AO54" i="2"/>
  <c r="AL59" i="2"/>
  <c r="AH51" i="2"/>
  <c r="AD215" i="2"/>
  <c r="AI229" i="2"/>
  <c r="AD107" i="2"/>
  <c r="AL234" i="2"/>
  <c r="AN218" i="2"/>
  <c r="AM27" i="2"/>
  <c r="AN226" i="2"/>
  <c r="AL230" i="2"/>
  <c r="AI215" i="2"/>
  <c r="AL254" i="2"/>
  <c r="CB148" i="2"/>
  <c r="BY210" i="2"/>
  <c r="AG133" i="2"/>
  <c r="AJ78" i="2"/>
  <c r="AE275" i="2"/>
  <c r="AK271" i="2"/>
  <c r="AM11" i="2"/>
  <c r="CB198" i="2"/>
  <c r="AF210" i="2"/>
  <c r="AH238" i="2"/>
  <c r="AE163" i="2"/>
  <c r="AD214" i="2"/>
  <c r="AI33" i="2"/>
  <c r="BZ161" i="2"/>
  <c r="AJ198" i="2"/>
  <c r="AG30" i="2"/>
  <c r="AD271" i="2"/>
  <c r="AK255" i="2"/>
  <c r="AH261" i="2"/>
  <c r="AD267" i="2"/>
  <c r="AH267" i="2"/>
  <c r="AF242" i="2"/>
  <c r="AD254" i="2"/>
  <c r="AF258" i="2"/>
  <c r="AF266" i="2"/>
  <c r="AE147" i="2"/>
  <c r="AF218" i="2"/>
  <c r="AD222" i="2"/>
  <c r="AM68" i="2"/>
  <c r="AG104" i="2"/>
  <c r="AO164" i="2"/>
  <c r="AM37" i="2"/>
  <c r="AJ41" i="2"/>
  <c r="AE89" i="2"/>
  <c r="AH252" i="2"/>
  <c r="AJ256" i="2"/>
  <c r="AM260" i="2"/>
  <c r="AG255" i="2"/>
  <c r="AD272" i="2"/>
  <c r="AI276" i="2"/>
  <c r="AG175" i="2"/>
  <c r="AK214" i="2"/>
  <c r="AF226" i="2"/>
  <c r="AG244" i="2"/>
  <c r="AM252" i="2"/>
  <c r="AH260" i="2"/>
  <c r="AE191" i="2"/>
  <c r="AD246" i="2"/>
  <c r="AJ175" i="2"/>
  <c r="AN4" i="2"/>
  <c r="AO173" i="2"/>
  <c r="AM263" i="2"/>
  <c r="AH271" i="2"/>
  <c r="AH255" i="2"/>
  <c r="AG184" i="2"/>
  <c r="AH71" i="2"/>
  <c r="AG159" i="2"/>
  <c r="AG222" i="2"/>
  <c r="AK206" i="2"/>
  <c r="AD263" i="2"/>
  <c r="AE263" i="2"/>
  <c r="AH268" i="2"/>
  <c r="AM268" i="2"/>
  <c r="AJ272" i="2"/>
  <c r="AO276" i="2"/>
  <c r="AF276" i="2"/>
  <c r="AO167" i="2"/>
  <c r="AJ264" i="2"/>
  <c r="AI216" i="2"/>
  <c r="AJ183" i="2"/>
  <c r="AM228" i="2"/>
  <c r="AF277" i="2"/>
  <c r="AG277" i="2"/>
  <c r="AM160" i="2"/>
  <c r="AM259" i="2"/>
  <c r="AF252" i="2"/>
  <c r="AK256" i="2"/>
  <c r="AD256" i="2"/>
  <c r="AF260" i="2"/>
  <c r="AK264" i="2"/>
  <c r="AD264" i="2"/>
  <c r="AF268" i="2"/>
  <c r="AM275" i="2"/>
  <c r="AL261" i="2"/>
  <c r="AM265" i="2"/>
  <c r="AG269" i="2"/>
  <c r="AH103" i="2"/>
  <c r="AK230" i="2"/>
  <c r="AH27" i="2"/>
  <c r="AK183" i="2"/>
  <c r="AK263" i="2"/>
  <c r="AO271" i="2"/>
  <c r="AE271" i="2"/>
  <c r="AG192" i="2"/>
  <c r="AD262" i="2"/>
  <c r="AG270" i="2"/>
  <c r="AO127" i="2"/>
  <c r="AF263" i="2"/>
  <c r="AL271" i="2"/>
  <c r="AI271" i="2"/>
  <c r="AK253" i="2"/>
  <c r="AL257" i="2"/>
  <c r="AE265" i="2"/>
  <c r="AO269" i="2"/>
  <c r="AF273" i="2"/>
  <c r="AE273" i="2"/>
  <c r="AJ277" i="2"/>
  <c r="AO259" i="2"/>
  <c r="AE259" i="2"/>
  <c r="AN263" i="2"/>
  <c r="AJ263" i="2"/>
  <c r="AG252" i="2"/>
  <c r="AE252" i="2"/>
  <c r="AO260" i="2"/>
  <c r="AE260" i="2"/>
  <c r="AI264" i="2"/>
  <c r="AG268" i="2"/>
  <c r="AE268" i="2"/>
  <c r="AI272" i="2"/>
  <c r="AN276" i="2"/>
  <c r="AM276" i="2"/>
  <c r="AN275" i="2"/>
  <c r="AO253" i="2"/>
  <c r="AK257" i="2"/>
  <c r="AJ257" i="2"/>
  <c r="AO261" i="2"/>
  <c r="AF265" i="2"/>
  <c r="AJ265" i="2"/>
  <c r="AL269" i="2"/>
  <c r="AJ273" i="2"/>
  <c r="AI277" i="2"/>
  <c r="AG267" i="2"/>
  <c r="BY97" i="2"/>
  <c r="AO263" i="2"/>
  <c r="AI263" i="2"/>
  <c r="AF271" i="2"/>
  <c r="AO252" i="2"/>
  <c r="AL252" i="2"/>
  <c r="AN256" i="2"/>
  <c r="AG260" i="2"/>
  <c r="AL260" i="2"/>
  <c r="AN264" i="2"/>
  <c r="AO268" i="2"/>
  <c r="AL268" i="2"/>
  <c r="AN272" i="2"/>
  <c r="AH276" i="2"/>
  <c r="AE276" i="2"/>
  <c r="AF255" i="2"/>
  <c r="AO275" i="2"/>
  <c r="AI275" i="2"/>
  <c r="AF257" i="2"/>
  <c r="AI257" i="2"/>
  <c r="AI265" i="2"/>
  <c r="AN269" i="2"/>
  <c r="AL273" i="2"/>
  <c r="AI273" i="2"/>
  <c r="AF267" i="2"/>
  <c r="AD275" i="2"/>
  <c r="AL263" i="2"/>
  <c r="AM271" i="2"/>
  <c r="AK252" i="2"/>
  <c r="AF256" i="2"/>
  <c r="AK260" i="2"/>
  <c r="AD260" i="2"/>
  <c r="AF264" i="2"/>
  <c r="AK268" i="2"/>
  <c r="AD268" i="2"/>
  <c r="AF272" i="2"/>
  <c r="AG276" i="2"/>
  <c r="AM255" i="2"/>
  <c r="AL275" i="2"/>
  <c r="AH275" i="2"/>
  <c r="AM253" i="2"/>
  <c r="AH257" i="2"/>
  <c r="AM261" i="2"/>
  <c r="AL265" i="2"/>
  <c r="AM269" i="2"/>
  <c r="AK273" i="2"/>
  <c r="AH273" i="2"/>
  <c r="AM267" i="2"/>
  <c r="AJ252" i="2"/>
  <c r="AG256" i="2"/>
  <c r="AM256" i="2"/>
  <c r="AJ260" i="2"/>
  <c r="AG264" i="2"/>
  <c r="AM264" i="2"/>
  <c r="AJ268" i="2"/>
  <c r="AG272" i="2"/>
  <c r="AM272" i="2"/>
  <c r="AL276" i="2"/>
  <c r="AO255" i="2"/>
  <c r="AE255" i="2"/>
  <c r="AK275" i="2"/>
  <c r="AF253" i="2"/>
  <c r="AE253" i="2"/>
  <c r="AG257" i="2"/>
  <c r="AF261" i="2"/>
  <c r="AE261" i="2"/>
  <c r="AK265" i="2"/>
  <c r="AF269" i="2"/>
  <c r="AE269" i="2"/>
  <c r="AG273" i="2"/>
  <c r="AM277" i="2"/>
  <c r="AL277" i="2"/>
  <c r="AN267" i="2"/>
  <c r="AE267" i="2"/>
  <c r="AG263" i="2"/>
  <c r="AN271" i="2"/>
  <c r="AJ271" i="2"/>
  <c r="AI252" i="2"/>
  <c r="AO256" i="2"/>
  <c r="AI260" i="2"/>
  <c r="AH264" i="2"/>
  <c r="AI268" i="2"/>
  <c r="AH272" i="2"/>
  <c r="AE272" i="2"/>
  <c r="AK276" i="2"/>
  <c r="AN255" i="2"/>
  <c r="AJ255" i="2"/>
  <c r="AG275" i="2"/>
  <c r="AL253" i="2"/>
  <c r="AJ253" i="2"/>
  <c r="AO257" i="2"/>
  <c r="AK261" i="2"/>
  <c r="AJ269" i="2"/>
  <c r="AO273" i="2"/>
  <c r="AN252" i="2"/>
  <c r="AH256" i="2"/>
  <c r="AL256" i="2"/>
  <c r="AN260" i="2"/>
  <c r="AO264" i="2"/>
  <c r="AL264" i="2"/>
  <c r="AN268" i="2"/>
  <c r="AO272" i="2"/>
  <c r="AJ276" i="2"/>
  <c r="AI255" i="2"/>
  <c r="AF275" i="2"/>
  <c r="AG253" i="2"/>
  <c r="AI253" i="2"/>
  <c r="AN257" i="2"/>
  <c r="AI261" i="2"/>
  <c r="AK269" i="2"/>
  <c r="AK277" i="2"/>
  <c r="AO277" i="2"/>
  <c r="AK267" i="2"/>
  <c r="AI267" i="2"/>
  <c r="AF259" i="2"/>
  <c r="AJ266" i="2"/>
  <c r="AO270" i="2"/>
  <c r="AM274" i="2"/>
  <c r="AN259" i="2"/>
  <c r="AI254" i="2"/>
  <c r="AK258" i="2"/>
  <c r="AI262" i="2"/>
  <c r="AH266" i="2"/>
  <c r="AE266" i="2"/>
  <c r="AI270" i="2"/>
  <c r="AO274" i="2"/>
  <c r="AE274" i="2"/>
  <c r="AI259" i="2"/>
  <c r="AN254" i="2"/>
  <c r="AH258" i="2"/>
  <c r="AL258" i="2"/>
  <c r="AN262" i="2"/>
  <c r="AO266" i="2"/>
  <c r="AL266" i="2"/>
  <c r="AN270" i="2"/>
  <c r="AH274" i="2"/>
  <c r="AL274" i="2"/>
  <c r="AL259" i="2"/>
  <c r="AH259" i="2"/>
  <c r="AF254" i="2"/>
  <c r="AG258" i="2"/>
  <c r="AG266" i="2"/>
  <c r="AD266" i="2"/>
  <c r="AF270" i="2"/>
  <c r="AK274" i="2"/>
  <c r="AL267" i="2"/>
  <c r="AG259" i="2"/>
  <c r="AO254" i="2"/>
  <c r="AE254" i="2"/>
  <c r="AH262" i="2"/>
  <c r="AE262" i="2"/>
  <c r="AI274" i="2"/>
  <c r="BZ152" i="2"/>
  <c r="CA93" i="2"/>
  <c r="CA211" i="2"/>
  <c r="BZ196" i="2"/>
  <c r="CB255" i="2"/>
  <c r="CA243" i="2"/>
  <c r="AF72" i="2"/>
  <c r="AI39" i="2"/>
  <c r="AE145" i="2"/>
  <c r="CA143" i="2"/>
  <c r="CA151" i="2"/>
  <c r="AM198" i="2"/>
  <c r="AO94" i="2"/>
  <c r="AL215" i="2"/>
  <c r="AF102" i="2"/>
  <c r="AD234" i="2"/>
  <c r="BZ145" i="2"/>
  <c r="BY242" i="2"/>
  <c r="CB187" i="2"/>
  <c r="BZ133" i="2"/>
  <c r="CB184" i="2"/>
  <c r="BY105" i="2"/>
  <c r="BY113" i="2"/>
  <c r="BZ65" i="2"/>
  <c r="BZ149" i="2"/>
  <c r="BZ263" i="2"/>
  <c r="BY262" i="2"/>
  <c r="CA164" i="2"/>
  <c r="CA73" i="2"/>
  <c r="BZ190" i="2"/>
  <c r="AH205" i="2"/>
  <c r="AK158" i="2"/>
  <c r="BY204" i="2"/>
  <c r="CA226" i="2"/>
  <c r="BZ179" i="2"/>
  <c r="AL174" i="2"/>
  <c r="AO208" i="2"/>
  <c r="AN132" i="2"/>
  <c r="AH120" i="2"/>
  <c r="AE8" i="2"/>
  <c r="AK15" i="2"/>
  <c r="AD115" i="2"/>
  <c r="AO26" i="2"/>
  <c r="BY149" i="2"/>
  <c r="BY175" i="2"/>
  <c r="BY181" i="2"/>
  <c r="BY206" i="2"/>
  <c r="BY256" i="2"/>
  <c r="CB236" i="2"/>
  <c r="CB251" i="2"/>
  <c r="AK238" i="2"/>
  <c r="AK247" i="2"/>
  <c r="AK39" i="2"/>
  <c r="AH94" i="2"/>
  <c r="BZ163" i="2"/>
  <c r="AE96" i="2"/>
  <c r="AE16" i="2"/>
  <c r="AK30" i="2"/>
  <c r="AM166" i="2"/>
  <c r="AN129" i="2"/>
  <c r="BY169" i="2"/>
  <c r="CB3" i="2"/>
  <c r="CB159" i="2"/>
  <c r="CB248" i="2"/>
  <c r="CB211" i="2"/>
  <c r="AF163" i="2"/>
  <c r="CB164" i="2"/>
  <c r="CB215" i="2"/>
  <c r="AN93" i="2"/>
  <c r="AL205" i="2"/>
  <c r="CA190" i="2"/>
  <c r="BY192" i="2"/>
  <c r="BY224" i="2"/>
  <c r="CB244" i="2"/>
  <c r="AF147" i="2"/>
  <c r="CB247" i="2"/>
  <c r="AG183" i="2"/>
  <c r="AN199" i="2"/>
  <c r="AO159" i="2"/>
  <c r="AH184" i="2"/>
  <c r="BY187" i="2"/>
  <c r="AG31" i="2"/>
  <c r="AK63" i="2"/>
  <c r="AD180" i="2"/>
  <c r="BY125" i="2"/>
  <c r="BZ141" i="2"/>
  <c r="BZ260" i="2"/>
  <c r="AE118" i="2"/>
  <c r="AG245" i="2"/>
  <c r="AM83" i="2"/>
  <c r="AE31" i="2"/>
  <c r="AK103" i="2"/>
  <c r="AF32" i="2"/>
  <c r="AK12" i="2"/>
  <c r="AH135" i="2"/>
  <c r="AO128" i="2"/>
  <c r="BY218" i="2"/>
  <c r="AF186" i="2"/>
  <c r="AE116" i="2"/>
  <c r="BY141" i="2"/>
  <c r="AL132" i="2"/>
  <c r="AN20" i="2"/>
  <c r="AJ178" i="2"/>
  <c r="AD184" i="2"/>
  <c r="BZ129" i="2"/>
  <c r="BZ155" i="2"/>
  <c r="BZ160" i="2"/>
  <c r="AL172" i="2"/>
  <c r="AH220" i="2"/>
  <c r="AE71" i="2"/>
  <c r="AO161" i="2"/>
  <c r="AF134" i="2"/>
  <c r="AJ145" i="2"/>
  <c r="BZ266" i="2"/>
  <c r="AG38" i="2"/>
  <c r="AK248" i="2"/>
  <c r="BZ259" i="2"/>
  <c r="AN17" i="2"/>
  <c r="AO215" i="2"/>
  <c r="AL99" i="2"/>
  <c r="AH144" i="2"/>
  <c r="AE166" i="2"/>
  <c r="AE7" i="2"/>
  <c r="AO75" i="2"/>
  <c r="AD111" i="2"/>
  <c r="AE155" i="2"/>
  <c r="AJ159" i="2"/>
  <c r="BZ184" i="2"/>
  <c r="AK208" i="2"/>
  <c r="AM187" i="2"/>
  <c r="AH95" i="2"/>
  <c r="AM202" i="2"/>
  <c r="AH17" i="2"/>
  <c r="AJ216" i="2"/>
  <c r="AH111" i="2"/>
  <c r="AM44" i="2"/>
  <c r="AO64" i="2"/>
  <c r="AG143" i="2"/>
  <c r="AK95" i="2"/>
  <c r="AG33" i="2"/>
  <c r="CA264" i="2"/>
  <c r="AH79" i="2"/>
  <c r="AL131" i="2"/>
  <c r="AK198" i="2"/>
  <c r="AH89" i="2"/>
  <c r="AK190" i="2"/>
  <c r="AF184" i="2"/>
  <c r="AM115" i="2"/>
  <c r="AH44" i="2"/>
  <c r="AL67" i="2"/>
  <c r="AE179" i="2"/>
  <c r="AM194" i="2"/>
  <c r="BY267" i="2"/>
  <c r="AM205" i="2"/>
  <c r="AE107" i="2"/>
  <c r="AH243" i="2"/>
  <c r="AO71" i="2"/>
  <c r="AL153" i="2"/>
  <c r="AF34" i="2"/>
  <c r="AG63" i="2"/>
  <c r="AJ33" i="2"/>
  <c r="AE171" i="2"/>
  <c r="AJ190" i="2"/>
  <c r="AH119" i="2"/>
  <c r="AH63" i="2"/>
  <c r="AF43" i="2"/>
  <c r="AK172" i="2"/>
  <c r="AO87" i="2"/>
  <c r="AF120" i="2"/>
  <c r="AO135" i="2"/>
  <c r="AH20" i="2"/>
  <c r="AG79" i="2"/>
  <c r="AE134" i="2"/>
  <c r="BY272" i="2"/>
  <c r="AE227" i="2"/>
  <c r="BZ276" i="2"/>
  <c r="AH23" i="2"/>
  <c r="AF158" i="2"/>
  <c r="AH31" i="2"/>
  <c r="AO91" i="2"/>
  <c r="AH87" i="2"/>
  <c r="AG119" i="2"/>
  <c r="AI169" i="2"/>
  <c r="AG83" i="2"/>
  <c r="AL231" i="2"/>
  <c r="AM249" i="2"/>
  <c r="AH37" i="2"/>
  <c r="AK109" i="2"/>
  <c r="AD219" i="2"/>
  <c r="AK19" i="2"/>
  <c r="AG106" i="2"/>
  <c r="AK221" i="2"/>
  <c r="AG225" i="2"/>
  <c r="AL182" i="2"/>
  <c r="AJ94" i="2"/>
  <c r="BY247" i="2"/>
  <c r="AM207" i="2"/>
  <c r="AG204" i="2"/>
  <c r="AI220" i="2"/>
  <c r="BY248" i="2"/>
  <c r="AL176" i="2"/>
  <c r="AG46" i="2"/>
  <c r="AH62" i="2"/>
  <c r="AO150" i="2"/>
  <c r="AI197" i="2"/>
  <c r="AG249" i="2"/>
  <c r="AE156" i="2"/>
  <c r="AM172" i="2"/>
  <c r="AO231" i="2"/>
  <c r="AE231" i="2"/>
  <c r="AK251" i="2"/>
  <c r="AN44" i="2"/>
  <c r="AH60" i="2"/>
  <c r="AM72" i="2"/>
  <c r="AJ96" i="2"/>
  <c r="AM96" i="2"/>
  <c r="AI120" i="2"/>
  <c r="AF44" i="2"/>
  <c r="AF229" i="2"/>
  <c r="BY133" i="2"/>
  <c r="AL21" i="2"/>
  <c r="AK201" i="2"/>
  <c r="AO104" i="2"/>
  <c r="AJ112" i="2"/>
  <c r="AL169" i="2"/>
  <c r="AG26" i="2"/>
  <c r="AE30" i="2"/>
  <c r="AM78" i="2"/>
  <c r="AG82" i="2"/>
  <c r="AO142" i="2"/>
  <c r="AL33" i="2"/>
  <c r="AL65" i="2"/>
  <c r="AN152" i="2"/>
  <c r="AN219" i="2"/>
  <c r="AL28" i="2"/>
  <c r="AF223" i="2"/>
  <c r="AD223" i="2"/>
  <c r="AO240" i="2"/>
  <c r="AM116" i="2"/>
  <c r="AM126" i="2"/>
  <c r="AK146" i="2"/>
  <c r="AH25" i="2"/>
  <c r="AN100" i="2"/>
  <c r="AI136" i="2"/>
  <c r="AM80" i="2"/>
  <c r="AM86" i="2"/>
  <c r="CA113" i="2"/>
  <c r="BZ238" i="2"/>
  <c r="AK145" i="2"/>
  <c r="AI203" i="2"/>
  <c r="AG61" i="2"/>
  <c r="AG69" i="2"/>
  <c r="AK73" i="2"/>
  <c r="AF85" i="2"/>
  <c r="AG97" i="2"/>
  <c r="AD101" i="2"/>
  <c r="AI212" i="2"/>
  <c r="AK219" i="2"/>
  <c r="AG7" i="2"/>
  <c r="AN15" i="2"/>
  <c r="AI205" i="2"/>
  <c r="AO174" i="2"/>
  <c r="AO169" i="2"/>
  <c r="AK232" i="2"/>
  <c r="AI5" i="2"/>
  <c r="AE17" i="2"/>
  <c r="AG65" i="2"/>
  <c r="AG36" i="2"/>
  <c r="AG10" i="2"/>
  <c r="AI14" i="2"/>
  <c r="AF129" i="2"/>
  <c r="AM240" i="2"/>
  <c r="AL134" i="2"/>
  <c r="AL248" i="2"/>
  <c r="AG132" i="2"/>
  <c r="AK114" i="2"/>
  <c r="AL89" i="2"/>
  <c r="AM88" i="2"/>
  <c r="AI64" i="2"/>
  <c r="AO68" i="2"/>
  <c r="AN33" i="2"/>
  <c r="AO192" i="2"/>
  <c r="AG196" i="2"/>
  <c r="AL197" i="2"/>
  <c r="AE237" i="2"/>
  <c r="AL245" i="2"/>
  <c r="AH116" i="2"/>
  <c r="AE247" i="2"/>
  <c r="AO172" i="2"/>
  <c r="AF14" i="2"/>
  <c r="BZ203" i="2"/>
  <c r="CA179" i="2"/>
  <c r="CB258" i="2"/>
  <c r="CB264" i="2"/>
  <c r="CB276" i="2"/>
  <c r="BZ194" i="2"/>
  <c r="BZ230" i="2"/>
  <c r="AL211" i="2"/>
  <c r="AJ149" i="2"/>
  <c r="AH217" i="2"/>
  <c r="AH227" i="2"/>
  <c r="AK8" i="2"/>
  <c r="AM16" i="2"/>
  <c r="AF20" i="2"/>
  <c r="AO31" i="2"/>
  <c r="AM31" i="2"/>
  <c r="AK35" i="2"/>
  <c r="AE199" i="2"/>
  <c r="BZ219" i="2"/>
  <c r="BY161" i="2"/>
  <c r="CB207" i="2"/>
  <c r="AN223" i="2"/>
  <c r="BZ208" i="2"/>
  <c r="CA250" i="2"/>
  <c r="AN28" i="2"/>
  <c r="AE160" i="2"/>
  <c r="AF112" i="2"/>
  <c r="AJ213" i="2"/>
  <c r="AM225" i="2"/>
  <c r="AJ110" i="2"/>
  <c r="AL110" i="2"/>
  <c r="AK150" i="2"/>
  <c r="AM182" i="2"/>
  <c r="AG182" i="2"/>
  <c r="AO205" i="2"/>
  <c r="AF221" i="2"/>
  <c r="AE225" i="2"/>
  <c r="AI231" i="2"/>
  <c r="AL44" i="2"/>
  <c r="AN160" i="2"/>
  <c r="AI168" i="2"/>
  <c r="AM227" i="2"/>
  <c r="AF35" i="2"/>
  <c r="AG110" i="2"/>
  <c r="AF108" i="2"/>
  <c r="AO8" i="2"/>
  <c r="AH12" i="2"/>
  <c r="BZ69" i="2"/>
  <c r="AI128" i="2"/>
  <c r="AM113" i="2"/>
  <c r="AK200" i="2"/>
  <c r="CB226" i="2"/>
  <c r="AL195" i="2"/>
  <c r="AM85" i="2"/>
  <c r="AD97" i="2"/>
  <c r="AG62" i="2"/>
  <c r="AH114" i="2"/>
  <c r="AL186" i="2"/>
  <c r="BZ195" i="2"/>
  <c r="BZ185" i="2"/>
  <c r="AN85" i="2"/>
  <c r="AM189" i="2"/>
  <c r="AG191" i="2"/>
  <c r="AF114" i="2"/>
  <c r="AH92" i="2"/>
  <c r="AD137" i="2"/>
  <c r="BZ168" i="2"/>
  <c r="BZ271" i="2"/>
  <c r="BY212" i="2"/>
  <c r="BY238" i="2"/>
  <c r="BY250" i="2"/>
  <c r="BY274" i="2"/>
  <c r="CB175" i="2"/>
  <c r="CB220" i="2"/>
  <c r="CA168" i="2"/>
  <c r="CA180" i="2"/>
  <c r="CB275" i="2"/>
  <c r="BZ173" i="2"/>
  <c r="AO78" i="2"/>
  <c r="AN126" i="2"/>
  <c r="AF10" i="2"/>
  <c r="AI184" i="2"/>
  <c r="AH70" i="2"/>
  <c r="AE40" i="2"/>
  <c r="AE148" i="2"/>
  <c r="AG6" i="2"/>
  <c r="AI129" i="2"/>
  <c r="AO219" i="2"/>
  <c r="AG19" i="2"/>
  <c r="AJ34" i="2"/>
  <c r="AK166" i="2"/>
  <c r="AN142" i="2"/>
  <c r="AD231" i="2"/>
  <c r="AN65" i="2"/>
  <c r="BZ153" i="2"/>
  <c r="BZ191" i="2"/>
  <c r="CA206" i="2"/>
  <c r="BY159" i="2"/>
  <c r="AL181" i="2"/>
  <c r="BY194" i="2"/>
  <c r="BY200" i="2"/>
  <c r="BY226" i="2"/>
  <c r="BY244" i="2"/>
  <c r="CB169" i="2"/>
  <c r="CB181" i="2"/>
  <c r="CA239" i="2"/>
  <c r="CA251" i="2"/>
  <c r="CA275" i="2"/>
  <c r="BY195" i="2"/>
  <c r="CB203" i="2"/>
  <c r="BZ240" i="2"/>
  <c r="AL173" i="2"/>
  <c r="AL78" i="2"/>
  <c r="AO178" i="2"/>
  <c r="AO221" i="2"/>
  <c r="AO35" i="2"/>
  <c r="AL184" i="2"/>
  <c r="AF84" i="2"/>
  <c r="AM22" i="2"/>
  <c r="AM109" i="2"/>
  <c r="AO189" i="2"/>
  <c r="AO7" i="2"/>
  <c r="AF82" i="2"/>
  <c r="AI154" i="2"/>
  <c r="AL229" i="2"/>
  <c r="AF12" i="2"/>
  <c r="AF100" i="2"/>
  <c r="AH7" i="2"/>
  <c r="AL225" i="2"/>
  <c r="AF142" i="2"/>
  <c r="AD240" i="2"/>
  <c r="AD168" i="2"/>
  <c r="AL113" i="2"/>
  <c r="BY268" i="2"/>
  <c r="CB214" i="2"/>
  <c r="CB274" i="2"/>
  <c r="BY203" i="2"/>
  <c r="AM158" i="2"/>
  <c r="AN120" i="2"/>
  <c r="AH108" i="2"/>
  <c r="AK21" i="2"/>
  <c r="AL144" i="2"/>
  <c r="AF6" i="2"/>
  <c r="AI94" i="2"/>
  <c r="AH241" i="2"/>
  <c r="AJ70" i="2"/>
  <c r="AK205" i="2"/>
  <c r="AK25" i="2"/>
  <c r="AG207" i="2"/>
  <c r="BZ227" i="2"/>
  <c r="CA208" i="2"/>
  <c r="BY165" i="2"/>
  <c r="CB270" i="2"/>
  <c r="CA152" i="2"/>
  <c r="CA227" i="2"/>
  <c r="BY219" i="2"/>
  <c r="BY251" i="2"/>
  <c r="BZ258" i="2"/>
  <c r="BZ268" i="2"/>
  <c r="CA183" i="2"/>
  <c r="CA196" i="2"/>
  <c r="AE173" i="2"/>
  <c r="AI15" i="2"/>
  <c r="AF126" i="2"/>
  <c r="AI178" i="2"/>
  <c r="AH39" i="2"/>
  <c r="AJ72" i="2"/>
  <c r="AK184" i="2"/>
  <c r="AH231" i="2"/>
  <c r="AL31" i="2"/>
  <c r="AI17" i="2"/>
  <c r="AL96" i="2"/>
  <c r="AG227" i="2"/>
  <c r="AF109" i="2"/>
  <c r="AG200" i="2"/>
  <c r="AK90" i="2"/>
  <c r="AI162" i="2"/>
  <c r="AH245" i="2"/>
  <c r="AM8" i="2"/>
  <c r="BY148" i="2"/>
  <c r="BY139" i="2"/>
  <c r="CB137" i="2"/>
  <c r="CA121" i="2"/>
  <c r="BZ235" i="2"/>
  <c r="BY155" i="2"/>
  <c r="CA259" i="2"/>
  <c r="CB235" i="2"/>
  <c r="CA141" i="2"/>
  <c r="CA173" i="2"/>
  <c r="CA252" i="2"/>
  <c r="BZ171" i="2"/>
  <c r="BZ224" i="2"/>
  <c r="BZ121" i="2"/>
  <c r="CA216" i="2"/>
  <c r="CA260" i="2"/>
  <c r="AM47" i="2"/>
  <c r="AF87" i="2"/>
  <c r="AL32" i="2"/>
  <c r="AF79" i="2"/>
  <c r="AM195" i="2"/>
  <c r="AI65" i="2"/>
  <c r="AI105" i="2"/>
  <c r="CA258" i="2"/>
  <c r="AK137" i="2"/>
  <c r="AL124" i="2"/>
  <c r="AJ137" i="2"/>
  <c r="AI208" i="2"/>
  <c r="AG232" i="2"/>
  <c r="AE13" i="2"/>
  <c r="CB242" i="2"/>
  <c r="BY188" i="2"/>
  <c r="CB152" i="2"/>
  <c r="CA165" i="2"/>
  <c r="CA163" i="2"/>
  <c r="AK37" i="2"/>
  <c r="AM149" i="2"/>
  <c r="AD224" i="2"/>
  <c r="AL41" i="2"/>
  <c r="AI153" i="2"/>
  <c r="CB267" i="2"/>
  <c r="AL180" i="2"/>
  <c r="AL49" i="2"/>
  <c r="AK33" i="2"/>
  <c r="CB239" i="2"/>
  <c r="AK29" i="2"/>
  <c r="AM101" i="2"/>
  <c r="AG109" i="2"/>
  <c r="AJ153" i="2"/>
  <c r="AG161" i="2"/>
  <c r="AI200" i="2"/>
  <c r="AM239" i="2"/>
  <c r="CB252" i="2"/>
  <c r="AM196" i="2"/>
  <c r="AO13" i="2"/>
  <c r="AO28" i="2"/>
  <c r="AM164" i="2"/>
  <c r="AE239" i="2"/>
  <c r="AI18" i="2"/>
  <c r="AI22" i="2"/>
  <c r="AI37" i="2"/>
  <c r="AM45" i="2"/>
  <c r="AN69" i="2"/>
  <c r="AL85" i="2"/>
  <c r="AN125" i="2"/>
  <c r="AG125" i="2"/>
  <c r="AI133" i="2"/>
  <c r="AO165" i="2"/>
  <c r="AM244" i="2"/>
  <c r="AI207" i="2"/>
  <c r="AO34" i="2"/>
  <c r="AO102" i="2"/>
  <c r="AJ130" i="2"/>
  <c r="AO170" i="2"/>
  <c r="AF225" i="2"/>
  <c r="AI188" i="2"/>
  <c r="AJ60" i="2"/>
  <c r="AI72" i="2"/>
  <c r="AI199" i="2"/>
  <c r="AI20" i="2"/>
  <c r="AK31" i="2"/>
  <c r="AM35" i="2"/>
  <c r="AL103" i="2"/>
  <c r="AG179" i="2"/>
  <c r="AL179" i="2"/>
  <c r="AI206" i="2"/>
  <c r="AO210" i="2"/>
  <c r="AJ22" i="2"/>
  <c r="AI224" i="2"/>
  <c r="CB125" i="2"/>
  <c r="CB141" i="2"/>
  <c r="CB78" i="2"/>
  <c r="CA85" i="2"/>
  <c r="BZ176" i="2"/>
  <c r="BZ180" i="2"/>
  <c r="AK192" i="2"/>
  <c r="AK240" i="2"/>
  <c r="BY171" i="2"/>
  <c r="BY177" i="2"/>
  <c r="BY183" i="2"/>
  <c r="BY214" i="2"/>
  <c r="BY220" i="2"/>
  <c r="BY258" i="2"/>
  <c r="BY270" i="2"/>
  <c r="AN235" i="2"/>
  <c r="CB149" i="2"/>
  <c r="CB200" i="2"/>
  <c r="CB218" i="2"/>
  <c r="CB230" i="2"/>
  <c r="CA235" i="2"/>
  <c r="CB263" i="2"/>
  <c r="CA157" i="2"/>
  <c r="CA194" i="2"/>
  <c r="AF235" i="2"/>
  <c r="AN165" i="2"/>
  <c r="CA172" i="2"/>
  <c r="CA184" i="2"/>
  <c r="CA223" i="2"/>
  <c r="AF228" i="2"/>
  <c r="BY223" i="2"/>
  <c r="CB168" i="2"/>
  <c r="CA133" i="2"/>
  <c r="CB197" i="2"/>
  <c r="BZ234" i="2"/>
  <c r="BZ256" i="2"/>
  <c r="BZ262" i="2"/>
  <c r="BZ272" i="2"/>
  <c r="BY164" i="2"/>
  <c r="CA262" i="2"/>
  <c r="AH6" i="2"/>
  <c r="AF41" i="2"/>
  <c r="AE73" i="2"/>
  <c r="AF101" i="2"/>
  <c r="AE129" i="2"/>
  <c r="AM157" i="2"/>
  <c r="AH177" i="2"/>
  <c r="AE196" i="2"/>
  <c r="AH232" i="2"/>
  <c r="AL34" i="2"/>
  <c r="AL62" i="2"/>
  <c r="AM94" i="2"/>
  <c r="AE142" i="2"/>
  <c r="AG205" i="2"/>
  <c r="AL139" i="2"/>
  <c r="AH194" i="2"/>
  <c r="AN71" i="2"/>
  <c r="AL40" i="2"/>
  <c r="AI176" i="2"/>
  <c r="AF25" i="2"/>
  <c r="AM49" i="2"/>
  <c r="AM93" i="2"/>
  <c r="AI113" i="2"/>
  <c r="AO137" i="2"/>
  <c r="AL157" i="2"/>
  <c r="AN173" i="2"/>
  <c r="AM204" i="2"/>
  <c r="AF220" i="2"/>
  <c r="AJ244" i="2"/>
  <c r="AJ13" i="2"/>
  <c r="AJ64" i="2"/>
  <c r="AO124" i="2"/>
  <c r="AM251" i="2"/>
  <c r="AK11" i="2"/>
  <c r="AN34" i="2"/>
  <c r="AM74" i="2"/>
  <c r="AN98" i="2"/>
  <c r="AH126" i="2"/>
  <c r="AK178" i="2"/>
  <c r="AE209" i="2"/>
  <c r="AG237" i="2"/>
  <c r="AI223" i="2"/>
  <c r="AJ36" i="2"/>
  <c r="AL203" i="2"/>
  <c r="CA236" i="2"/>
  <c r="AN68" i="2"/>
  <c r="AL80" i="2"/>
  <c r="CA192" i="2"/>
  <c r="AH40" i="2"/>
  <c r="AH223" i="2"/>
  <c r="AF89" i="2"/>
  <c r="AJ169" i="2"/>
  <c r="AG177" i="2"/>
  <c r="AD232" i="2"/>
  <c r="BY153" i="2"/>
  <c r="BY232" i="2"/>
  <c r="CA161" i="2"/>
  <c r="AE3" i="2"/>
  <c r="CA187" i="2"/>
  <c r="BZ244" i="2"/>
  <c r="CA218" i="2"/>
  <c r="AJ129" i="2"/>
  <c r="AM173" i="2"/>
  <c r="AF22" i="2"/>
  <c r="AO69" i="2"/>
  <c r="AI137" i="2"/>
  <c r="AM28" i="2"/>
  <c r="AI68" i="2"/>
  <c r="AO112" i="2"/>
  <c r="AE180" i="2"/>
  <c r="AH29" i="2"/>
  <c r="AM61" i="2"/>
  <c r="AL101" i="2"/>
  <c r="AL133" i="2"/>
  <c r="AN137" i="2"/>
  <c r="AO149" i="2"/>
  <c r="AL149" i="2"/>
  <c r="AN153" i="2"/>
  <c r="AO157" i="2"/>
  <c r="AN169" i="2"/>
  <c r="AO181" i="2"/>
  <c r="AM220" i="2"/>
  <c r="AJ232" i="2"/>
  <c r="AH236" i="2"/>
  <c r="AM236" i="2"/>
  <c r="AG5" i="2"/>
  <c r="AM24" i="2"/>
  <c r="AF36" i="2"/>
  <c r="AK207" i="2"/>
  <c r="AO23" i="2"/>
  <c r="AL46" i="2"/>
  <c r="AM66" i="2"/>
  <c r="AG70" i="2"/>
  <c r="AG74" i="2"/>
  <c r="AG86" i="2"/>
  <c r="AG98" i="2"/>
  <c r="AK118" i="2"/>
  <c r="AI193" i="2"/>
  <c r="AK197" i="2"/>
  <c r="AE172" i="2"/>
  <c r="AE251" i="2"/>
  <c r="AN9" i="2"/>
  <c r="AJ9" i="2"/>
  <c r="AO96" i="2"/>
  <c r="AO168" i="2"/>
  <c r="AL199" i="2"/>
  <c r="AK27" i="2"/>
  <c r="AI35" i="2"/>
  <c r="AM91" i="2"/>
  <c r="AG95" i="2"/>
  <c r="AO111" i="2"/>
  <c r="AN131" i="2"/>
  <c r="AK131" i="2"/>
  <c r="AN135" i="2"/>
  <c r="AO163" i="2"/>
  <c r="AS163" i="2" s="1"/>
  <c r="AL163" i="2"/>
  <c r="AH202" i="2"/>
  <c r="AN5" i="2"/>
  <c r="AF124" i="2"/>
  <c r="AG148" i="2"/>
  <c r="AG147" i="2"/>
  <c r="AH66" i="2"/>
  <c r="AG45" i="2"/>
  <c r="AH73" i="2"/>
  <c r="AI237" i="2"/>
  <c r="AE170" i="2"/>
  <c r="AM98" i="2"/>
  <c r="AE140" i="2"/>
  <c r="AJ188" i="2"/>
  <c r="AK24" i="2"/>
  <c r="AN24" i="2"/>
  <c r="AN124" i="2"/>
  <c r="AH36" i="2"/>
  <c r="AK23" i="2"/>
  <c r="AF23" i="2"/>
  <c r="AH74" i="2"/>
  <c r="AH81" i="2"/>
  <c r="AI245" i="2"/>
  <c r="AM197" i="2"/>
  <c r="AM140" i="2"/>
  <c r="AJ195" i="2"/>
  <c r="BY85" i="2"/>
  <c r="AL105" i="2"/>
  <c r="AL141" i="2"/>
  <c r="BZ159" i="2"/>
  <c r="BZ165" i="2"/>
  <c r="AI73" i="2"/>
  <c r="AK105" i="2"/>
  <c r="AO110" i="2"/>
  <c r="AO158" i="2"/>
  <c r="AO162" i="2"/>
  <c r="BZ207" i="2"/>
  <c r="BZ211" i="2"/>
  <c r="BZ231" i="2"/>
  <c r="BZ255" i="2"/>
  <c r="CA220" i="2"/>
  <c r="BY147" i="2"/>
  <c r="AL165" i="2"/>
  <c r="CA212" i="2"/>
  <c r="CA240" i="2"/>
  <c r="CB185" i="2"/>
  <c r="CB190" i="2"/>
  <c r="CB206" i="2"/>
  <c r="CB212" i="2"/>
  <c r="CB224" i="2"/>
  <c r="CB254" i="2"/>
  <c r="AH153" i="2"/>
  <c r="BY227" i="2"/>
  <c r="BY263" i="2"/>
  <c r="CA195" i="2"/>
  <c r="CA207" i="2"/>
  <c r="CA231" i="2"/>
  <c r="CA255" i="2"/>
  <c r="BY156" i="2"/>
  <c r="CA137" i="2"/>
  <c r="AN197" i="2"/>
  <c r="BZ212" i="2"/>
  <c r="AO216" i="2"/>
  <c r="BZ228" i="2"/>
  <c r="BZ246" i="2"/>
  <c r="BZ49" i="2"/>
  <c r="BY168" i="2"/>
  <c r="BY231" i="2"/>
  <c r="CB223" i="2"/>
  <c r="AH10" i="2"/>
  <c r="AK41" i="2"/>
  <c r="AJ81" i="2"/>
  <c r="AN113" i="2"/>
  <c r="AM133" i="2"/>
  <c r="AH161" i="2"/>
  <c r="AN177" i="2"/>
  <c r="AO196" i="2"/>
  <c r="AH240" i="2"/>
  <c r="AH38" i="2"/>
  <c r="AM62" i="2"/>
  <c r="AK94" i="2"/>
  <c r="AL142" i="2"/>
  <c r="AN174" i="2"/>
  <c r="AN217" i="2"/>
  <c r="AN249" i="2"/>
  <c r="AN143" i="2"/>
  <c r="AM210" i="2"/>
  <c r="AN48" i="2"/>
  <c r="AI80" i="2"/>
  <c r="AI164" i="2"/>
  <c r="AL191" i="2"/>
  <c r="AI247" i="2"/>
  <c r="AK3" i="2"/>
  <c r="AJ17" i="2"/>
  <c r="AH176" i="2"/>
  <c r="AM25" i="2"/>
  <c r="AJ49" i="2"/>
  <c r="AE93" i="2"/>
  <c r="AO125" i="2"/>
  <c r="AG137" i="2"/>
  <c r="AE157" i="2"/>
  <c r="AI177" i="2"/>
  <c r="AE204" i="2"/>
  <c r="AO228" i="2"/>
  <c r="AF244" i="2"/>
  <c r="AK83" i="2"/>
  <c r="AO24" i="2"/>
  <c r="AG15" i="2"/>
  <c r="AG42" i="2"/>
  <c r="AF74" i="2"/>
  <c r="AM106" i="2"/>
  <c r="AM130" i="2"/>
  <c r="AE182" i="2"/>
  <c r="AH213" i="2"/>
  <c r="AN241" i="2"/>
  <c r="AG139" i="2"/>
  <c r="AM60" i="2"/>
  <c r="AI140" i="2"/>
  <c r="AE235" i="2"/>
  <c r="AI21" i="2"/>
  <c r="AH18" i="2"/>
  <c r="AN101" i="2"/>
  <c r="AI145" i="2"/>
  <c r="AL148" i="2"/>
  <c r="AI89" i="2"/>
  <c r="CA215" i="2"/>
  <c r="BZ210" i="2"/>
  <c r="AM40" i="2"/>
  <c r="AN37" i="2"/>
  <c r="AN112" i="2"/>
  <c r="AF68" i="2"/>
  <c r="AK180" i="2"/>
  <c r="AJ161" i="2"/>
  <c r="AD208" i="2"/>
  <c r="AI92" i="2"/>
  <c r="AM92" i="2"/>
  <c r="AE203" i="2"/>
  <c r="AO211" i="2"/>
  <c r="AD211" i="2"/>
  <c r="AG49" i="2"/>
  <c r="AG208" i="2"/>
  <c r="AJ212" i="2"/>
  <c r="AM212" i="2"/>
  <c r="AO116" i="2"/>
  <c r="AE176" i="2"/>
  <c r="AM26" i="2"/>
  <c r="AO66" i="2"/>
  <c r="AK82" i="2"/>
  <c r="AF213" i="2"/>
  <c r="AO217" i="2"/>
  <c r="AK229" i="2"/>
  <c r="AK233" i="2"/>
  <c r="AI84" i="2"/>
  <c r="AE128" i="2"/>
  <c r="AF8" i="2"/>
  <c r="AO12" i="2"/>
  <c r="AO43" i="2"/>
  <c r="AN83" i="2"/>
  <c r="AO99" i="2"/>
  <c r="AF119" i="2"/>
  <c r="AG187" i="2"/>
  <c r="AE187" i="2"/>
  <c r="AK48" i="2"/>
  <c r="AE44" i="2"/>
  <c r="AM100" i="2"/>
  <c r="AF40" i="2"/>
  <c r="AF132" i="2"/>
  <c r="AO67" i="2"/>
  <c r="AG25" i="2"/>
  <c r="AL10" i="2"/>
  <c r="AL81" i="2"/>
  <c r="AH113" i="2"/>
  <c r="AF249" i="2"/>
  <c r="AE201" i="2"/>
  <c r="AE249" i="2"/>
  <c r="AD203" i="2"/>
  <c r="AD129" i="2"/>
  <c r="AD216" i="2"/>
  <c r="BY93" i="2"/>
  <c r="BY101" i="2"/>
  <c r="BY121" i="2"/>
  <c r="AJ80" i="2"/>
  <c r="AF97" i="2"/>
  <c r="AI49" i="2"/>
  <c r="CB90" i="2"/>
  <c r="AO176" i="2"/>
  <c r="BZ199" i="2"/>
  <c r="AG203" i="2"/>
  <c r="CA268" i="2"/>
  <c r="CA256" i="2"/>
  <c r="CB151" i="2"/>
  <c r="CB157" i="2"/>
  <c r="CB163" i="2"/>
  <c r="CB196" i="2"/>
  <c r="AE202" i="2"/>
  <c r="CB238" i="2"/>
  <c r="AM248" i="2"/>
  <c r="CB260" i="2"/>
  <c r="CB266" i="2"/>
  <c r="AN244" i="2"/>
  <c r="AN145" i="2"/>
  <c r="CA156" i="2"/>
  <c r="AF212" i="2"/>
  <c r="CB180" i="2"/>
  <c r="BZ200" i="2"/>
  <c r="BZ218" i="2"/>
  <c r="BZ57" i="2"/>
  <c r="BY172" i="2"/>
  <c r="BY271" i="2"/>
  <c r="CB259" i="2"/>
  <c r="AE10" i="2"/>
  <c r="AM81" i="2"/>
  <c r="AK117" i="2"/>
  <c r="AN133" i="2"/>
  <c r="AD161" i="2"/>
  <c r="AD185" i="2"/>
  <c r="AO204" i="2"/>
  <c r="AL240" i="2"/>
  <c r="AO38" i="2"/>
  <c r="AI70" i="2"/>
  <c r="AL94" i="2"/>
  <c r="AO146" i="2"/>
  <c r="AF174" i="2"/>
  <c r="AE193" i="2"/>
  <c r="AH221" i="2"/>
  <c r="AO48" i="2"/>
  <c r="AK191" i="2"/>
  <c r="AH247" i="2"/>
  <c r="AH3" i="2"/>
  <c r="AM120" i="2"/>
  <c r="AM6" i="2"/>
  <c r="AM29" i="2"/>
  <c r="AN81" i="2"/>
  <c r="AO93" i="2"/>
  <c r="AH125" i="2"/>
  <c r="AO141" i="2"/>
  <c r="AK161" i="2"/>
  <c r="AG185" i="2"/>
  <c r="AE208" i="2"/>
  <c r="AN228" i="2"/>
  <c r="AH248" i="2"/>
  <c r="AN175" i="2"/>
  <c r="AG24" i="2"/>
  <c r="AK144" i="2"/>
  <c r="AM19" i="2"/>
  <c r="AN50" i="2"/>
  <c r="AH78" i="2"/>
  <c r="AN106" i="2"/>
  <c r="AL130" i="2"/>
  <c r="AH182" i="2"/>
  <c r="AF245" i="2"/>
  <c r="AN151" i="2"/>
  <c r="AL155" i="2"/>
  <c r="AO80" i="2"/>
  <c r="AI156" i="2"/>
  <c r="AM235" i="2"/>
  <c r="AK22" i="2"/>
  <c r="AI45" i="2"/>
  <c r="CA181" i="2"/>
  <c r="BZ250" i="2"/>
  <c r="BY275" i="2"/>
  <c r="AI97" i="2"/>
  <c r="AL13" i="2"/>
  <c r="AF236" i="2"/>
  <c r="AL18" i="2"/>
  <c r="BZ37" i="2"/>
  <c r="CA97" i="2"/>
  <c r="CA89" i="2"/>
  <c r="AM181" i="2"/>
  <c r="CB202" i="2"/>
  <c r="BZ183" i="2"/>
  <c r="CA248" i="2"/>
  <c r="AI81" i="2"/>
  <c r="AE141" i="2"/>
  <c r="AF189" i="2"/>
  <c r="AI125" i="2"/>
  <c r="AG145" i="2"/>
  <c r="AN92" i="2"/>
  <c r="AG80" i="2"/>
  <c r="AN21" i="2"/>
  <c r="AM104" i="2"/>
  <c r="AE164" i="2"/>
  <c r="AM180" i="2"/>
  <c r="AO180" i="2"/>
  <c r="AN247" i="2"/>
  <c r="AM10" i="2"/>
  <c r="AO29" i="2"/>
  <c r="AO41" i="2"/>
  <c r="AN89" i="2"/>
  <c r="AM129" i="2"/>
  <c r="AN149" i="2"/>
  <c r="AN157" i="2"/>
  <c r="AL161" i="2"/>
  <c r="AH169" i="2"/>
  <c r="AL177" i="2"/>
  <c r="AN181" i="2"/>
  <c r="AO185" i="2"/>
  <c r="AE192" i="2"/>
  <c r="AH208" i="2"/>
  <c r="AM216" i="2"/>
  <c r="AL5" i="2"/>
  <c r="AO152" i="2"/>
  <c r="AN7" i="2"/>
  <c r="AE11" i="2"/>
  <c r="AN23" i="2"/>
  <c r="AL30" i="2"/>
  <c r="AL38" i="2"/>
  <c r="AO42" i="2"/>
  <c r="AJ50" i="2"/>
  <c r="AO86" i="2"/>
  <c r="AG90" i="2"/>
  <c r="AK98" i="2"/>
  <c r="AM102" i="2"/>
  <c r="AM110" i="2"/>
  <c r="AJ118" i="2"/>
  <c r="AL126" i="2"/>
  <c r="AO130" i="2"/>
  <c r="AO134" i="2"/>
  <c r="AL150" i="2"/>
  <c r="AL158" i="2"/>
  <c r="AK162" i="2"/>
  <c r="AL166" i="2"/>
  <c r="AO166" i="2"/>
  <c r="AK174" i="2"/>
  <c r="AK193" i="2"/>
  <c r="AM209" i="2"/>
  <c r="AN213" i="2"/>
  <c r="AG233" i="2"/>
  <c r="AF237" i="2"/>
  <c r="AL104" i="2"/>
  <c r="AE124" i="2"/>
  <c r="AE211" i="2"/>
  <c r="AH140" i="2"/>
  <c r="AF148" i="2"/>
  <c r="AF180" i="2"/>
  <c r="AF93" i="2"/>
  <c r="AJ177" i="2"/>
  <c r="AE181" i="2"/>
  <c r="AI185" i="2"/>
  <c r="AK185" i="2"/>
  <c r="AL64" i="2"/>
  <c r="AE61" i="2"/>
  <c r="BZ164" i="2"/>
  <c r="CA175" i="2"/>
  <c r="CB232" i="2"/>
  <c r="BZ214" i="2"/>
  <c r="CB227" i="2"/>
  <c r="AN117" i="2"/>
  <c r="AI161" i="2"/>
  <c r="AF3" i="2"/>
  <c r="AM64" i="2"/>
  <c r="AM124" i="2"/>
  <c r="AK239" i="2"/>
  <c r="AG18" i="2"/>
  <c r="AM18" i="2"/>
  <c r="AN45" i="2"/>
  <c r="AK49" i="2"/>
  <c r="AN73" i="2"/>
  <c r="AK81" i="2"/>
  <c r="AG81" i="2"/>
  <c r="AN97" i="2"/>
  <c r="AF105" i="2"/>
  <c r="AD113" i="2"/>
  <c r="AK113" i="2"/>
  <c r="AL117" i="2"/>
  <c r="AN141" i="2"/>
  <c r="AH145" i="2"/>
  <c r="AG189" i="2"/>
  <c r="AH200" i="2"/>
  <c r="AJ224" i="2"/>
  <c r="AM224" i="2"/>
  <c r="AJ228" i="2"/>
  <c r="AM232" i="2"/>
  <c r="AJ236" i="2"/>
  <c r="AJ116" i="2"/>
  <c r="AI191" i="2"/>
  <c r="AE207" i="2"/>
  <c r="AK235" i="2"/>
  <c r="AM15" i="2"/>
  <c r="AJ3" i="2"/>
  <c r="AE48" i="2"/>
  <c r="AM112" i="2"/>
  <c r="AG48" i="2"/>
  <c r="AI6" i="2"/>
  <c r="AL7" i="2"/>
  <c r="AI86" i="2"/>
  <c r="AH14" i="2"/>
  <c r="AF50" i="2"/>
  <c r="AJ62" i="2"/>
  <c r="AM142" i="2"/>
  <c r="AD247" i="2"/>
  <c r="AD192" i="2"/>
  <c r="AL137" i="2"/>
  <c r="CB133" i="2"/>
  <c r="AJ5" i="2"/>
  <c r="AF73" i="2"/>
  <c r="BZ61" i="2"/>
  <c r="CA101" i="2"/>
  <c r="AO106" i="2"/>
  <c r="BZ156" i="2"/>
  <c r="AK177" i="2"/>
  <c r="AO203" i="2"/>
  <c r="BZ223" i="2"/>
  <c r="BZ267" i="2"/>
  <c r="CA204" i="2"/>
  <c r="CA234" i="2"/>
  <c r="BY198" i="2"/>
  <c r="BY230" i="2"/>
  <c r="BY236" i="2"/>
  <c r="AN148" i="2"/>
  <c r="CA222" i="2"/>
  <c r="CB171" i="2"/>
  <c r="CB177" i="2"/>
  <c r="BZ167" i="2"/>
  <c r="BZ177" i="2"/>
  <c r="BZ202" i="2"/>
  <c r="BZ53" i="2"/>
  <c r="CA155" i="2"/>
  <c r="CA254" i="2"/>
  <c r="AJ248" i="2"/>
  <c r="AO18" i="2"/>
  <c r="AK61" i="2"/>
  <c r="AD93" i="2"/>
  <c r="AE117" i="2"/>
  <c r="AL145" i="2"/>
  <c r="AE165" i="2"/>
  <c r="AE189" i="2"/>
  <c r="AL216" i="2"/>
  <c r="AD248" i="2"/>
  <c r="AH15" i="2"/>
  <c r="AJ42" i="2"/>
  <c r="AK78" i="2"/>
  <c r="AJ92" i="2"/>
  <c r="AH136" i="2"/>
  <c r="AE195" i="2"/>
  <c r="AG223" i="2"/>
  <c r="AL247" i="2"/>
  <c r="AM148" i="2"/>
  <c r="AO10" i="2"/>
  <c r="AM33" i="2"/>
  <c r="AO85" i="2"/>
  <c r="AH105" i="2"/>
  <c r="AK129" i="2"/>
  <c r="AE149" i="2"/>
  <c r="AI192" i="2"/>
  <c r="AK216" i="2"/>
  <c r="AL232" i="2"/>
  <c r="AH104" i="2"/>
  <c r="AK152" i="2"/>
  <c r="AO19" i="2"/>
  <c r="AN90" i="2"/>
  <c r="AN114" i="2"/>
  <c r="AE150" i="2"/>
  <c r="AK100" i="2"/>
  <c r="AM3" i="2"/>
  <c r="AG13" i="2"/>
  <c r="AE21" i="2"/>
  <c r="AF21" i="2"/>
  <c r="AO40" i="2"/>
  <c r="AJ40" i="2"/>
  <c r="AF48" i="2"/>
  <c r="AE64" i="2"/>
  <c r="AJ68" i="2"/>
  <c r="AK80" i="2"/>
  <c r="AE80" i="2"/>
  <c r="AE104" i="2"/>
  <c r="AI112" i="2"/>
  <c r="AG124" i="2"/>
  <c r="AJ140" i="2"/>
  <c r="AG180" i="2"/>
  <c r="AN195" i="2"/>
  <c r="AK203" i="2"/>
  <c r="AH203" i="2"/>
  <c r="AM211" i="2"/>
  <c r="AO223" i="2"/>
  <c r="AJ223" i="2"/>
  <c r="AG239" i="2"/>
  <c r="AO247" i="2"/>
  <c r="AJ247" i="2"/>
  <c r="AK14" i="2"/>
  <c r="AF18" i="2"/>
  <c r="AE18" i="2"/>
  <c r="AN22" i="2"/>
  <c r="AI25" i="2"/>
  <c r="AE25" i="2"/>
  <c r="AJ29" i="2"/>
  <c r="AO33" i="2"/>
  <c r="AE33" i="2"/>
  <c r="AF37" i="2"/>
  <c r="AN41" i="2"/>
  <c r="AE41" i="2"/>
  <c r="AJ45" i="2"/>
  <c r="AH49" i="2"/>
  <c r="AE49" i="2"/>
  <c r="AF61" i="2"/>
  <c r="AO65" i="2"/>
  <c r="AE69" i="2"/>
  <c r="AG73" i="2"/>
  <c r="AO81" i="2"/>
  <c r="AD85" i="2"/>
  <c r="AG89" i="2"/>
  <c r="AJ97" i="2"/>
  <c r="AN105" i="2"/>
  <c r="AJ105" i="2"/>
  <c r="AJ113" i="2"/>
  <c r="AL125" i="2"/>
  <c r="AL129" i="2"/>
  <c r="AF133" i="2"/>
  <c r="AH137" i="2"/>
  <c r="AF141" i="2"/>
  <c r="AO145" i="2"/>
  <c r="AD145" i="2"/>
  <c r="AF149" i="2"/>
  <c r="AG153" i="2"/>
  <c r="AD153" i="2"/>
  <c r="AF157" i="2"/>
  <c r="AF165" i="2"/>
  <c r="AG169" i="2"/>
  <c r="AF173" i="2"/>
  <c r="AO177" i="2"/>
  <c r="AF181" i="2"/>
  <c r="AH185" i="2"/>
  <c r="AL185" i="2"/>
  <c r="AN189" i="2"/>
  <c r="AH192" i="2"/>
  <c r="AL192" i="2"/>
  <c r="AN196" i="2"/>
  <c r="AO200" i="2"/>
  <c r="AL200" i="2"/>
  <c r="AN204" i="2"/>
  <c r="AL208" i="2"/>
  <c r="AH212" i="2"/>
  <c r="AG216" i="2"/>
  <c r="AG224" i="2"/>
  <c r="AE224" i="2"/>
  <c r="AI228" i="2"/>
  <c r="AO232" i="2"/>
  <c r="AI236" i="2"/>
  <c r="AG240" i="2"/>
  <c r="AE240" i="2"/>
  <c r="AI244" i="2"/>
  <c r="AG248" i="2"/>
  <c r="AO5" i="2"/>
  <c r="AF5" i="2"/>
  <c r="AJ24" i="2"/>
  <c r="AK36" i="2"/>
  <c r="AM36" i="2"/>
  <c r="AG100" i="2"/>
  <c r="AI116" i="2"/>
  <c r="AJ136" i="2"/>
  <c r="AM152" i="2"/>
  <c r="AJ28" i="2"/>
  <c r="AI40" i="2"/>
  <c r="AF239" i="2"/>
  <c r="AO153" i="2"/>
  <c r="AK153" i="2"/>
  <c r="AM165" i="2"/>
  <c r="AK169" i="2"/>
  <c r="AJ185" i="2"/>
  <c r="AJ192" i="2"/>
  <c r="AF196" i="2"/>
  <c r="AJ200" i="2"/>
  <c r="AD200" i="2"/>
  <c r="AF204" i="2"/>
  <c r="AJ208" i="2"/>
  <c r="AN212" i="2"/>
  <c r="AN220" i="2"/>
  <c r="AO224" i="2"/>
  <c r="AL224" i="2"/>
  <c r="AN236" i="2"/>
  <c r="AO248" i="2"/>
  <c r="AI36" i="2"/>
  <c r="AL116" i="2"/>
  <c r="AO191" i="2"/>
  <c r="AI219" i="2"/>
  <c r="AI7" i="2"/>
  <c r="AN11" i="2"/>
  <c r="AG23" i="2"/>
  <c r="AJ30" i="2"/>
  <c r="AI30" i="2"/>
  <c r="AJ38" i="2"/>
  <c r="AN46" i="2"/>
  <c r="AI46" i="2"/>
  <c r="AL70" i="2"/>
  <c r="AJ86" i="2"/>
  <c r="AI102" i="2"/>
  <c r="AL102" i="2"/>
  <c r="AH118" i="2"/>
  <c r="AL118" i="2"/>
  <c r="AK134" i="2"/>
  <c r="AN134" i="2"/>
  <c r="AI138" i="2"/>
  <c r="AI146" i="2"/>
  <c r="AN150" i="2"/>
  <c r="AI170" i="2"/>
  <c r="AE186" i="2"/>
  <c r="AO197" i="2"/>
  <c r="AO213" i="2"/>
  <c r="AE217" i="2"/>
  <c r="AN233" i="2"/>
  <c r="AK237" i="2"/>
  <c r="AG88" i="2"/>
  <c r="AN108" i="2"/>
  <c r="AE132" i="2"/>
  <c r="AD172" i="2"/>
  <c r="AM188" i="2"/>
  <c r="CB156" i="2"/>
  <c r="AK64" i="2"/>
  <c r="AO89" i="2"/>
  <c r="AM141" i="2"/>
  <c r="CB160" i="2"/>
  <c r="CA198" i="2"/>
  <c r="AJ104" i="2"/>
  <c r="AL3" i="2"/>
  <c r="AO21" i="2"/>
  <c r="AH21" i="2"/>
  <c r="AF92" i="2"/>
  <c r="AF203" i="2"/>
  <c r="AH45" i="2"/>
  <c r="AK224" i="2"/>
  <c r="AM5" i="2"/>
  <c r="AH5" i="2"/>
  <c r="AE36" i="2"/>
  <c r="AG116" i="2"/>
  <c r="AE152" i="2"/>
  <c r="AF152" i="2"/>
  <c r="AJ207" i="2"/>
  <c r="AG219" i="2"/>
  <c r="AH219" i="2"/>
  <c r="AL11" i="2"/>
  <c r="AN26" i="2"/>
  <c r="AF30" i="2"/>
  <c r="AH30" i="2"/>
  <c r="AH46" i="2"/>
  <c r="AF66" i="2"/>
  <c r="AF90" i="2"/>
  <c r="AF98" i="2"/>
  <c r="AG102" i="2"/>
  <c r="AF106" i="2"/>
  <c r="AG118" i="2"/>
  <c r="AI126" i="2"/>
  <c r="AH146" i="2"/>
  <c r="AF150" i="2"/>
  <c r="AH154" i="2"/>
  <c r="AH162" i="2"/>
  <c r="AF166" i="2"/>
  <c r="AH178" i="2"/>
  <c r="AK182" i="2"/>
  <c r="AF182" i="2"/>
  <c r="AJ186" i="2"/>
  <c r="AJ193" i="2"/>
  <c r="AG197" i="2"/>
  <c r="AJ201" i="2"/>
  <c r="AG213" i="2"/>
  <c r="AL217" i="2"/>
  <c r="AH229" i="2"/>
  <c r="AJ88" i="2"/>
  <c r="AH156" i="2"/>
  <c r="AK9" i="2"/>
  <c r="AF60" i="2"/>
  <c r="AI144" i="2"/>
  <c r="AG16" i="2"/>
  <c r="AQ16" i="2" s="1"/>
  <c r="BY57" i="2"/>
  <c r="BY137" i="2"/>
  <c r="BZ85" i="2"/>
  <c r="CA105" i="2"/>
  <c r="CA147" i="2"/>
  <c r="BY167" i="2"/>
  <c r="BY208" i="2"/>
  <c r="BY264" i="2"/>
  <c r="CB208" i="2"/>
  <c r="CA202" i="2"/>
  <c r="BZ198" i="2"/>
  <c r="BZ242" i="2"/>
  <c r="BY176" i="2"/>
  <c r="CA224" i="2"/>
  <c r="AN60" i="2"/>
  <c r="AK62" i="2"/>
  <c r="AF128" i="2"/>
  <c r="AG3" i="2"/>
  <c r="AN13" i="2"/>
  <c r="AF13" i="2"/>
  <c r="AJ21" i="2"/>
  <c r="AE28" i="2"/>
  <c r="AF28" i="2"/>
  <c r="AN40" i="2"/>
  <c r="AM48" i="2"/>
  <c r="AH64" i="2"/>
  <c r="AK68" i="2"/>
  <c r="AE68" i="2"/>
  <c r="AH80" i="2"/>
  <c r="AG92" i="2"/>
  <c r="AE92" i="2"/>
  <c r="AI104" i="2"/>
  <c r="AE112" i="2"/>
  <c r="AJ124" i="2"/>
  <c r="AL140" i="2"/>
  <c r="AG140" i="2"/>
  <c r="AJ148" i="2"/>
  <c r="AG164" i="2"/>
  <c r="AJ180" i="2"/>
  <c r="AK195" i="2"/>
  <c r="AH195" i="2"/>
  <c r="AN203" i="2"/>
  <c r="AN211" i="2"/>
  <c r="AJ211" i="2"/>
  <c r="AM223" i="2"/>
  <c r="AN239" i="2"/>
  <c r="AJ239" i="2"/>
  <c r="AG247" i="2"/>
  <c r="AO6" i="2"/>
  <c r="AE6" i="2"/>
  <c r="AK10" i="2"/>
  <c r="AE14" i="2"/>
  <c r="AH22" i="2"/>
  <c r="AE22" i="2"/>
  <c r="AO25" i="2"/>
  <c r="AG29" i="2"/>
  <c r="AE29" i="2"/>
  <c r="AF33" i="2"/>
  <c r="AG37" i="2"/>
  <c r="AE37" i="2"/>
  <c r="AI41" i="2"/>
  <c r="AO45" i="2"/>
  <c r="AE45" i="2"/>
  <c r="AF49" i="2"/>
  <c r="AO61" i="2"/>
  <c r="AJ61" i="2"/>
  <c r="AK65" i="2"/>
  <c r="AM69" i="2"/>
  <c r="AJ69" i="2"/>
  <c r="AO73" i="2"/>
  <c r="AF81" i="2"/>
  <c r="AK85" i="2"/>
  <c r="AL93" i="2"/>
  <c r="AL97" i="2"/>
  <c r="AK101" i="2"/>
  <c r="AJ101" i="2"/>
  <c r="AE105" i="2"/>
  <c r="AO109" i="2"/>
  <c r="AJ109" i="2"/>
  <c r="AF113" i="2"/>
  <c r="AC117" i="2"/>
  <c r="AM125" i="2"/>
  <c r="AF125" i="2"/>
  <c r="AH129" i="2"/>
  <c r="AO133" i="2"/>
  <c r="AO246" i="2"/>
  <c r="BY129" i="2"/>
  <c r="CB129" i="2"/>
  <c r="BZ137" i="2"/>
  <c r="BZ157" i="2"/>
  <c r="CA139" i="2"/>
  <c r="BZ188" i="2"/>
  <c r="BZ247" i="2"/>
  <c r="BZ251" i="2"/>
  <c r="BY143" i="2"/>
  <c r="BY202" i="2"/>
  <c r="BY234" i="2"/>
  <c r="BY246" i="2"/>
  <c r="BY252" i="2"/>
  <c r="BY276" i="2"/>
  <c r="CA200" i="2"/>
  <c r="CA228" i="2"/>
  <c r="CB145" i="2"/>
  <c r="CB153" i="2"/>
  <c r="CB165" i="2"/>
  <c r="CB183" i="2"/>
  <c r="CB192" i="2"/>
  <c r="CB250" i="2"/>
  <c r="CB272" i="2"/>
  <c r="CB195" i="2"/>
  <c r="CA159" i="2"/>
  <c r="CA242" i="2"/>
  <c r="CA266" i="2"/>
  <c r="CA191" i="2"/>
  <c r="CA203" i="2"/>
  <c r="CA219" i="2"/>
  <c r="CA263" i="2"/>
  <c r="BZ204" i="2"/>
  <c r="BZ220" i="2"/>
  <c r="BZ252" i="2"/>
  <c r="BZ274" i="2"/>
  <c r="CB188" i="2"/>
  <c r="CA214" i="2"/>
  <c r="CA125" i="2"/>
  <c r="CA274" i="2"/>
  <c r="CA272" i="2"/>
  <c r="AF46" i="2"/>
  <c r="AF7" i="2"/>
  <c r="AL42" i="2"/>
  <c r="BY89" i="2"/>
  <c r="BY109" i="2"/>
  <c r="BZ125" i="2"/>
  <c r="CA109" i="2"/>
  <c r="BZ172" i="2"/>
  <c r="BZ215" i="2"/>
  <c r="CA185" i="2"/>
  <c r="CA244" i="2"/>
  <c r="BY151" i="2"/>
  <c r="BY157" i="2"/>
  <c r="BY173" i="2"/>
  <c r="BY179" i="2"/>
  <c r="BY190" i="2"/>
  <c r="BY196" i="2"/>
  <c r="BY222" i="2"/>
  <c r="BY228" i="2"/>
  <c r="BY240" i="2"/>
  <c r="BY235" i="2"/>
  <c r="CB172" i="2"/>
  <c r="CB222" i="2"/>
  <c r="CB234" i="2"/>
  <c r="CB240" i="2"/>
  <c r="CB246" i="2"/>
  <c r="CB256" i="2"/>
  <c r="CB262" i="2"/>
  <c r="BY160" i="2"/>
  <c r="BY207" i="2"/>
  <c r="AJ242" i="2"/>
  <c r="CA176" i="2"/>
  <c r="CA247" i="2"/>
  <c r="CA267" i="2"/>
  <c r="BY191" i="2"/>
  <c r="BY239" i="2"/>
  <c r="BY259" i="2"/>
  <c r="CA177" i="2"/>
  <c r="BZ169" i="2"/>
  <c r="BZ175" i="2"/>
  <c r="BZ181" i="2"/>
  <c r="BZ187" i="2"/>
  <c r="BZ192" i="2"/>
  <c r="BZ216" i="2"/>
  <c r="BZ226" i="2"/>
  <c r="BZ232" i="2"/>
  <c r="BZ236" i="2"/>
  <c r="BZ248" i="2"/>
  <c r="BZ264" i="2"/>
  <c r="BZ270" i="2"/>
  <c r="BY180" i="2"/>
  <c r="BY215" i="2"/>
  <c r="CB191" i="2"/>
  <c r="CB231" i="2"/>
  <c r="BY255" i="2"/>
  <c r="CB219" i="2"/>
  <c r="CA145" i="2"/>
  <c r="CA171" i="2"/>
  <c r="CA232" i="2"/>
  <c r="AE86" i="2"/>
  <c r="AL8" i="2"/>
  <c r="AG230" i="2"/>
  <c r="AG152" i="2"/>
  <c r="AH168" i="2"/>
  <c r="AL243" i="2"/>
  <c r="AH72" i="2"/>
  <c r="AG108" i="2"/>
  <c r="AF160" i="2"/>
  <c r="AE32" i="2"/>
  <c r="AH86" i="2"/>
  <c r="BZ239" i="2"/>
  <c r="BZ243" i="2"/>
  <c r="BZ275" i="2"/>
  <c r="BY145" i="2"/>
  <c r="BY163" i="2"/>
  <c r="BY185" i="2"/>
  <c r="BY216" i="2"/>
  <c r="BY254" i="2"/>
  <c r="BY260" i="2"/>
  <c r="BY266" i="2"/>
  <c r="CB144" i="2"/>
  <c r="CB176" i="2"/>
  <c r="CA169" i="2"/>
  <c r="CB155" i="2"/>
  <c r="CB161" i="2"/>
  <c r="CB167" i="2"/>
  <c r="CB173" i="2"/>
  <c r="CB179" i="2"/>
  <c r="CB194" i="2"/>
  <c r="CB204" i="2"/>
  <c r="CB210" i="2"/>
  <c r="CB216" i="2"/>
  <c r="CB228" i="2"/>
  <c r="CB268" i="2"/>
  <c r="BY211" i="2"/>
  <c r="CA129" i="2"/>
  <c r="CA167" i="2"/>
  <c r="CA210" i="2"/>
  <c r="CA246" i="2"/>
  <c r="CA270" i="2"/>
  <c r="CA160" i="2"/>
  <c r="CA188" i="2"/>
  <c r="CA199" i="2"/>
  <c r="CA271" i="2"/>
  <c r="BY243" i="2"/>
  <c r="BZ206" i="2"/>
  <c r="BZ222" i="2"/>
  <c r="BZ254" i="2"/>
  <c r="BY184" i="2"/>
  <c r="CB199" i="2"/>
  <c r="CB271" i="2"/>
  <c r="CA153" i="2"/>
  <c r="CA230" i="2"/>
  <c r="CA276" i="2"/>
  <c r="BY199" i="2"/>
  <c r="CB243" i="2"/>
  <c r="CA149" i="2"/>
  <c r="CA238" i="2"/>
  <c r="AM218" i="2"/>
  <c r="AM234" i="2"/>
  <c r="AO218" i="2"/>
  <c r="AI222" i="2"/>
  <c r="AN3" i="2"/>
  <c r="AH13" i="2"/>
  <c r="AM21" i="2"/>
  <c r="AG28" i="2"/>
  <c r="AH28" i="2"/>
  <c r="AG40" i="2"/>
  <c r="AJ48" i="2"/>
  <c r="AH48" i="2"/>
  <c r="AF64" i="2"/>
  <c r="AG68" i="2"/>
  <c r="AF80" i="2"/>
  <c r="AF104" i="2"/>
  <c r="AG112" i="2"/>
  <c r="AH124" i="2"/>
  <c r="AF140" i="2"/>
  <c r="AH148" i="2"/>
  <c r="AK164" i="2"/>
  <c r="AF164" i="2"/>
  <c r="AH180" i="2"/>
  <c r="AF195" i="2"/>
  <c r="AG195" i="2"/>
  <c r="AJ203" i="2"/>
  <c r="AG211" i="2"/>
  <c r="AH211" i="2"/>
  <c r="AL223" i="2"/>
  <c r="AL239" i="2"/>
  <c r="AH239" i="2"/>
  <c r="AM247" i="2"/>
  <c r="AK6" i="2"/>
  <c r="AN14" i="2"/>
  <c r="AO22" i="2"/>
  <c r="AJ25" i="2"/>
  <c r="AI29" i="2"/>
  <c r="AO37" i="2"/>
  <c r="AH41" i="2"/>
  <c r="AF45" i="2"/>
  <c r="AN49" i="2"/>
  <c r="AL61" i="2"/>
  <c r="AH61" i="2"/>
  <c r="AK69" i="2"/>
  <c r="AH69" i="2"/>
  <c r="AL73" i="2"/>
  <c r="AG85" i="2"/>
  <c r="AH85" i="2"/>
  <c r="AK89" i="2"/>
  <c r="AH93" i="2"/>
  <c r="AO97" i="2"/>
  <c r="AH101" i="2"/>
  <c r="AD105" i="2"/>
  <c r="AL109" i="2"/>
  <c r="AO117" i="2"/>
  <c r="AH117" i="2"/>
  <c r="AJ125" i="2"/>
  <c r="AO129" i="2"/>
  <c r="AJ133" i="2"/>
  <c r="AE137" i="2"/>
  <c r="AG141" i="2"/>
  <c r="AJ141" i="2"/>
  <c r="AG241" i="2"/>
  <c r="AK32" i="2"/>
  <c r="AJ176" i="2"/>
  <c r="AD191" i="2"/>
  <c r="AH191" i="2"/>
  <c r="AN207" i="2"/>
  <c r="AF219" i="2"/>
  <c r="AJ219" i="2"/>
  <c r="AG235" i="2"/>
  <c r="AO11" i="2"/>
  <c r="AF15" i="2"/>
  <c r="AJ23" i="2"/>
  <c r="AE26" i="2"/>
  <c r="AN38" i="2"/>
  <c r="AK38" i="2"/>
  <c r="AE62" i="2"/>
  <c r="AI66" i="2"/>
  <c r="AO70" i="2"/>
  <c r="AE70" i="2"/>
  <c r="AO74" i="2"/>
  <c r="AI78" i="2"/>
  <c r="AE78" i="2"/>
  <c r="AI82" i="2"/>
  <c r="AE94" i="2"/>
  <c r="AJ98" i="2"/>
  <c r="AJ102" i="2"/>
  <c r="AJ106" i="2"/>
  <c r="AE110" i="2"/>
  <c r="AJ114" i="2"/>
  <c r="AK126" i="2"/>
  <c r="AE130" i="2"/>
  <c r="AG134" i="2"/>
  <c r="AJ138" i="2"/>
  <c r="AK142" i="2"/>
  <c r="AG142" i="2"/>
  <c r="AJ146" i="2"/>
  <c r="AM150" i="2"/>
  <c r="AG150" i="2"/>
  <c r="AJ154" i="2"/>
  <c r="AG158" i="2"/>
  <c r="AJ162" i="2"/>
  <c r="AG166" i="2"/>
  <c r="AJ170" i="2"/>
  <c r="AG174" i="2"/>
  <c r="AO182" i="2"/>
  <c r="AF193" i="2"/>
  <c r="AF137" i="2"/>
  <c r="AI141" i="2"/>
  <c r="AF145" i="2"/>
  <c r="AI149" i="2"/>
  <c r="AF153" i="2"/>
  <c r="AI157" i="2"/>
  <c r="AF161" i="2"/>
  <c r="AI165" i="2"/>
  <c r="AF169" i="2"/>
  <c r="AI173" i="2"/>
  <c r="AF177" i="2"/>
  <c r="AI181" i="2"/>
  <c r="AN185" i="2"/>
  <c r="AH189" i="2"/>
  <c r="AL189" i="2"/>
  <c r="AN192" i="2"/>
  <c r="AH196" i="2"/>
  <c r="AL196" i="2"/>
  <c r="AN200" i="2"/>
  <c r="AL204" i="2"/>
  <c r="AN208" i="2"/>
  <c r="AG212" i="2"/>
  <c r="AH216" i="2"/>
  <c r="AK220" i="2"/>
  <c r="AH224" i="2"/>
  <c r="AH228" i="2"/>
  <c r="AE228" i="2"/>
  <c r="AI232" i="2"/>
  <c r="AG236" i="2"/>
  <c r="AE236" i="2"/>
  <c r="AI240" i="2"/>
  <c r="AO244" i="2"/>
  <c r="AE244" i="2"/>
  <c r="AI248" i="2"/>
  <c r="AE5" i="2"/>
  <c r="AF24" i="2"/>
  <c r="AL24" i="2"/>
  <c r="AO36" i="2"/>
  <c r="AI100" i="2"/>
  <c r="AE100" i="2"/>
  <c r="AM136" i="2"/>
  <c r="AG136" i="2"/>
  <c r="AJ152" i="2"/>
  <c r="AK176" i="2"/>
  <c r="AG176" i="2"/>
  <c r="AN191" i="2"/>
  <c r="AL207" i="2"/>
  <c r="AH207" i="2"/>
  <c r="AM219" i="2"/>
  <c r="AL235" i="2"/>
  <c r="AJ235" i="2"/>
  <c r="AM7" i="2"/>
  <c r="AG11" i="2"/>
  <c r="AJ11" i="2"/>
  <c r="AO15" i="2"/>
  <c r="AF19" i="2"/>
  <c r="AE23" i="2"/>
  <c r="AK26" i="2"/>
  <c r="AJ26" i="2"/>
  <c r="AM34" i="2"/>
  <c r="AF38" i="2"/>
  <c r="AN42" i="2"/>
  <c r="AF42" i="2"/>
  <c r="AE46" i="2"/>
  <c r="AO50" i="2"/>
  <c r="AL50" i="2"/>
  <c r="AO62" i="2"/>
  <c r="AG66" i="2"/>
  <c r="AE66" i="2"/>
  <c r="AK70" i="2"/>
  <c r="AK74" i="2"/>
  <c r="AE74" i="2"/>
  <c r="AG78" i="2"/>
  <c r="AO82" i="2"/>
  <c r="AE82" i="2"/>
  <c r="AK86" i="2"/>
  <c r="AJ90" i="2"/>
  <c r="AG94" i="2"/>
  <c r="AE98" i="2"/>
  <c r="AK106" i="2"/>
  <c r="AH110" i="2"/>
  <c r="AG114" i="2"/>
  <c r="AE114" i="2"/>
  <c r="AO118" i="2"/>
  <c r="AG126" i="2"/>
  <c r="AI130" i="2"/>
  <c r="AK130" i="2"/>
  <c r="AJ134" i="2"/>
  <c r="AG138" i="2"/>
  <c r="AE146" i="2"/>
  <c r="AG146" i="2"/>
  <c r="AJ150" i="2"/>
  <c r="AE154" i="2"/>
  <c r="AG154" i="2"/>
  <c r="AJ158" i="2"/>
  <c r="AE162" i="2"/>
  <c r="AG162" i="2"/>
  <c r="AJ166" i="2"/>
  <c r="AG170" i="2"/>
  <c r="AG178" i="2"/>
  <c r="AH186" i="2"/>
  <c r="AL193" i="2"/>
  <c r="AH193" i="2"/>
  <c r="AF197" i="2"/>
  <c r="AI209" i="2"/>
  <c r="AM213" i="2"/>
  <c r="AK217" i="2"/>
  <c r="AJ217" i="2"/>
  <c r="AM221" i="2"/>
  <c r="AO225" i="2"/>
  <c r="AO229" i="2"/>
  <c r="AF233" i="2"/>
  <c r="AJ233" i="2"/>
  <c r="AO237" i="2"/>
  <c r="AJ241" i="2"/>
  <c r="AK245" i="2"/>
  <c r="AK249" i="2"/>
  <c r="AJ249" i="2"/>
  <c r="AO88" i="2"/>
  <c r="AI108" i="2"/>
  <c r="AE108" i="2"/>
  <c r="AI132" i="2"/>
  <c r="AG156" i="2"/>
  <c r="AJ172" i="2"/>
  <c r="AH188" i="2"/>
  <c r="AN251" i="2"/>
  <c r="AJ251" i="2"/>
  <c r="AL9" i="2"/>
  <c r="AG17" i="2"/>
  <c r="AO32" i="2"/>
  <c r="AO60" i="2"/>
  <c r="AE60" i="2"/>
  <c r="AO72" i="2"/>
  <c r="AH84" i="2"/>
  <c r="AE84" i="2"/>
  <c r="AH96" i="2"/>
  <c r="AO120" i="2"/>
  <c r="AE120" i="2"/>
  <c r="AL128" i="2"/>
  <c r="AE144" i="2"/>
  <c r="AG144" i="2"/>
  <c r="AJ160" i="2"/>
  <c r="AM168" i="2"/>
  <c r="AG168" i="2"/>
  <c r="AN184" i="2"/>
  <c r="AK199" i="2"/>
  <c r="AM215" i="2"/>
  <c r="AL227" i="2"/>
  <c r="AJ227" i="2"/>
  <c r="AG243" i="2"/>
  <c r="AJ8" i="2"/>
  <c r="AN12" i="2"/>
  <c r="AE12" i="2"/>
  <c r="AK16" i="2"/>
  <c r="AE20" i="2"/>
  <c r="AJ27" i="2"/>
  <c r="AE27" i="2"/>
  <c r="AF31" i="2"/>
  <c r="AG35" i="2"/>
  <c r="AE35" i="2"/>
  <c r="AF39" i="2"/>
  <c r="AG43" i="2"/>
  <c r="AE43" i="2"/>
  <c r="AH47" i="2"/>
  <c r="AO63" i="2"/>
  <c r="AG67" i="2"/>
  <c r="AK71" i="2"/>
  <c r="AM75" i="2"/>
  <c r="AO79" i="2"/>
  <c r="AF83" i="2"/>
  <c r="AL87" i="2"/>
  <c r="AL91" i="2"/>
  <c r="AE95" i="2"/>
  <c r="AN99" i="2"/>
  <c r="AO103" i="2"/>
  <c r="AN107" i="2"/>
  <c r="AN111" i="2"/>
  <c r="AN115" i="2"/>
  <c r="AE119" i="2"/>
  <c r="AN127" i="2"/>
  <c r="AE131" i="2"/>
  <c r="AI131" i="2"/>
  <c r="AF135" i="2"/>
  <c r="AO139" i="2"/>
  <c r="AF143" i="2"/>
  <c r="AO147" i="2"/>
  <c r="AS147" i="2" s="1"/>
  <c r="AF151" i="2"/>
  <c r="AO155" i="2"/>
  <c r="AF159" i="2"/>
  <c r="AG163" i="2"/>
  <c r="AF167" i="2"/>
  <c r="AO171" i="2"/>
  <c r="AF175" i="2"/>
  <c r="AO179" i="2"/>
  <c r="AN183" i="2"/>
  <c r="AH187" i="2"/>
  <c r="AL187" i="2"/>
  <c r="AN190" i="2"/>
  <c r="AG194" i="2"/>
  <c r="AL194" i="2"/>
  <c r="AN198" i="2"/>
  <c r="AG202" i="2"/>
  <c r="AL202" i="2"/>
  <c r="AN206" i="2"/>
  <c r="AK210" i="2"/>
  <c r="AH214" i="2"/>
  <c r="AK218" i="2"/>
  <c r="AE218" i="2"/>
  <c r="AH222" i="2"/>
  <c r="AJ226" i="2"/>
  <c r="AI230" i="2"/>
  <c r="AK234" i="2"/>
  <c r="AE234" i="2"/>
  <c r="AI238" i="2"/>
  <c r="AO242" i="2"/>
  <c r="AI246" i="2"/>
  <c r="AK250" i="2"/>
  <c r="AE250" i="2"/>
  <c r="AJ4" i="2"/>
  <c r="BY69" i="2"/>
  <c r="AI3" i="2"/>
  <c r="AI13" i="2"/>
  <c r="AI28" i="2"/>
  <c r="AL48" i="2"/>
  <c r="AI48" i="2"/>
  <c r="AN64" i="2"/>
  <c r="AH68" i="2"/>
  <c r="AL68" i="2"/>
  <c r="AN80" i="2"/>
  <c r="AO92" i="2"/>
  <c r="AL92" i="2"/>
  <c r="AN104" i="2"/>
  <c r="AH112" i="2"/>
  <c r="AL112" i="2"/>
  <c r="AI124" i="2"/>
  <c r="AN140" i="2"/>
  <c r="AI148" i="2"/>
  <c r="AL164" i="2"/>
  <c r="AN164" i="2"/>
  <c r="AI180" i="2"/>
  <c r="AO195" i="2"/>
  <c r="AK211" i="2"/>
  <c r="AI211" i="2"/>
  <c r="AE223" i="2"/>
  <c r="AO239" i="2"/>
  <c r="AI239" i="2"/>
  <c r="AF247" i="2"/>
  <c r="AN6" i="2"/>
  <c r="AL6" i="2"/>
  <c r="AI10" i="2"/>
  <c r="AO14" i="2"/>
  <c r="AL14" i="2"/>
  <c r="AK18" i="2"/>
  <c r="AG22" i="2"/>
  <c r="AL22" i="2"/>
  <c r="AN25" i="2"/>
  <c r="AF29" i="2"/>
  <c r="AH33" i="2"/>
  <c r="AJ37" i="2"/>
  <c r="AL37" i="2"/>
  <c r="AK45" i="2"/>
  <c r="AL45" i="2"/>
  <c r="AO49" i="2"/>
  <c r="AN61" i="2"/>
  <c r="AI61" i="2"/>
  <c r="AF65" i="2"/>
  <c r="AF69" i="2"/>
  <c r="AI69" i="2"/>
  <c r="AE81" i="2"/>
  <c r="AI85" i="2"/>
  <c r="AK93" i="2"/>
  <c r="AI93" i="2"/>
  <c r="AK97" i="2"/>
  <c r="AG101" i="2"/>
  <c r="AI101" i="2"/>
  <c r="AO105" i="2"/>
  <c r="AN109" i="2"/>
  <c r="AI109" i="2"/>
  <c r="AE113" i="2"/>
  <c r="AF117" i="2"/>
  <c r="AI117" i="2"/>
  <c r="AE125" i="2"/>
  <c r="AK125" i="2"/>
  <c r="AG129" i="2"/>
  <c r="AH133" i="2"/>
  <c r="AK133" i="2"/>
  <c r="AM137" i="2"/>
  <c r="AH141" i="2"/>
  <c r="AK141" i="2"/>
  <c r="AM145" i="2"/>
  <c r="AH149" i="2"/>
  <c r="AK149" i="2"/>
  <c r="AM153" i="2"/>
  <c r="AH157" i="2"/>
  <c r="AK157" i="2"/>
  <c r="AM161" i="2"/>
  <c r="AH165" i="2"/>
  <c r="AK165" i="2"/>
  <c r="AM169" i="2"/>
  <c r="AH173" i="2"/>
  <c r="AK173" i="2"/>
  <c r="AM177" i="2"/>
  <c r="AH181" i="2"/>
  <c r="AK181" i="2"/>
  <c r="AF185" i="2"/>
  <c r="AJ189" i="2"/>
  <c r="AC189" i="2"/>
  <c r="AF192" i="2"/>
  <c r="AJ196" i="2"/>
  <c r="AJ204" i="2"/>
  <c r="AK212" i="2"/>
  <c r="AL212" i="2"/>
  <c r="AN216" i="2"/>
  <c r="AJ220" i="2"/>
  <c r="AL220" i="2"/>
  <c r="AN224" i="2"/>
  <c r="AG228" i="2"/>
  <c r="AL228" i="2"/>
  <c r="AN232" i="2"/>
  <c r="AO236" i="2"/>
  <c r="AL236" i="2"/>
  <c r="AN240" i="2"/>
  <c r="AH244" i="2"/>
  <c r="AL244" i="2"/>
  <c r="AN248" i="2"/>
  <c r="AI24" i="2"/>
  <c r="AL36" i="2"/>
  <c r="AH100" i="2"/>
  <c r="AL100" i="2"/>
  <c r="AN116" i="2"/>
  <c r="AL136" i="2"/>
  <c r="AN136" i="2"/>
  <c r="AI152" i="2"/>
  <c r="AN176" i="2"/>
  <c r="AM191" i="2"/>
  <c r="AO207" i="2"/>
  <c r="AE219" i="2"/>
  <c r="AI235" i="2"/>
  <c r="AK7" i="2"/>
  <c r="AI11" i="2"/>
  <c r="AL15" i="2"/>
  <c r="AE19" i="2"/>
  <c r="AI19" i="2"/>
  <c r="AF26" i="2"/>
  <c r="AI26" i="2"/>
  <c r="AO30" i="2"/>
  <c r="AG34" i="2"/>
  <c r="AI34" i="2"/>
  <c r="AE38" i="2"/>
  <c r="AM42" i="2"/>
  <c r="AI42" i="2"/>
  <c r="AO46" i="2"/>
  <c r="AK50" i="2"/>
  <c r="AI50" i="2"/>
  <c r="AK66" i="2"/>
  <c r="AL66" i="2"/>
  <c r="AN70" i="2"/>
  <c r="AJ74" i="2"/>
  <c r="AL74" i="2"/>
  <c r="AN78" i="2"/>
  <c r="AL82" i="2"/>
  <c r="AN86" i="2"/>
  <c r="AI90" i="2"/>
  <c r="AL90" i="2"/>
  <c r="AN94" i="2"/>
  <c r="AO98" i="2"/>
  <c r="AL98" i="2"/>
  <c r="AI106" i="2"/>
  <c r="AL106" i="2"/>
  <c r="AN110" i="2"/>
  <c r="AO114" i="2"/>
  <c r="AL114" i="2"/>
  <c r="AN118" i="2"/>
  <c r="AO126" i="2"/>
  <c r="AH130" i="2"/>
  <c r="AN130" i="2"/>
  <c r="AI134" i="2"/>
  <c r="AL138" i="2"/>
  <c r="AN138" i="2"/>
  <c r="AI142" i="2"/>
  <c r="AM146" i="2"/>
  <c r="AL154" i="2"/>
  <c r="AN154" i="2"/>
  <c r="AI158" i="2"/>
  <c r="AM162" i="2"/>
  <c r="AN162" i="2"/>
  <c r="AI166" i="2"/>
  <c r="AL170" i="2"/>
  <c r="AN170" i="2"/>
  <c r="AI174" i="2"/>
  <c r="AM178" i="2"/>
  <c r="AN178" i="2"/>
  <c r="AJ182" i="2"/>
  <c r="AN186" i="2"/>
  <c r="AO186" i="2"/>
  <c r="AN193" i="2"/>
  <c r="AO193" i="2"/>
  <c r="AE197" i="2"/>
  <c r="AN201" i="2"/>
  <c r="AO201" i="2"/>
  <c r="AE205" i="2"/>
  <c r="AK209" i="2"/>
  <c r="AH209" i="2"/>
  <c r="AE213" i="2"/>
  <c r="AG217" i="2"/>
  <c r="AE221" i="2"/>
  <c r="AI225" i="2"/>
  <c r="AN229" i="2"/>
  <c r="AI233" i="2"/>
  <c r="AN237" i="2"/>
  <c r="AL241" i="2"/>
  <c r="AI241" i="2"/>
  <c r="AN245" i="2"/>
  <c r="AN88" i="2"/>
  <c r="AO108" i="2"/>
  <c r="AL108" i="2"/>
  <c r="AH132" i="2"/>
  <c r="AM156" i="2"/>
  <c r="AN156" i="2"/>
  <c r="AI172" i="2"/>
  <c r="AL188" i="2"/>
  <c r="AO188" i="2"/>
  <c r="AL251" i="2"/>
  <c r="AI251" i="2"/>
  <c r="AO9" i="2"/>
  <c r="AI9" i="2"/>
  <c r="AF17" i="2"/>
  <c r="AN32" i="2"/>
  <c r="AI32" i="2"/>
  <c r="AJ44" i="2"/>
  <c r="AG60" i="2"/>
  <c r="AL60" i="2"/>
  <c r="AN72" i="2"/>
  <c r="AG84" i="2"/>
  <c r="AL84" i="2"/>
  <c r="AN96" i="2"/>
  <c r="AK120" i="2"/>
  <c r="AL120" i="2"/>
  <c r="AK128" i="2"/>
  <c r="AN144" i="2"/>
  <c r="AI160" i="2"/>
  <c r="AL168" i="2"/>
  <c r="AN168" i="2"/>
  <c r="AM184" i="2"/>
  <c r="AO199" i="2"/>
  <c r="AE215" i="2"/>
  <c r="AK227" i="2"/>
  <c r="AF243" i="2"/>
  <c r="AI8" i="2"/>
  <c r="AI12" i="2"/>
  <c r="AL12" i="2"/>
  <c r="AJ16" i="2"/>
  <c r="AO20" i="2"/>
  <c r="AL20" i="2"/>
  <c r="AI27" i="2"/>
  <c r="AL27" i="2"/>
  <c r="AH35" i="2"/>
  <c r="AL35" i="2"/>
  <c r="AJ39" i="2"/>
  <c r="AN43" i="2"/>
  <c r="AL43" i="2"/>
  <c r="AG47" i="2"/>
  <c r="AM63" i="2"/>
  <c r="AF67" i="2"/>
  <c r="AI67" i="2"/>
  <c r="AG71" i="2"/>
  <c r="AG75" i="2"/>
  <c r="AI75" i="2"/>
  <c r="AN79" i="2"/>
  <c r="AE83" i="2"/>
  <c r="AI83" i="2"/>
  <c r="AG87" i="2"/>
  <c r="AF91" i="2"/>
  <c r="AI91" i="2"/>
  <c r="AK99" i="2"/>
  <c r="AI99" i="2"/>
  <c r="AD103" i="2"/>
  <c r="AM107" i="2"/>
  <c r="AI107" i="2"/>
  <c r="AM111" i="2"/>
  <c r="AK115" i="2"/>
  <c r="AI115" i="2"/>
  <c r="AO119" i="2"/>
  <c r="AE127" i="2"/>
  <c r="AP127" i="2" s="1"/>
  <c r="AO131" i="2"/>
  <c r="AH131" i="2"/>
  <c r="AM135" i="2"/>
  <c r="AI139" i="2"/>
  <c r="AK139" i="2"/>
  <c r="AM143" i="2"/>
  <c r="AI147" i="2"/>
  <c r="AK147" i="2"/>
  <c r="AM151" i="2"/>
  <c r="AI155" i="2"/>
  <c r="AK155" i="2"/>
  <c r="AM159" i="2"/>
  <c r="AI163" i="2"/>
  <c r="AK163" i="2"/>
  <c r="AM167" i="2"/>
  <c r="AI171" i="2"/>
  <c r="AK171" i="2"/>
  <c r="AM175" i="2"/>
  <c r="AI179" i="2"/>
  <c r="AK179" i="2"/>
  <c r="AF183" i="2"/>
  <c r="AO187" i="2"/>
  <c r="AD187" i="2"/>
  <c r="AF190" i="2"/>
  <c r="AO194" i="2"/>
  <c r="AD194" i="2"/>
  <c r="AF198" i="2"/>
  <c r="AO202" i="2"/>
  <c r="AF206" i="2"/>
  <c r="AJ210" i="2"/>
  <c r="AL210" i="2"/>
  <c r="AN214" i="2"/>
  <c r="AS214" i="2" s="1"/>
  <c r="AJ218" i="2"/>
  <c r="AL218" i="2"/>
  <c r="AN222" i="2"/>
  <c r="AG226" i="2"/>
  <c r="AL226" i="2"/>
  <c r="AN230" i="2"/>
  <c r="AH234" i="2"/>
  <c r="AN238" i="2"/>
  <c r="AH242" i="2"/>
  <c r="AL242" i="2"/>
  <c r="AN246" i="2"/>
  <c r="AJ250" i="2"/>
  <c r="AI4" i="2"/>
  <c r="BY33" i="2"/>
  <c r="BY41" i="2"/>
  <c r="BY49" i="2"/>
  <c r="BY81" i="2"/>
  <c r="BY3" i="2"/>
  <c r="BY82" i="2"/>
  <c r="BY152" i="2"/>
  <c r="AG149" i="2"/>
  <c r="AE153" i="2"/>
  <c r="AG157" i="2"/>
  <c r="AJ157" i="2"/>
  <c r="AE161" i="2"/>
  <c r="AG165" i="2"/>
  <c r="AJ165" i="2"/>
  <c r="AE169" i="2"/>
  <c r="AG173" i="2"/>
  <c r="AJ173" i="2"/>
  <c r="AG181" i="2"/>
  <c r="AJ181" i="2"/>
  <c r="AM185" i="2"/>
  <c r="AI189" i="2"/>
  <c r="AK189" i="2"/>
  <c r="AM192" i="2"/>
  <c r="AI196" i="2"/>
  <c r="AK196" i="2"/>
  <c r="AM200" i="2"/>
  <c r="AI204" i="2"/>
  <c r="AK204" i="2"/>
  <c r="AM208" i="2"/>
  <c r="AO212" i="2"/>
  <c r="AD212" i="2"/>
  <c r="AF216" i="2"/>
  <c r="AD220" i="2"/>
  <c r="AF224" i="2"/>
  <c r="AK228" i="2"/>
  <c r="AF232" i="2"/>
  <c r="AK236" i="2"/>
  <c r="AF240" i="2"/>
  <c r="AK244" i="2"/>
  <c r="AD244" i="2"/>
  <c r="AF248" i="2"/>
  <c r="AK5" i="2"/>
  <c r="AE24" i="2"/>
  <c r="AH24" i="2"/>
  <c r="AN36" i="2"/>
  <c r="AO100" i="2"/>
  <c r="AF116" i="2"/>
  <c r="AE136" i="2"/>
  <c r="AF136" i="2"/>
  <c r="AM176" i="2"/>
  <c r="AF176" i="2"/>
  <c r="AJ191" i="2"/>
  <c r="AF207" i="2"/>
  <c r="AL219" i="2"/>
  <c r="AO235" i="2"/>
  <c r="AH235" i="2"/>
  <c r="AJ7" i="2"/>
  <c r="AF11" i="2"/>
  <c r="AN19" i="2"/>
  <c r="AL23" i="2"/>
  <c r="AH26" i="2"/>
  <c r="AN30" i="2"/>
  <c r="AE42" i="2"/>
  <c r="AH42" i="2"/>
  <c r="AJ46" i="2"/>
  <c r="AG50" i="2"/>
  <c r="AF62" i="2"/>
  <c r="AJ66" i="2"/>
  <c r="AF70" i="2"/>
  <c r="AI74" i="2"/>
  <c r="AF78" i="2"/>
  <c r="AF86" i="2"/>
  <c r="AH90" i="2"/>
  <c r="AF94" i="2"/>
  <c r="AI98" i="2"/>
  <c r="AH106" i="2"/>
  <c r="AF110" i="2"/>
  <c r="AI114" i="2"/>
  <c r="AF118" i="2"/>
  <c r="AE126" i="2"/>
  <c r="AG130" i="2"/>
  <c r="AK138" i="2"/>
  <c r="AF138" i="2"/>
  <c r="AL146" i="2"/>
  <c r="AH150" i="2"/>
  <c r="AK154" i="2"/>
  <c r="AF154" i="2"/>
  <c r="AH158" i="2"/>
  <c r="AL162" i="2"/>
  <c r="AK170" i="2"/>
  <c r="AF170" i="2"/>
  <c r="AH174" i="2"/>
  <c r="AL178" i="2"/>
  <c r="AF178" i="2"/>
  <c r="AI182" i="2"/>
  <c r="AM186" i="2"/>
  <c r="AG186" i="2"/>
  <c r="AM193" i="2"/>
  <c r="AG193" i="2"/>
  <c r="AJ197" i="2"/>
  <c r="AM201" i="2"/>
  <c r="AG201" i="2"/>
  <c r="AG209" i="2"/>
  <c r="AL213" i="2"/>
  <c r="AL221" i="2"/>
  <c r="AK225" i="2"/>
  <c r="AM229" i="2"/>
  <c r="AL233" i="2"/>
  <c r="AH233" i="2"/>
  <c r="AK241" i="2"/>
  <c r="AM245" i="2"/>
  <c r="AL249" i="2"/>
  <c r="AH249" i="2"/>
  <c r="AF88" i="2"/>
  <c r="AO132" i="2"/>
  <c r="AK156" i="2"/>
  <c r="AH172" i="2"/>
  <c r="AF188" i="2"/>
  <c r="AG188" i="2"/>
  <c r="AM231" i="2"/>
  <c r="AO251" i="2"/>
  <c r="AH251" i="2"/>
  <c r="AH9" i="2"/>
  <c r="AM17" i="2"/>
  <c r="AM32" i="2"/>
  <c r="AH32" i="2"/>
  <c r="AG44" i="2"/>
  <c r="AI60" i="2"/>
  <c r="AO84" i="2"/>
  <c r="AF96" i="2"/>
  <c r="AJ120" i="2"/>
  <c r="AJ128" i="2"/>
  <c r="AM144" i="2"/>
  <c r="AF144" i="2"/>
  <c r="AH160" i="2"/>
  <c r="AE168" i="2"/>
  <c r="AF199" i="2"/>
  <c r="AG199" i="2"/>
  <c r="AO227" i="2"/>
  <c r="AM243" i="2"/>
  <c r="AS243" i="2" s="1"/>
  <c r="AN8" i="2"/>
  <c r="AG12" i="2"/>
  <c r="AN16" i="2"/>
  <c r="AG20" i="2"/>
  <c r="AG27" i="2"/>
  <c r="AI31" i="2"/>
  <c r="AN35" i="2"/>
  <c r="AK43" i="2"/>
  <c r="AF47" i="2"/>
  <c r="AF63" i="2"/>
  <c r="AE67" i="2"/>
  <c r="AH67" i="2"/>
  <c r="AF71" i="2"/>
  <c r="AL75" i="2"/>
  <c r="AH75" i="2"/>
  <c r="AM79" i="2"/>
  <c r="AD83" i="2"/>
  <c r="AH83" i="2"/>
  <c r="AE87" i="2"/>
  <c r="AK91" i="2"/>
  <c r="AH91" i="2"/>
  <c r="AL95" i="2"/>
  <c r="AG99" i="2"/>
  <c r="AH99" i="2"/>
  <c r="AN103" i="2"/>
  <c r="AK107" i="2"/>
  <c r="AH107" i="2"/>
  <c r="AK111" i="2"/>
  <c r="AF115" i="2"/>
  <c r="AH115" i="2"/>
  <c r="AD119" i="2"/>
  <c r="AM127" i="2"/>
  <c r="AG131" i="2"/>
  <c r="AE135" i="2"/>
  <c r="AH139" i="2"/>
  <c r="AE143" i="2"/>
  <c r="AH147" i="2"/>
  <c r="AE151" i="2"/>
  <c r="AH155" i="2"/>
  <c r="AJ155" i="2"/>
  <c r="AH163" i="2"/>
  <c r="AJ163" i="2"/>
  <c r="AE167" i="2"/>
  <c r="AH171" i="2"/>
  <c r="AJ171" i="2"/>
  <c r="AE175" i="2"/>
  <c r="AH179" i="2"/>
  <c r="AJ179" i="2"/>
  <c r="AJ187" i="2"/>
  <c r="AK187" i="2"/>
  <c r="AM190" i="2"/>
  <c r="AJ194" i="2"/>
  <c r="AK194" i="2"/>
  <c r="AJ202" i="2"/>
  <c r="AK202" i="2"/>
  <c r="AM206" i="2"/>
  <c r="AG210" i="2"/>
  <c r="AF214" i="2"/>
  <c r="AG218" i="2"/>
  <c r="AF222" i="2"/>
  <c r="AO226" i="2"/>
  <c r="AD226" i="2"/>
  <c r="AF230" i="2"/>
  <c r="AG234" i="2"/>
  <c r="AF238" i="2"/>
  <c r="AG242" i="2"/>
  <c r="AD242" i="2"/>
  <c r="AF246" i="2"/>
  <c r="AH250" i="2"/>
  <c r="AD250" i="2"/>
  <c r="AH4" i="2"/>
  <c r="BY61" i="2"/>
  <c r="BY73" i="2"/>
  <c r="BY144" i="2"/>
  <c r="AL209" i="2"/>
  <c r="AK213" i="2"/>
  <c r="AG221" i="2"/>
  <c r="AJ221" i="2"/>
  <c r="AG229" i="2"/>
  <c r="AJ229" i="2"/>
  <c r="AO233" i="2"/>
  <c r="AJ237" i="2"/>
  <c r="AO241" i="2"/>
  <c r="AJ245" i="2"/>
  <c r="AO249" i="2"/>
  <c r="AI88" i="2"/>
  <c r="AE88" i="2"/>
  <c r="AJ156" i="2"/>
  <c r="AN188" i="2"/>
  <c r="AN231" i="2"/>
  <c r="AJ231" i="2"/>
  <c r="AG251" i="2"/>
  <c r="AF9" i="2"/>
  <c r="AL17" i="2"/>
  <c r="AG72" i="2"/>
  <c r="AJ84" i="2"/>
  <c r="AK96" i="2"/>
  <c r="AH128" i="2"/>
  <c r="AJ144" i="2"/>
  <c r="AK160" i="2"/>
  <c r="AG160" i="2"/>
  <c r="AJ168" i="2"/>
  <c r="AN215" i="2"/>
  <c r="AJ215" i="2"/>
  <c r="AF227" i="2"/>
  <c r="AJ243" i="2"/>
  <c r="AH8" i="2"/>
  <c r="AO16" i="2"/>
  <c r="AJ35" i="2"/>
  <c r="AE39" i="2"/>
  <c r="AI43" i="2"/>
  <c r="AO47" i="2"/>
  <c r="AF75" i="2"/>
  <c r="AK79" i="2"/>
  <c r="AO95" i="2"/>
  <c r="AD99" i="2"/>
  <c r="AL111" i="2"/>
  <c r="AL119" i="2"/>
  <c r="AH127" i="2"/>
  <c r="AD135" i="2"/>
  <c r="AF139" i="2"/>
  <c r="AO143" i="2"/>
  <c r="AD143" i="2"/>
  <c r="AD151" i="2"/>
  <c r="AF155" i="2"/>
  <c r="AD159" i="2"/>
  <c r="AH167" i="2"/>
  <c r="AD167" i="2"/>
  <c r="AF171" i="2"/>
  <c r="AO175" i="2"/>
  <c r="AD175" i="2"/>
  <c r="AL183" i="2"/>
  <c r="AN187" i="2"/>
  <c r="AH190" i="2"/>
  <c r="AL190" i="2"/>
  <c r="AN194" i="2"/>
  <c r="AH198" i="2"/>
  <c r="AN202" i="2"/>
  <c r="AL206" i="2"/>
  <c r="AH210" i="2"/>
  <c r="AJ214" i="2"/>
  <c r="AE214" i="2"/>
  <c r="AO222" i="2"/>
  <c r="AH226" i="2"/>
  <c r="AO230" i="2"/>
  <c r="AE230" i="2"/>
  <c r="AI234" i="2"/>
  <c r="AE238" i="2"/>
  <c r="AI250" i="2"/>
  <c r="AG4" i="2"/>
  <c r="BY158" i="2"/>
  <c r="BY53" i="2"/>
  <c r="BY140" i="2"/>
  <c r="BY22" i="2"/>
  <c r="BY29" i="2"/>
  <c r="BY37" i="2"/>
  <c r="BY45" i="2"/>
  <c r="BY65" i="2"/>
  <c r="BY150" i="2"/>
  <c r="BY77" i="2"/>
  <c r="BY154" i="2"/>
  <c r="CE137" i="2"/>
  <c r="CF137" i="2"/>
  <c r="CE262" i="2"/>
  <c r="CF262" i="2"/>
  <c r="CE84" i="2"/>
  <c r="CF84" i="2"/>
  <c r="CE213" i="2"/>
  <c r="CF213" i="2"/>
  <c r="CE69" i="2"/>
  <c r="CF69" i="2"/>
  <c r="CE113" i="2"/>
  <c r="CF113" i="2"/>
  <c r="CE244" i="2"/>
  <c r="CF244" i="2"/>
  <c r="CE184" i="2"/>
  <c r="CF184" i="2"/>
  <c r="CE257" i="2"/>
  <c r="CF257" i="2"/>
  <c r="CE211" i="2"/>
  <c r="CF211" i="2"/>
  <c r="CE111" i="2"/>
  <c r="CF111" i="2"/>
  <c r="CE33" i="2"/>
  <c r="CF33" i="2"/>
  <c r="CE117" i="2"/>
  <c r="CF117" i="2"/>
  <c r="CE24" i="2"/>
  <c r="CF24" i="2"/>
  <c r="CE138" i="2"/>
  <c r="CF138" i="2"/>
  <c r="CE82" i="2"/>
  <c r="CF82" i="2"/>
  <c r="CE176" i="2"/>
  <c r="CF176" i="2"/>
  <c r="CE241" i="2"/>
  <c r="CF241" i="2"/>
  <c r="CE115" i="2"/>
  <c r="CF115" i="2"/>
  <c r="CE145" i="2"/>
  <c r="CF145" i="2"/>
  <c r="CE175" i="2"/>
  <c r="CF175" i="2"/>
  <c r="CE206" i="2"/>
  <c r="CF206" i="2"/>
  <c r="CE238" i="2"/>
  <c r="CF238" i="2"/>
  <c r="CE270" i="2"/>
  <c r="CF270" i="2"/>
  <c r="CE36" i="2"/>
  <c r="CF36" i="2"/>
  <c r="CE54" i="2"/>
  <c r="CF54" i="2"/>
  <c r="CE68" i="2"/>
  <c r="CF68" i="2"/>
  <c r="CE86" i="2"/>
  <c r="CF86" i="2"/>
  <c r="CE130" i="2"/>
  <c r="CF130" i="2"/>
  <c r="CE146" i="2"/>
  <c r="CF146" i="2"/>
  <c r="CE170" i="2"/>
  <c r="CF170" i="2"/>
  <c r="CE227" i="2"/>
  <c r="CF227" i="2"/>
  <c r="CE273" i="2"/>
  <c r="CF273" i="2"/>
  <c r="CE10" i="2"/>
  <c r="CF10" i="2"/>
  <c r="CE18" i="2"/>
  <c r="CF18" i="2"/>
  <c r="CE61" i="2"/>
  <c r="CF61" i="2"/>
  <c r="CE71" i="2"/>
  <c r="CF71" i="2"/>
  <c r="CE97" i="2"/>
  <c r="CF97" i="2"/>
  <c r="CE123" i="2"/>
  <c r="CF123" i="2"/>
  <c r="CE159" i="2"/>
  <c r="CF159" i="2"/>
  <c r="CE194" i="2"/>
  <c r="CF194" i="2"/>
  <c r="CE218" i="2"/>
  <c r="CF218" i="2"/>
  <c r="CE252" i="2"/>
  <c r="CF252" i="2"/>
  <c r="CE197" i="2"/>
  <c r="CF197" i="2"/>
  <c r="CE259" i="2"/>
  <c r="CF259" i="2"/>
  <c r="CE233" i="2"/>
  <c r="CF233" i="2"/>
  <c r="CE11" i="2"/>
  <c r="CF11" i="2"/>
  <c r="CE70" i="2"/>
  <c r="CF70" i="2"/>
  <c r="CE136" i="2"/>
  <c r="CF136" i="2"/>
  <c r="CE221" i="2"/>
  <c r="CF221" i="2"/>
  <c r="CE165" i="2"/>
  <c r="CF165" i="2"/>
  <c r="CE66" i="2"/>
  <c r="CF66" i="2"/>
  <c r="CE269" i="2"/>
  <c r="CF269" i="2"/>
  <c r="CE79" i="2"/>
  <c r="CF79" i="2"/>
  <c r="CE93" i="2"/>
  <c r="CF93" i="2"/>
  <c r="CE214" i="2"/>
  <c r="CF214" i="2"/>
  <c r="CE274" i="2"/>
  <c r="CF274" i="2"/>
  <c r="CE215" i="2"/>
  <c r="CF215" i="2"/>
  <c r="CE239" i="2"/>
  <c r="CF239" i="2"/>
  <c r="CE169" i="2"/>
  <c r="CF169" i="2"/>
  <c r="CE164" i="2"/>
  <c r="CF164" i="2"/>
  <c r="CE81" i="2"/>
  <c r="CF81" i="2"/>
  <c r="CE216" i="2"/>
  <c r="CF216" i="2"/>
  <c r="CE40" i="2"/>
  <c r="CF40" i="2"/>
  <c r="CE30" i="2"/>
  <c r="CF30" i="2"/>
  <c r="CE28" i="2"/>
  <c r="CF28" i="2"/>
  <c r="CE152" i="2"/>
  <c r="CF152" i="2"/>
  <c r="CE219" i="2"/>
  <c r="CF219" i="2"/>
  <c r="CE119" i="2"/>
  <c r="CF119" i="2"/>
  <c r="CE147" i="2"/>
  <c r="CF147" i="2"/>
  <c r="CE179" i="2"/>
  <c r="CF179" i="2"/>
  <c r="CE208" i="2"/>
  <c r="CF208" i="2"/>
  <c r="CE240" i="2"/>
  <c r="CF240" i="2"/>
  <c r="CE276" i="2"/>
  <c r="CF276" i="2"/>
  <c r="CE188" i="2"/>
  <c r="CF188" i="2"/>
  <c r="CE231" i="2"/>
  <c r="CF231" i="2"/>
  <c r="CE27" i="2"/>
  <c r="CF27" i="2"/>
  <c r="CE35" i="2"/>
  <c r="CF35" i="2"/>
  <c r="CE43" i="2"/>
  <c r="CF43" i="2"/>
  <c r="CE51" i="2"/>
  <c r="CF51" i="2"/>
  <c r="CE73" i="2"/>
  <c r="CF73" i="2"/>
  <c r="CE83" i="2"/>
  <c r="CF83" i="2"/>
  <c r="CE99" i="2"/>
  <c r="CF99" i="2"/>
  <c r="CE127" i="2"/>
  <c r="CF127" i="2"/>
  <c r="CE163" i="2"/>
  <c r="CF163" i="2"/>
  <c r="CE196" i="2"/>
  <c r="CF196" i="2"/>
  <c r="CE220" i="2"/>
  <c r="CF220" i="2"/>
  <c r="CE254" i="2"/>
  <c r="CF254" i="2"/>
  <c r="CE26" i="2"/>
  <c r="CF26" i="2"/>
  <c r="CE42" i="2"/>
  <c r="CF42" i="2"/>
  <c r="CE96" i="2"/>
  <c r="CF96" i="2"/>
  <c r="CE116" i="2"/>
  <c r="CF116" i="2"/>
  <c r="CE9" i="2"/>
  <c r="CF9" i="2"/>
  <c r="CE100" i="2"/>
  <c r="CF100" i="2"/>
  <c r="CE144" i="2"/>
  <c r="CF144" i="2"/>
  <c r="CE223" i="2"/>
  <c r="CF223" i="2"/>
  <c r="CE265" i="2"/>
  <c r="CF265" i="2"/>
  <c r="CE34" i="2"/>
  <c r="CF34" i="2"/>
  <c r="CE90" i="2"/>
  <c r="CF90" i="2"/>
  <c r="CE118" i="2"/>
  <c r="CF118" i="2"/>
  <c r="CE166" i="2"/>
  <c r="CF166" i="2"/>
  <c r="CE251" i="2"/>
  <c r="CF251" i="2"/>
  <c r="CE107" i="2"/>
  <c r="CF107" i="2"/>
  <c r="CE232" i="2"/>
  <c r="CF232" i="2"/>
  <c r="CE52" i="2"/>
  <c r="CF52" i="2"/>
  <c r="CE142" i="2"/>
  <c r="CF142" i="2"/>
  <c r="CE8" i="2"/>
  <c r="CF8" i="2"/>
  <c r="CE151" i="2"/>
  <c r="CF151" i="2"/>
  <c r="CE64" i="2"/>
  <c r="CF64" i="2"/>
  <c r="CE234" i="2"/>
  <c r="CF234" i="2"/>
  <c r="CE49" i="2"/>
  <c r="CF49" i="2"/>
  <c r="CE155" i="2"/>
  <c r="CF155" i="2"/>
  <c r="CE108" i="2"/>
  <c r="CF108" i="2"/>
  <c r="CE217" i="2"/>
  <c r="CF217" i="2"/>
  <c r="CE121" i="2"/>
  <c r="CF121" i="2"/>
  <c r="CE149" i="2"/>
  <c r="CF149" i="2"/>
  <c r="CE183" i="2"/>
  <c r="CF183" i="2"/>
  <c r="CE212" i="2"/>
  <c r="CF212" i="2"/>
  <c r="CE246" i="2"/>
  <c r="CF246" i="2"/>
  <c r="CE13" i="2"/>
  <c r="CF13" i="2"/>
  <c r="CE46" i="2"/>
  <c r="CF46" i="2"/>
  <c r="CE58" i="2"/>
  <c r="CF58" i="2"/>
  <c r="CE74" i="2"/>
  <c r="CF74" i="2"/>
  <c r="CE88" i="2"/>
  <c r="CF88" i="2"/>
  <c r="CE132" i="2"/>
  <c r="CF132" i="2"/>
  <c r="CE158" i="2"/>
  <c r="CF158" i="2"/>
  <c r="CE178" i="2"/>
  <c r="CF178" i="2"/>
  <c r="CE193" i="2"/>
  <c r="CF193" i="2"/>
  <c r="CE243" i="2"/>
  <c r="CF243" i="2"/>
  <c r="CE4" i="2"/>
  <c r="CF4" i="2"/>
  <c r="CE12" i="2"/>
  <c r="CF12" i="2"/>
  <c r="CE20" i="2"/>
  <c r="CF20" i="2"/>
  <c r="CE53" i="2"/>
  <c r="CF53" i="2"/>
  <c r="CE63" i="2"/>
  <c r="CF63" i="2"/>
  <c r="CE85" i="2"/>
  <c r="CF85" i="2"/>
  <c r="CE101" i="2"/>
  <c r="CF101" i="2"/>
  <c r="CE131" i="2"/>
  <c r="CF131" i="2"/>
  <c r="CE167" i="2"/>
  <c r="CF167" i="2"/>
  <c r="CE200" i="2"/>
  <c r="CF200" i="2"/>
  <c r="CE226" i="2"/>
  <c r="CF226" i="2"/>
  <c r="CE260" i="2"/>
  <c r="CF260" i="2"/>
  <c r="CE199" i="2"/>
  <c r="CF199" i="2"/>
  <c r="CE249" i="2"/>
  <c r="CF249" i="2"/>
  <c r="CE201" i="2"/>
  <c r="CF201" i="2"/>
  <c r="CE235" i="2"/>
  <c r="CF235" i="2"/>
  <c r="CE19" i="2"/>
  <c r="CF19" i="2"/>
  <c r="CE78" i="2"/>
  <c r="CF78" i="2"/>
  <c r="CE140" i="2"/>
  <c r="CF140" i="2"/>
  <c r="CE229" i="2"/>
  <c r="CF229" i="2"/>
  <c r="CE261" i="2"/>
  <c r="CF261" i="2"/>
  <c r="CE5" i="2"/>
  <c r="CF5" i="2"/>
  <c r="CE141" i="2"/>
  <c r="CF141" i="2"/>
  <c r="CE186" i="2"/>
  <c r="CF186" i="2"/>
  <c r="CE41" i="2"/>
  <c r="CF41" i="2"/>
  <c r="CE59" i="2"/>
  <c r="CF59" i="2"/>
  <c r="CE187" i="2"/>
  <c r="CF187" i="2"/>
  <c r="CE3" i="2"/>
  <c r="CF3" i="2"/>
  <c r="CE110" i="2"/>
  <c r="CF110" i="2"/>
  <c r="CE125" i="2"/>
  <c r="CF125" i="2"/>
  <c r="CE153" i="2"/>
  <c r="CF153" i="2"/>
  <c r="CE185" i="2"/>
  <c r="CF185" i="2"/>
  <c r="CE222" i="2"/>
  <c r="CF222" i="2"/>
  <c r="CE248" i="2"/>
  <c r="CF248" i="2"/>
  <c r="CE245" i="2"/>
  <c r="CF245" i="2"/>
  <c r="CE22" i="2"/>
  <c r="CF22" i="2"/>
  <c r="CE29" i="2"/>
  <c r="CF29" i="2"/>
  <c r="CE37" i="2"/>
  <c r="CF37" i="2"/>
  <c r="CE45" i="2"/>
  <c r="CF45" i="2"/>
  <c r="CE65" i="2"/>
  <c r="CF65" i="2"/>
  <c r="CE75" i="2"/>
  <c r="CF75" i="2"/>
  <c r="CE87" i="2"/>
  <c r="CF87" i="2"/>
  <c r="CE103" i="2"/>
  <c r="CF103" i="2"/>
  <c r="CE135" i="2"/>
  <c r="CF135" i="2"/>
  <c r="CE171" i="2"/>
  <c r="CF171" i="2"/>
  <c r="CE202" i="2"/>
  <c r="CF202" i="2"/>
  <c r="CE228" i="2"/>
  <c r="CF228" i="2"/>
  <c r="CE266" i="2"/>
  <c r="CF266" i="2"/>
  <c r="CE32" i="2"/>
  <c r="CF32" i="2"/>
  <c r="CE44" i="2"/>
  <c r="CF44" i="2"/>
  <c r="CE98" i="2"/>
  <c r="CF98" i="2"/>
  <c r="CE124" i="2"/>
  <c r="CF124" i="2"/>
  <c r="CE17" i="2"/>
  <c r="CF17" i="2"/>
  <c r="CE114" i="2"/>
  <c r="CF114" i="2"/>
  <c r="CE150" i="2"/>
  <c r="CF150" i="2"/>
  <c r="CE207" i="2"/>
  <c r="CF207" i="2"/>
  <c r="CE277" i="2"/>
  <c r="CF277" i="2"/>
  <c r="CE56" i="2"/>
  <c r="CF56" i="2"/>
  <c r="CE94" i="2"/>
  <c r="CF94" i="2"/>
  <c r="CE120" i="2"/>
  <c r="CF120" i="2"/>
  <c r="CE168" i="2"/>
  <c r="CF168" i="2"/>
  <c r="CE255" i="2"/>
  <c r="CF255" i="2"/>
  <c r="CE192" i="2"/>
  <c r="CF192" i="2"/>
  <c r="CE21" i="2"/>
  <c r="CF21" i="2"/>
  <c r="CE122" i="2"/>
  <c r="CF122" i="2"/>
  <c r="CE16" i="2"/>
  <c r="CF16" i="2"/>
  <c r="CE181" i="2"/>
  <c r="CF181" i="2"/>
  <c r="CE112" i="2"/>
  <c r="CF112" i="2"/>
  <c r="CE264" i="2"/>
  <c r="CF264" i="2"/>
  <c r="CE25" i="2"/>
  <c r="CF25" i="2"/>
  <c r="CE95" i="2"/>
  <c r="CF95" i="2"/>
  <c r="CE250" i="2"/>
  <c r="CF250" i="2"/>
  <c r="CE80" i="2"/>
  <c r="CF80" i="2"/>
  <c r="CE191" i="2"/>
  <c r="CF191" i="2"/>
  <c r="CE129" i="2"/>
  <c r="CF129" i="2"/>
  <c r="CE157" i="2"/>
  <c r="CF157" i="2"/>
  <c r="CE189" i="2"/>
  <c r="CF189" i="2"/>
  <c r="CE224" i="2"/>
  <c r="CF224" i="2"/>
  <c r="CE256" i="2"/>
  <c r="CF256" i="2"/>
  <c r="CE15" i="2"/>
  <c r="CF15" i="2"/>
  <c r="CE48" i="2"/>
  <c r="CF48" i="2"/>
  <c r="CE62" i="2"/>
  <c r="CF62" i="2"/>
  <c r="CE76" i="2"/>
  <c r="CF76" i="2"/>
  <c r="CE106" i="2"/>
  <c r="CF106" i="2"/>
  <c r="CE134" i="2"/>
  <c r="CF134" i="2"/>
  <c r="CE160" i="2"/>
  <c r="CF160" i="2"/>
  <c r="CE180" i="2"/>
  <c r="CF180" i="2"/>
  <c r="CE195" i="2"/>
  <c r="CF195" i="2"/>
  <c r="CE6" i="2"/>
  <c r="CF6" i="2"/>
  <c r="CE14" i="2"/>
  <c r="CF14" i="2"/>
  <c r="CE55" i="2"/>
  <c r="CF55" i="2"/>
  <c r="CE77" i="2"/>
  <c r="CF77" i="2"/>
  <c r="CE89" i="2"/>
  <c r="CF89" i="2"/>
  <c r="CE105" i="2"/>
  <c r="CF105" i="2"/>
  <c r="CE139" i="2"/>
  <c r="CF139" i="2"/>
  <c r="CE173" i="2"/>
  <c r="CF173" i="2"/>
  <c r="CE204" i="2"/>
  <c r="CF204" i="2"/>
  <c r="CE236" i="2"/>
  <c r="CF236" i="2"/>
  <c r="CE268" i="2"/>
  <c r="CF268" i="2"/>
  <c r="CE209" i="2"/>
  <c r="CF209" i="2"/>
  <c r="CE253" i="2"/>
  <c r="CF253" i="2"/>
  <c r="CE172" i="2"/>
  <c r="CF172" i="2"/>
  <c r="CE205" i="2"/>
  <c r="CF205" i="2"/>
  <c r="CE263" i="2"/>
  <c r="CF263" i="2"/>
  <c r="CE60" i="2"/>
  <c r="CF60" i="2"/>
  <c r="CE92" i="2"/>
  <c r="CF92" i="2"/>
  <c r="CE154" i="2"/>
  <c r="CF154" i="2"/>
  <c r="CE237" i="2"/>
  <c r="CF237" i="2"/>
  <c r="CE271" i="2"/>
  <c r="CF271" i="2"/>
  <c r="CE225" i="2"/>
  <c r="CF225" i="2"/>
  <c r="CE198" i="2"/>
  <c r="CF198" i="2"/>
  <c r="CE133" i="2"/>
  <c r="CF133" i="2"/>
  <c r="CE161" i="2"/>
  <c r="CF161" i="2"/>
  <c r="CE190" i="2"/>
  <c r="CF190" i="2"/>
  <c r="CE230" i="2"/>
  <c r="CF230" i="2"/>
  <c r="CE258" i="2"/>
  <c r="CF258" i="2"/>
  <c r="CE162" i="2"/>
  <c r="CF162" i="2"/>
  <c r="CE182" i="2"/>
  <c r="CF182" i="2"/>
  <c r="CE203" i="2"/>
  <c r="CF203" i="2"/>
  <c r="CE247" i="2"/>
  <c r="CF247" i="2"/>
  <c r="CE31" i="2"/>
  <c r="CF31" i="2"/>
  <c r="CE39" i="2"/>
  <c r="CF39" i="2"/>
  <c r="CE47" i="2"/>
  <c r="CF47" i="2"/>
  <c r="CE57" i="2"/>
  <c r="CF57" i="2"/>
  <c r="CE67" i="2"/>
  <c r="CF67" i="2"/>
  <c r="CE91" i="2"/>
  <c r="CF91" i="2"/>
  <c r="CE109" i="2"/>
  <c r="CF109" i="2"/>
  <c r="CE143" i="2"/>
  <c r="CF143" i="2"/>
  <c r="CE177" i="2"/>
  <c r="CF177" i="2"/>
  <c r="CE210" i="2"/>
  <c r="CF210" i="2"/>
  <c r="CE242" i="2"/>
  <c r="CF242" i="2"/>
  <c r="CE272" i="2"/>
  <c r="CF272" i="2"/>
  <c r="CE38" i="2"/>
  <c r="CF38" i="2"/>
  <c r="CE50" i="2"/>
  <c r="CF50" i="2"/>
  <c r="CE102" i="2"/>
  <c r="CF102" i="2"/>
  <c r="CE128" i="2"/>
  <c r="CF128" i="2"/>
  <c r="CE23" i="2"/>
  <c r="CF23" i="2"/>
  <c r="CE126" i="2"/>
  <c r="CF126" i="2"/>
  <c r="CE156" i="2"/>
  <c r="CF156" i="2"/>
  <c r="CE7" i="2"/>
  <c r="CF7" i="2"/>
  <c r="CE72" i="2"/>
  <c r="CF72" i="2"/>
  <c r="CE104" i="2"/>
  <c r="CF104" i="2"/>
  <c r="CE148" i="2"/>
  <c r="CF148" i="2"/>
  <c r="CE174" i="2"/>
  <c r="CF174" i="2"/>
  <c r="CE267" i="2"/>
  <c r="CF267" i="2"/>
  <c r="CE275" i="2"/>
  <c r="CF275" i="2"/>
  <c r="CC107" i="2"/>
  <c r="CD107" i="2"/>
  <c r="CC137" i="2"/>
  <c r="CD137" i="2"/>
  <c r="CC165" i="2"/>
  <c r="CD165" i="2"/>
  <c r="CC192" i="2"/>
  <c r="CD192" i="2"/>
  <c r="CC232" i="2"/>
  <c r="CD232" i="2"/>
  <c r="CC262" i="2"/>
  <c r="CD262" i="2"/>
  <c r="CC21" i="2"/>
  <c r="CD21" i="2"/>
  <c r="CC52" i="2"/>
  <c r="CD52" i="2"/>
  <c r="CC66" i="2"/>
  <c r="CD66" i="2"/>
  <c r="CC84" i="2"/>
  <c r="CD84" i="2"/>
  <c r="CC122" i="2"/>
  <c r="CD122" i="2"/>
  <c r="CC142" i="2"/>
  <c r="CD142" i="2"/>
  <c r="CC213" i="2"/>
  <c r="CD213" i="2"/>
  <c r="CC269" i="2"/>
  <c r="CD269" i="2"/>
  <c r="CC8" i="2"/>
  <c r="CD8" i="2"/>
  <c r="CC16" i="2"/>
  <c r="CD16" i="2"/>
  <c r="CC69" i="2"/>
  <c r="CD69" i="2"/>
  <c r="CC79" i="2"/>
  <c r="CD79" i="2"/>
  <c r="CC93" i="2"/>
  <c r="CD93" i="2"/>
  <c r="CC113" i="2"/>
  <c r="CD113" i="2"/>
  <c r="CC151" i="2"/>
  <c r="CD151" i="2"/>
  <c r="CC181" i="2"/>
  <c r="CD181" i="2"/>
  <c r="CC214" i="2"/>
  <c r="CD214" i="2"/>
  <c r="CC244" i="2"/>
  <c r="CD244" i="2"/>
  <c r="CC274" i="2"/>
  <c r="CD274" i="2"/>
  <c r="CC184" i="2"/>
  <c r="CD184" i="2"/>
  <c r="CC215" i="2"/>
  <c r="CD215" i="2"/>
  <c r="CC257" i="2"/>
  <c r="CD257" i="2"/>
  <c r="CC225" i="2"/>
  <c r="CD225" i="2"/>
  <c r="CC5" i="2"/>
  <c r="CD5" i="2"/>
  <c r="CC64" i="2"/>
  <c r="CD64" i="2"/>
  <c r="CC112" i="2"/>
  <c r="CD112" i="2"/>
  <c r="CC211" i="2"/>
  <c r="CD211" i="2"/>
  <c r="CC239" i="2"/>
  <c r="CD239" i="2"/>
  <c r="CC111" i="2"/>
  <c r="CD111" i="2"/>
  <c r="CC141" i="2"/>
  <c r="CD141" i="2"/>
  <c r="CC169" i="2"/>
  <c r="CD169" i="2"/>
  <c r="CC198" i="2"/>
  <c r="CD198" i="2"/>
  <c r="CC234" i="2"/>
  <c r="CD234" i="2"/>
  <c r="CC264" i="2"/>
  <c r="CD264" i="2"/>
  <c r="CC164" i="2"/>
  <c r="CD164" i="2"/>
  <c r="CC186" i="2"/>
  <c r="CD186" i="2"/>
  <c r="CC25" i="2"/>
  <c r="CD25" i="2"/>
  <c r="CC33" i="2"/>
  <c r="CD33" i="2"/>
  <c r="CC41" i="2"/>
  <c r="CD41" i="2"/>
  <c r="CC49" i="2"/>
  <c r="CD49" i="2"/>
  <c r="CC59" i="2"/>
  <c r="CD59" i="2"/>
  <c r="CC81" i="2"/>
  <c r="CD81" i="2"/>
  <c r="CC95" i="2"/>
  <c r="CD95" i="2"/>
  <c r="CC117" i="2"/>
  <c r="CD117" i="2"/>
  <c r="CC155" i="2"/>
  <c r="CD155" i="2"/>
  <c r="CC187" i="2"/>
  <c r="CD187" i="2"/>
  <c r="CC216" i="2"/>
  <c r="CD216" i="2"/>
  <c r="CC250" i="2"/>
  <c r="CD250" i="2"/>
  <c r="CC24" i="2"/>
  <c r="CD24" i="2"/>
  <c r="CC40" i="2"/>
  <c r="CD40" i="2"/>
  <c r="CC80" i="2"/>
  <c r="CD80" i="2"/>
  <c r="CC108" i="2"/>
  <c r="CD108" i="2"/>
  <c r="CC3" i="2"/>
  <c r="CD3" i="2"/>
  <c r="CC30" i="2"/>
  <c r="CD30" i="2"/>
  <c r="CC138" i="2"/>
  <c r="CD138" i="2"/>
  <c r="CC191" i="2"/>
  <c r="CD191" i="2"/>
  <c r="CC217" i="2"/>
  <c r="CD217" i="2"/>
  <c r="CC28" i="2"/>
  <c r="CD28" i="2"/>
  <c r="CC82" i="2"/>
  <c r="CD82" i="2"/>
  <c r="CC110" i="2"/>
  <c r="CD110" i="2"/>
  <c r="CC152" i="2"/>
  <c r="CD152" i="2"/>
  <c r="CC176" i="2"/>
  <c r="CD176" i="2"/>
  <c r="CC219" i="2"/>
  <c r="CD219" i="2"/>
  <c r="CC241" i="2"/>
  <c r="CD241" i="2"/>
  <c r="CC130" i="2"/>
  <c r="CD130" i="2"/>
  <c r="CC119" i="2"/>
  <c r="CD119" i="2"/>
  <c r="CC147" i="2"/>
  <c r="CD147" i="2"/>
  <c r="CC179" i="2"/>
  <c r="CD179" i="2"/>
  <c r="CC208" i="2"/>
  <c r="CD208" i="2"/>
  <c r="CC240" i="2"/>
  <c r="CD240" i="2"/>
  <c r="CC276" i="2"/>
  <c r="CD276" i="2"/>
  <c r="CC188" i="2"/>
  <c r="CD188" i="2"/>
  <c r="CC231" i="2"/>
  <c r="CD231" i="2"/>
  <c r="CC27" i="2"/>
  <c r="CD27" i="2"/>
  <c r="CC35" i="2"/>
  <c r="CD35" i="2"/>
  <c r="CC43" i="2"/>
  <c r="CD43" i="2"/>
  <c r="CC51" i="2"/>
  <c r="CD51" i="2"/>
  <c r="CC73" i="2"/>
  <c r="CD73" i="2"/>
  <c r="CC83" i="2"/>
  <c r="CD83" i="2"/>
  <c r="CC99" i="2"/>
  <c r="CD99" i="2"/>
  <c r="CC127" i="2"/>
  <c r="CD127" i="2"/>
  <c r="CC163" i="2"/>
  <c r="CD163" i="2"/>
  <c r="CC196" i="2"/>
  <c r="CD196" i="2"/>
  <c r="CC220" i="2"/>
  <c r="CD220" i="2"/>
  <c r="CC254" i="2"/>
  <c r="CD254" i="2"/>
  <c r="CC26" i="2"/>
  <c r="CD26" i="2"/>
  <c r="CC42" i="2"/>
  <c r="CD42" i="2"/>
  <c r="CC96" i="2"/>
  <c r="CD96" i="2"/>
  <c r="CC116" i="2"/>
  <c r="CD116" i="2"/>
  <c r="CC9" i="2"/>
  <c r="CD9" i="2"/>
  <c r="CC100" i="2"/>
  <c r="CD100" i="2"/>
  <c r="CC144" i="2"/>
  <c r="CD144" i="2"/>
  <c r="CC223" i="2"/>
  <c r="CD223" i="2"/>
  <c r="CC265" i="2"/>
  <c r="CD265" i="2"/>
  <c r="CC34" i="2"/>
  <c r="CD34" i="2"/>
  <c r="CC90" i="2"/>
  <c r="CD90" i="2"/>
  <c r="CC118" i="2"/>
  <c r="CD118" i="2"/>
  <c r="CC166" i="2"/>
  <c r="CD166" i="2"/>
  <c r="CC251" i="2"/>
  <c r="CD251" i="2"/>
  <c r="CC115" i="2"/>
  <c r="CD115" i="2"/>
  <c r="CC238" i="2"/>
  <c r="CD238" i="2"/>
  <c r="CC68" i="2"/>
  <c r="CD68" i="2"/>
  <c r="CC170" i="2"/>
  <c r="CD170" i="2"/>
  <c r="CC273" i="2"/>
  <c r="CD273" i="2"/>
  <c r="CC71" i="2"/>
  <c r="CD71" i="2"/>
  <c r="CC123" i="2"/>
  <c r="CD123" i="2"/>
  <c r="CC218" i="2"/>
  <c r="CD218" i="2"/>
  <c r="CC259" i="2"/>
  <c r="CD259" i="2"/>
  <c r="CC221" i="2"/>
  <c r="CD221" i="2"/>
  <c r="CC121" i="2"/>
  <c r="CD121" i="2"/>
  <c r="CC149" i="2"/>
  <c r="CD149" i="2"/>
  <c r="CC183" i="2"/>
  <c r="CD183" i="2"/>
  <c r="CC212" i="2"/>
  <c r="CD212" i="2"/>
  <c r="CC246" i="2"/>
  <c r="CD246" i="2"/>
  <c r="CC13" i="2"/>
  <c r="CD13" i="2"/>
  <c r="CC46" i="2"/>
  <c r="CD46" i="2"/>
  <c r="CC58" i="2"/>
  <c r="CD58" i="2"/>
  <c r="CC74" i="2"/>
  <c r="CD74" i="2"/>
  <c r="CC88" i="2"/>
  <c r="CD88" i="2"/>
  <c r="CC132" i="2"/>
  <c r="CD132" i="2"/>
  <c r="CC158" i="2"/>
  <c r="CD158" i="2"/>
  <c r="CC178" i="2"/>
  <c r="CD178" i="2"/>
  <c r="CC193" i="2"/>
  <c r="CD193" i="2"/>
  <c r="CC243" i="2"/>
  <c r="CD243" i="2"/>
  <c r="CC4" i="2"/>
  <c r="CD4" i="2"/>
  <c r="CC12" i="2"/>
  <c r="CD12" i="2"/>
  <c r="CC20" i="2"/>
  <c r="CD20" i="2"/>
  <c r="CC53" i="2"/>
  <c r="CD53" i="2"/>
  <c r="CC63" i="2"/>
  <c r="CD63" i="2"/>
  <c r="CC85" i="2"/>
  <c r="CD85" i="2"/>
  <c r="CC101" i="2"/>
  <c r="CD101" i="2"/>
  <c r="CC131" i="2"/>
  <c r="CD131" i="2"/>
  <c r="CC167" i="2"/>
  <c r="CD167" i="2"/>
  <c r="CC200" i="2"/>
  <c r="CD200" i="2"/>
  <c r="CC226" i="2"/>
  <c r="CD226" i="2"/>
  <c r="CC260" i="2"/>
  <c r="CD260" i="2"/>
  <c r="CC199" i="2"/>
  <c r="CD199" i="2"/>
  <c r="CC249" i="2"/>
  <c r="CD249" i="2"/>
  <c r="CC201" i="2"/>
  <c r="CD201" i="2"/>
  <c r="CC235" i="2"/>
  <c r="CD235" i="2"/>
  <c r="CC19" i="2"/>
  <c r="CD19" i="2"/>
  <c r="CC78" i="2"/>
  <c r="CD78" i="2"/>
  <c r="CC140" i="2"/>
  <c r="CD140" i="2"/>
  <c r="CC229" i="2"/>
  <c r="CD229" i="2"/>
  <c r="CC261" i="2"/>
  <c r="CD261" i="2"/>
  <c r="CC206" i="2"/>
  <c r="CD206" i="2"/>
  <c r="CC136" i="2"/>
  <c r="CD136" i="2"/>
  <c r="CC125" i="2"/>
  <c r="CD125" i="2"/>
  <c r="CC153" i="2"/>
  <c r="CD153" i="2"/>
  <c r="CC185" i="2"/>
  <c r="CD185" i="2"/>
  <c r="CC222" i="2"/>
  <c r="CD222" i="2"/>
  <c r="CC248" i="2"/>
  <c r="CD248" i="2"/>
  <c r="CC245" i="2"/>
  <c r="CD245" i="2"/>
  <c r="CC22" i="2"/>
  <c r="CD22" i="2"/>
  <c r="CC29" i="2"/>
  <c r="CD29" i="2"/>
  <c r="CC37" i="2"/>
  <c r="CD37" i="2"/>
  <c r="CC45" i="2"/>
  <c r="CD45" i="2"/>
  <c r="CC65" i="2"/>
  <c r="CD65" i="2"/>
  <c r="CC75" i="2"/>
  <c r="CD75" i="2"/>
  <c r="CC87" i="2"/>
  <c r="CD87" i="2"/>
  <c r="CC103" i="2"/>
  <c r="CD103" i="2"/>
  <c r="CC135" i="2"/>
  <c r="CD135" i="2"/>
  <c r="CC171" i="2"/>
  <c r="CD171" i="2"/>
  <c r="CC202" i="2"/>
  <c r="CD202" i="2"/>
  <c r="CC228" i="2"/>
  <c r="CD228" i="2"/>
  <c r="CC266" i="2"/>
  <c r="CD266" i="2"/>
  <c r="CC32" i="2"/>
  <c r="CD32" i="2"/>
  <c r="CC44" i="2"/>
  <c r="CD44" i="2"/>
  <c r="CC98" i="2"/>
  <c r="CD98" i="2"/>
  <c r="CC124" i="2"/>
  <c r="CD124" i="2"/>
  <c r="CC17" i="2"/>
  <c r="CD17" i="2"/>
  <c r="CC114" i="2"/>
  <c r="CD114" i="2"/>
  <c r="CC150" i="2"/>
  <c r="CD150" i="2"/>
  <c r="CC207" i="2"/>
  <c r="CD207" i="2"/>
  <c r="CC277" i="2"/>
  <c r="CD277" i="2"/>
  <c r="CC56" i="2"/>
  <c r="CD56" i="2"/>
  <c r="CC94" i="2"/>
  <c r="CD94" i="2"/>
  <c r="CC120" i="2"/>
  <c r="CD120" i="2"/>
  <c r="CC168" i="2"/>
  <c r="CD168" i="2"/>
  <c r="CC255" i="2"/>
  <c r="CD255" i="2"/>
  <c r="CC175" i="2"/>
  <c r="CD175" i="2"/>
  <c r="CC36" i="2"/>
  <c r="CD36" i="2"/>
  <c r="CC86" i="2"/>
  <c r="CD86" i="2"/>
  <c r="CC227" i="2"/>
  <c r="CD227" i="2"/>
  <c r="CC18" i="2"/>
  <c r="CD18" i="2"/>
  <c r="CC97" i="2"/>
  <c r="CD97" i="2"/>
  <c r="CC194" i="2"/>
  <c r="CD194" i="2"/>
  <c r="CC197" i="2"/>
  <c r="CD197" i="2"/>
  <c r="CC70" i="2"/>
  <c r="CD70" i="2"/>
  <c r="CC129" i="2"/>
  <c r="CD129" i="2"/>
  <c r="CC157" i="2"/>
  <c r="CD157" i="2"/>
  <c r="CD189" i="2"/>
  <c r="CC224" i="2"/>
  <c r="CD224" i="2"/>
  <c r="CC256" i="2"/>
  <c r="CD256" i="2"/>
  <c r="CC15" i="2"/>
  <c r="CD15" i="2"/>
  <c r="CC48" i="2"/>
  <c r="CD48" i="2"/>
  <c r="CC62" i="2"/>
  <c r="CD62" i="2"/>
  <c r="CC76" i="2"/>
  <c r="CD76" i="2"/>
  <c r="CC106" i="2"/>
  <c r="CD106" i="2"/>
  <c r="CC134" i="2"/>
  <c r="CD134" i="2"/>
  <c r="CC160" i="2"/>
  <c r="CD160" i="2"/>
  <c r="CC180" i="2"/>
  <c r="CD180" i="2"/>
  <c r="CC195" i="2"/>
  <c r="CD195" i="2"/>
  <c r="CC6" i="2"/>
  <c r="CD6" i="2"/>
  <c r="CC14" i="2"/>
  <c r="CD14" i="2"/>
  <c r="CC55" i="2"/>
  <c r="CD55" i="2"/>
  <c r="CC77" i="2"/>
  <c r="CD77" i="2"/>
  <c r="CC89" i="2"/>
  <c r="CD89" i="2"/>
  <c r="CC105" i="2"/>
  <c r="CD105" i="2"/>
  <c r="CC139" i="2"/>
  <c r="CD139" i="2"/>
  <c r="CC173" i="2"/>
  <c r="CD173" i="2"/>
  <c r="CC204" i="2"/>
  <c r="CD204" i="2"/>
  <c r="CC236" i="2"/>
  <c r="CD236" i="2"/>
  <c r="CC268" i="2"/>
  <c r="CD268" i="2"/>
  <c r="CC209" i="2"/>
  <c r="CD209" i="2"/>
  <c r="CC253" i="2"/>
  <c r="CD253" i="2"/>
  <c r="CC172" i="2"/>
  <c r="CD172" i="2"/>
  <c r="CC205" i="2"/>
  <c r="CD205" i="2"/>
  <c r="CC263" i="2"/>
  <c r="CD263" i="2"/>
  <c r="CC60" i="2"/>
  <c r="CD60" i="2"/>
  <c r="CC92" i="2"/>
  <c r="CD92" i="2"/>
  <c r="CC154" i="2"/>
  <c r="CD154" i="2"/>
  <c r="CC237" i="2"/>
  <c r="CD237" i="2"/>
  <c r="CC271" i="2"/>
  <c r="CD271" i="2"/>
  <c r="CC145" i="2"/>
  <c r="CD145" i="2"/>
  <c r="CC270" i="2"/>
  <c r="CD270" i="2"/>
  <c r="CC54" i="2"/>
  <c r="CD54" i="2"/>
  <c r="CC146" i="2"/>
  <c r="CD146" i="2"/>
  <c r="CC10" i="2"/>
  <c r="CD10" i="2"/>
  <c r="CC61" i="2"/>
  <c r="CD61" i="2"/>
  <c r="CC159" i="2"/>
  <c r="CD159" i="2"/>
  <c r="CC252" i="2"/>
  <c r="CD252" i="2"/>
  <c r="CC233" i="2"/>
  <c r="CD233" i="2"/>
  <c r="CC11" i="2"/>
  <c r="CD11" i="2"/>
  <c r="CC133" i="2"/>
  <c r="CD133" i="2"/>
  <c r="CC161" i="2"/>
  <c r="CD161" i="2"/>
  <c r="CC190" i="2"/>
  <c r="CD190" i="2"/>
  <c r="CC230" i="2"/>
  <c r="CD230" i="2"/>
  <c r="CC258" i="2"/>
  <c r="CD258" i="2"/>
  <c r="CC162" i="2"/>
  <c r="CD162" i="2"/>
  <c r="CC182" i="2"/>
  <c r="CD182" i="2"/>
  <c r="CC203" i="2"/>
  <c r="CD203" i="2"/>
  <c r="CC247" i="2"/>
  <c r="CD247" i="2"/>
  <c r="CC31" i="2"/>
  <c r="CD31" i="2"/>
  <c r="CC39" i="2"/>
  <c r="CD39" i="2"/>
  <c r="CC47" i="2"/>
  <c r="CD47" i="2"/>
  <c r="CC57" i="2"/>
  <c r="CD57" i="2"/>
  <c r="CC67" i="2"/>
  <c r="CD67" i="2"/>
  <c r="CC91" i="2"/>
  <c r="CD91" i="2"/>
  <c r="CC109" i="2"/>
  <c r="CD109" i="2"/>
  <c r="CC143" i="2"/>
  <c r="CD143" i="2"/>
  <c r="CC177" i="2"/>
  <c r="CD177" i="2"/>
  <c r="CC210" i="2"/>
  <c r="CD210" i="2"/>
  <c r="CC242" i="2"/>
  <c r="CD242" i="2"/>
  <c r="CC272" i="2"/>
  <c r="CD272" i="2"/>
  <c r="CC38" i="2"/>
  <c r="CD38" i="2"/>
  <c r="CC50" i="2"/>
  <c r="CD50" i="2"/>
  <c r="CC102" i="2"/>
  <c r="CD102" i="2"/>
  <c r="CC128" i="2"/>
  <c r="CD128" i="2"/>
  <c r="CC23" i="2"/>
  <c r="CD23" i="2"/>
  <c r="CC126" i="2"/>
  <c r="CD126" i="2"/>
  <c r="CC156" i="2"/>
  <c r="CD156" i="2"/>
  <c r="CC7" i="2"/>
  <c r="CD7" i="2"/>
  <c r="CC72" i="2"/>
  <c r="CD72" i="2"/>
  <c r="CC104" i="2"/>
  <c r="CD104" i="2"/>
  <c r="CC148" i="2"/>
  <c r="CD148" i="2"/>
  <c r="CC174" i="2"/>
  <c r="CD174" i="2"/>
  <c r="CC267" i="2"/>
  <c r="CD267" i="2"/>
  <c r="CC275" i="2"/>
  <c r="CD275" i="2"/>
  <c r="AC195" i="2"/>
  <c r="AC176" i="2"/>
  <c r="AC140" i="2"/>
  <c r="AC24" i="2"/>
  <c r="AC207" i="2"/>
  <c r="AC95" i="2"/>
  <c r="AC5" i="2"/>
  <c r="AC233" i="2"/>
  <c r="AC103" i="2"/>
  <c r="AC77" i="2"/>
  <c r="AC11" i="2"/>
  <c r="AC144" i="2"/>
  <c r="AC235" i="2"/>
  <c r="AC249" i="2"/>
  <c r="AC199" i="2"/>
  <c r="AC48" i="2"/>
  <c r="AC164" i="2"/>
  <c r="AC89" i="2"/>
  <c r="AC133" i="2"/>
  <c r="AC141" i="2"/>
  <c r="AC149" i="2"/>
  <c r="AC157" i="2"/>
  <c r="AC165" i="2"/>
  <c r="AC173" i="2"/>
  <c r="AC181" i="2"/>
  <c r="AC255" i="2"/>
  <c r="AC30" i="2"/>
  <c r="AC178" i="2"/>
  <c r="AC182" i="2"/>
  <c r="AC186" i="2"/>
  <c r="AC201" i="2"/>
  <c r="AC241" i="2"/>
  <c r="AC273" i="2"/>
  <c r="AC56" i="2"/>
  <c r="AC156" i="2"/>
  <c r="AD188" i="2"/>
  <c r="AC188" i="2"/>
  <c r="AC139" i="2"/>
  <c r="AD147" i="2"/>
  <c r="AC147" i="2"/>
  <c r="AC155" i="2"/>
  <c r="AD163" i="2"/>
  <c r="AC163" i="2"/>
  <c r="AC171" i="2"/>
  <c r="AD179" i="2"/>
  <c r="AC179" i="2"/>
  <c r="AC196" i="2"/>
  <c r="AC265" i="2"/>
  <c r="AD259" i="2"/>
  <c r="AC259" i="2"/>
  <c r="AC187" i="2"/>
  <c r="AC194" i="2"/>
  <c r="AC202" i="2"/>
  <c r="AC13" i="2"/>
  <c r="AC68" i="2"/>
  <c r="AC92" i="2"/>
  <c r="AC112" i="2"/>
  <c r="AC6" i="2"/>
  <c r="AC14" i="2"/>
  <c r="AC22" i="2"/>
  <c r="AC29" i="2"/>
  <c r="AC37" i="2"/>
  <c r="AC45" i="2"/>
  <c r="AC53" i="2"/>
  <c r="AC81" i="2"/>
  <c r="AC105" i="2"/>
  <c r="AD125" i="2"/>
  <c r="AC125" i="2"/>
  <c r="AC212" i="2"/>
  <c r="AC220" i="2"/>
  <c r="AD228" i="2"/>
  <c r="AC228" i="2"/>
  <c r="AC236" i="2"/>
  <c r="AC244" i="2"/>
  <c r="AC252" i="2"/>
  <c r="AC260" i="2"/>
  <c r="AC268" i="2"/>
  <c r="AC276" i="2"/>
  <c r="AC100" i="2"/>
  <c r="AC34" i="2"/>
  <c r="AC38" i="2"/>
  <c r="AC66" i="2"/>
  <c r="AC74" i="2"/>
  <c r="AC82" i="2"/>
  <c r="AC90" i="2"/>
  <c r="AC98" i="2"/>
  <c r="AC106" i="2"/>
  <c r="AC114" i="2"/>
  <c r="AC122" i="2"/>
  <c r="AC209" i="2"/>
  <c r="AC257" i="2"/>
  <c r="AC108" i="2"/>
  <c r="AC9" i="2"/>
  <c r="AC60" i="2"/>
  <c r="AC84" i="2"/>
  <c r="AC120" i="2"/>
  <c r="AC12" i="2"/>
  <c r="AC20" i="2"/>
  <c r="AC27" i="2"/>
  <c r="AC35" i="2"/>
  <c r="AC43" i="2"/>
  <c r="AC51" i="2"/>
  <c r="AC83" i="2"/>
  <c r="AC119" i="2"/>
  <c r="AC210" i="2"/>
  <c r="AC218" i="2"/>
  <c r="AC226" i="2"/>
  <c r="AC234" i="2"/>
  <c r="AC242" i="2"/>
  <c r="AC250" i="2"/>
  <c r="AC258" i="2"/>
  <c r="AC266" i="2"/>
  <c r="AC274" i="2"/>
  <c r="AC28" i="2"/>
  <c r="AC40" i="2"/>
  <c r="AC223" i="2"/>
  <c r="AC65" i="2"/>
  <c r="AC93" i="2"/>
  <c r="AC101" i="2"/>
  <c r="AC113" i="2"/>
  <c r="AC36" i="2"/>
  <c r="AC136" i="2"/>
  <c r="AC219" i="2"/>
  <c r="AC138" i="2"/>
  <c r="AC154" i="2"/>
  <c r="AC170" i="2"/>
  <c r="AC205" i="2"/>
  <c r="AC213" i="2"/>
  <c r="AC221" i="2"/>
  <c r="AC128" i="2"/>
  <c r="AC168" i="2"/>
  <c r="AC215" i="2"/>
  <c r="AC67" i="2"/>
  <c r="AC87" i="2"/>
  <c r="AC127" i="2"/>
  <c r="AC3" i="2"/>
  <c r="AC124" i="2"/>
  <c r="AC148" i="2"/>
  <c r="AC180" i="2"/>
  <c r="AC85" i="2"/>
  <c r="AC137" i="2"/>
  <c r="AC145" i="2"/>
  <c r="AC153" i="2"/>
  <c r="AC161" i="2"/>
  <c r="AD169" i="2"/>
  <c r="AC169" i="2"/>
  <c r="AC177" i="2"/>
  <c r="AC52" i="2"/>
  <c r="AC191" i="2"/>
  <c r="AC7" i="2"/>
  <c r="AC15" i="2"/>
  <c r="AC19" i="2"/>
  <c r="AC23" i="2"/>
  <c r="AC46" i="2"/>
  <c r="AC126" i="2"/>
  <c r="AC197" i="2"/>
  <c r="AC237" i="2"/>
  <c r="AC269" i="2"/>
  <c r="AC277" i="2"/>
  <c r="AC17" i="2"/>
  <c r="AC44" i="2"/>
  <c r="AC184" i="2"/>
  <c r="AC243" i="2"/>
  <c r="AC99" i="2"/>
  <c r="AC107" i="2"/>
  <c r="AC115" i="2"/>
  <c r="AC123" i="2"/>
  <c r="AC135" i="2"/>
  <c r="AC143" i="2"/>
  <c r="AC151" i="2"/>
  <c r="AC159" i="2"/>
  <c r="AC167" i="2"/>
  <c r="AC175" i="2"/>
  <c r="AC21" i="2"/>
  <c r="AC203" i="2"/>
  <c r="AC61" i="2"/>
  <c r="AC69" i="2"/>
  <c r="AC73" i="2"/>
  <c r="AC109" i="2"/>
  <c r="AC121" i="2"/>
  <c r="AC185" i="2"/>
  <c r="AC192" i="2"/>
  <c r="AC200" i="2"/>
  <c r="AC208" i="2"/>
  <c r="AC26" i="2"/>
  <c r="AC229" i="2"/>
  <c r="AC261" i="2"/>
  <c r="AC172" i="2"/>
  <c r="AC231" i="2"/>
  <c r="AC160" i="2"/>
  <c r="AC63" i="2"/>
  <c r="AC71" i="2"/>
  <c r="AC79" i="2"/>
  <c r="AC131" i="2"/>
  <c r="AC183" i="2"/>
  <c r="AC190" i="2"/>
  <c r="AC198" i="2"/>
  <c r="AC206" i="2"/>
  <c r="AC64" i="2"/>
  <c r="AC80" i="2"/>
  <c r="AC104" i="2"/>
  <c r="AC247" i="2"/>
  <c r="AC271" i="2"/>
  <c r="AC10" i="2"/>
  <c r="AC18" i="2"/>
  <c r="AC25" i="2"/>
  <c r="AC33" i="2"/>
  <c r="AC41" i="2"/>
  <c r="AC49" i="2"/>
  <c r="AC57" i="2"/>
  <c r="AC129" i="2"/>
  <c r="AC216" i="2"/>
  <c r="AC224" i="2"/>
  <c r="AC232" i="2"/>
  <c r="AC240" i="2"/>
  <c r="AC248" i="2"/>
  <c r="AC256" i="2"/>
  <c r="AC264" i="2"/>
  <c r="AC272" i="2"/>
  <c r="AC76" i="2"/>
  <c r="AC116" i="2"/>
  <c r="AC50" i="2"/>
  <c r="AC58" i="2"/>
  <c r="AC62" i="2"/>
  <c r="AC70" i="2"/>
  <c r="AC78" i="2"/>
  <c r="AC86" i="2"/>
  <c r="AC94" i="2"/>
  <c r="AC102" i="2"/>
  <c r="AC110" i="2"/>
  <c r="AC118" i="2"/>
  <c r="AC130" i="2"/>
  <c r="AC142" i="2"/>
  <c r="AC158" i="2"/>
  <c r="AC174" i="2"/>
  <c r="AC245" i="2"/>
  <c r="AC253" i="2"/>
  <c r="AC88" i="2"/>
  <c r="AC132" i="2"/>
  <c r="AC267" i="2"/>
  <c r="AC32" i="2"/>
  <c r="AC72" i="2"/>
  <c r="AC96" i="2"/>
  <c r="AC8" i="2"/>
  <c r="AC16" i="2"/>
  <c r="AC31" i="2"/>
  <c r="AC39" i="2"/>
  <c r="AC47" i="2"/>
  <c r="AC55" i="2"/>
  <c r="AC59" i="2"/>
  <c r="AC111" i="2"/>
  <c r="AC214" i="2"/>
  <c r="AC222" i="2"/>
  <c r="AC230" i="2"/>
  <c r="AC238" i="2"/>
  <c r="AC246" i="2"/>
  <c r="AC254" i="2"/>
  <c r="AC262" i="2"/>
  <c r="AC270" i="2"/>
  <c r="AC4" i="2"/>
  <c r="AD204" i="2"/>
  <c r="AC204" i="2"/>
  <c r="AC211" i="2"/>
  <c r="AC239" i="2"/>
  <c r="AC263" i="2"/>
  <c r="AC97" i="2"/>
  <c r="AC152" i="2"/>
  <c r="AC275" i="2"/>
  <c r="AC42" i="2"/>
  <c r="AC54" i="2"/>
  <c r="AC134" i="2"/>
  <c r="AC146" i="2"/>
  <c r="AC150" i="2"/>
  <c r="AC162" i="2"/>
  <c r="AC166" i="2"/>
  <c r="AC193" i="2"/>
  <c r="AC217" i="2"/>
  <c r="AC225" i="2"/>
  <c r="AC251" i="2"/>
  <c r="AC227" i="2"/>
  <c r="AC75" i="2"/>
  <c r="AC91" i="2"/>
  <c r="AV95" i="2"/>
  <c r="AX95" i="2"/>
  <c r="AU95" i="2"/>
  <c r="AW95" i="2"/>
  <c r="AV103" i="2"/>
  <c r="AX103" i="2"/>
  <c r="AU103" i="2"/>
  <c r="AW103" i="2"/>
  <c r="AX187" i="2"/>
  <c r="AV187" i="2"/>
  <c r="AW187" i="2"/>
  <c r="AU187" i="2"/>
  <c r="AX194" i="2"/>
  <c r="AW194" i="2"/>
  <c r="AV194" i="2"/>
  <c r="AU194" i="2"/>
  <c r="AX202" i="2"/>
  <c r="AV202" i="2"/>
  <c r="AW202" i="2"/>
  <c r="AU202" i="2"/>
  <c r="AW48" i="2"/>
  <c r="AV48" i="2"/>
  <c r="AU48" i="2"/>
  <c r="AX48" i="2"/>
  <c r="AX133" i="2"/>
  <c r="AW133" i="2"/>
  <c r="AV133" i="2"/>
  <c r="AU133" i="2"/>
  <c r="AW182" i="2"/>
  <c r="AX182" i="2"/>
  <c r="AU182" i="2"/>
  <c r="AV182" i="2"/>
  <c r="AW156" i="2"/>
  <c r="AU156" i="2"/>
  <c r="AV156" i="2"/>
  <c r="AX156" i="2"/>
  <c r="AX139" i="2"/>
  <c r="AV139" i="2"/>
  <c r="AW139" i="2"/>
  <c r="AU139" i="2"/>
  <c r="AX155" i="2"/>
  <c r="AV155" i="2"/>
  <c r="AW155" i="2"/>
  <c r="AU155" i="2"/>
  <c r="AW195" i="2"/>
  <c r="AX195" i="2"/>
  <c r="AU195" i="2"/>
  <c r="AV195" i="2"/>
  <c r="AX207" i="2"/>
  <c r="AW207" i="2"/>
  <c r="AV207" i="2"/>
  <c r="AU207" i="2"/>
  <c r="AX11" i="2"/>
  <c r="AV11" i="2"/>
  <c r="AW11" i="2"/>
  <c r="AU11" i="2"/>
  <c r="AW164" i="2"/>
  <c r="AU164" i="2"/>
  <c r="AX164" i="2"/>
  <c r="AV164" i="2"/>
  <c r="AX149" i="2"/>
  <c r="AW149" i="2"/>
  <c r="AV149" i="2"/>
  <c r="AU149" i="2"/>
  <c r="AW165" i="2"/>
  <c r="AX165" i="2"/>
  <c r="AV165" i="2"/>
  <c r="AU165" i="2"/>
  <c r="AX186" i="2"/>
  <c r="AV186" i="2"/>
  <c r="AW186" i="2"/>
  <c r="AU186" i="2"/>
  <c r="AX201" i="2"/>
  <c r="AV201" i="2"/>
  <c r="AW201" i="2"/>
  <c r="AU201" i="2"/>
  <c r="AX273" i="2"/>
  <c r="AV273" i="2"/>
  <c r="AW273" i="2"/>
  <c r="AU273" i="2"/>
  <c r="AX171" i="2"/>
  <c r="AV171" i="2"/>
  <c r="AW171" i="2"/>
  <c r="AU171" i="2"/>
  <c r="AD139" i="2"/>
  <c r="AW77" i="2"/>
  <c r="AX77" i="2"/>
  <c r="AU77" i="2"/>
  <c r="AV77" i="2"/>
  <c r="AX196" i="2"/>
  <c r="AW196" i="2"/>
  <c r="AV196" i="2"/>
  <c r="AU196" i="2"/>
  <c r="AW176" i="2"/>
  <c r="AV176" i="2"/>
  <c r="AX176" i="2"/>
  <c r="AU176" i="2"/>
  <c r="AX249" i="2"/>
  <c r="AV249" i="2"/>
  <c r="AW249" i="2"/>
  <c r="AU249" i="2"/>
  <c r="AV199" i="2"/>
  <c r="AU199" i="2"/>
  <c r="AX199" i="2"/>
  <c r="AW199" i="2"/>
  <c r="AD149" i="2"/>
  <c r="AW13" i="2"/>
  <c r="AU13" i="2"/>
  <c r="AV13" i="2"/>
  <c r="AX13" i="2"/>
  <c r="AW112" i="2"/>
  <c r="AV112" i="2"/>
  <c r="AU112" i="2"/>
  <c r="AX112" i="2"/>
  <c r="AW14" i="2"/>
  <c r="AX14" i="2"/>
  <c r="AU14" i="2"/>
  <c r="AV14" i="2"/>
  <c r="AW53" i="2"/>
  <c r="AU53" i="2"/>
  <c r="AX53" i="2"/>
  <c r="AV53" i="2"/>
  <c r="AV236" i="2"/>
  <c r="AX236" i="2"/>
  <c r="AU236" i="2"/>
  <c r="AW236" i="2"/>
  <c r="AX252" i="2"/>
  <c r="AW252" i="2"/>
  <c r="AV252" i="2"/>
  <c r="AU252" i="2"/>
  <c r="AX260" i="2"/>
  <c r="AW260" i="2"/>
  <c r="AU260" i="2"/>
  <c r="AV260" i="2"/>
  <c r="AW268" i="2"/>
  <c r="AV268" i="2"/>
  <c r="AX268" i="2"/>
  <c r="AU268" i="2"/>
  <c r="AW276" i="2"/>
  <c r="AV276" i="2"/>
  <c r="AU276" i="2"/>
  <c r="AX276" i="2"/>
  <c r="AW100" i="2"/>
  <c r="AV100" i="2"/>
  <c r="AU100" i="2"/>
  <c r="AX100" i="2"/>
  <c r="AX34" i="2"/>
  <c r="AW34" i="2"/>
  <c r="AU34" i="2"/>
  <c r="AV34" i="2"/>
  <c r="AW38" i="2"/>
  <c r="AX38" i="2"/>
  <c r="AV38" i="2"/>
  <c r="AU38" i="2"/>
  <c r="AX66" i="2"/>
  <c r="AV66" i="2"/>
  <c r="AW66" i="2"/>
  <c r="AU66" i="2"/>
  <c r="AX74" i="2"/>
  <c r="AV74" i="2"/>
  <c r="AU74" i="2"/>
  <c r="AW74" i="2"/>
  <c r="AX82" i="2"/>
  <c r="AV82" i="2"/>
  <c r="AW82" i="2"/>
  <c r="AU82" i="2"/>
  <c r="AX90" i="2"/>
  <c r="AV90" i="2"/>
  <c r="AU90" i="2"/>
  <c r="AW90" i="2"/>
  <c r="AX98" i="2"/>
  <c r="AW98" i="2"/>
  <c r="AV98" i="2"/>
  <c r="AU98" i="2"/>
  <c r="AX114" i="2"/>
  <c r="AV114" i="2"/>
  <c r="AW114" i="2"/>
  <c r="AU114" i="2"/>
  <c r="AX122" i="2"/>
  <c r="AV122" i="2"/>
  <c r="AW122" i="2"/>
  <c r="AU122" i="2"/>
  <c r="AX209" i="2"/>
  <c r="AV209" i="2"/>
  <c r="AW209" i="2"/>
  <c r="AU209" i="2"/>
  <c r="AX257" i="2"/>
  <c r="AV257" i="2"/>
  <c r="AU257" i="2"/>
  <c r="AW257" i="2"/>
  <c r="AW108" i="2"/>
  <c r="AU108" i="2"/>
  <c r="AX108" i="2"/>
  <c r="AV108" i="2"/>
  <c r="AW9" i="2"/>
  <c r="AU9" i="2"/>
  <c r="AX9" i="2"/>
  <c r="AV9" i="2"/>
  <c r="AW60" i="2"/>
  <c r="AU60" i="2"/>
  <c r="AX60" i="2"/>
  <c r="AV60" i="2"/>
  <c r="AW84" i="2"/>
  <c r="AU84" i="2"/>
  <c r="AX84" i="2"/>
  <c r="AV84" i="2"/>
  <c r="AW120" i="2"/>
  <c r="AX120" i="2"/>
  <c r="AU120" i="2"/>
  <c r="AV120" i="2"/>
  <c r="AX12" i="2"/>
  <c r="AU12" i="2"/>
  <c r="AV12" i="2"/>
  <c r="AW12" i="2"/>
  <c r="AX20" i="2"/>
  <c r="AW20" i="2"/>
  <c r="AU20" i="2"/>
  <c r="AV20" i="2"/>
  <c r="AX27" i="2"/>
  <c r="AV27" i="2"/>
  <c r="AW27" i="2"/>
  <c r="AU27" i="2"/>
  <c r="AX35" i="2"/>
  <c r="AW35" i="2"/>
  <c r="AV35" i="2"/>
  <c r="AU35" i="2"/>
  <c r="AX43" i="2"/>
  <c r="AV43" i="2"/>
  <c r="AU43" i="2"/>
  <c r="AW43" i="2"/>
  <c r="AX51" i="2"/>
  <c r="AW51" i="2"/>
  <c r="AU51" i="2"/>
  <c r="AV51" i="2"/>
  <c r="AX83" i="2"/>
  <c r="AW83" i="2"/>
  <c r="AV83" i="2"/>
  <c r="AU83" i="2"/>
  <c r="AV119" i="2"/>
  <c r="AX119" i="2"/>
  <c r="AW119" i="2"/>
  <c r="AU119" i="2"/>
  <c r="AX210" i="2"/>
  <c r="AV210" i="2"/>
  <c r="AU210" i="2"/>
  <c r="AW210" i="2"/>
  <c r="AX218" i="2"/>
  <c r="AV218" i="2"/>
  <c r="AW218" i="2"/>
  <c r="AU218" i="2"/>
  <c r="AX226" i="2"/>
  <c r="AW226" i="2"/>
  <c r="AV226" i="2"/>
  <c r="AU226" i="2"/>
  <c r="AX234" i="2"/>
  <c r="AV234" i="2"/>
  <c r="AU234" i="2"/>
  <c r="AW234" i="2"/>
  <c r="AX242" i="2"/>
  <c r="AV242" i="2"/>
  <c r="AW242" i="2"/>
  <c r="AU242" i="2"/>
  <c r="AX250" i="2"/>
  <c r="AV250" i="2"/>
  <c r="AW250" i="2"/>
  <c r="AU250" i="2"/>
  <c r="AX258" i="2"/>
  <c r="AW258" i="2"/>
  <c r="AV258" i="2"/>
  <c r="AU258" i="2"/>
  <c r="AX266" i="2"/>
  <c r="AV266" i="2"/>
  <c r="AW266" i="2"/>
  <c r="AU266" i="2"/>
  <c r="AX274" i="2"/>
  <c r="AV274" i="2"/>
  <c r="AW274" i="2"/>
  <c r="AU274" i="2"/>
  <c r="AD274" i="2"/>
  <c r="AD195" i="2"/>
  <c r="AD196" i="2"/>
  <c r="AX40" i="2"/>
  <c r="AU40" i="2"/>
  <c r="AV40" i="2"/>
  <c r="AW40" i="2"/>
  <c r="AU223" i="2"/>
  <c r="AX223" i="2"/>
  <c r="AV223" i="2"/>
  <c r="AW223" i="2"/>
  <c r="AX65" i="2"/>
  <c r="AV65" i="2"/>
  <c r="AW65" i="2"/>
  <c r="AU65" i="2"/>
  <c r="AW93" i="2"/>
  <c r="AX93" i="2"/>
  <c r="AV93" i="2"/>
  <c r="AU93" i="2"/>
  <c r="AW101" i="2"/>
  <c r="AV101" i="2"/>
  <c r="AX101" i="2"/>
  <c r="AU101" i="2"/>
  <c r="AX113" i="2"/>
  <c r="AV113" i="2"/>
  <c r="AW113" i="2"/>
  <c r="AU113" i="2"/>
  <c r="AW36" i="2"/>
  <c r="AV36" i="2"/>
  <c r="AU36" i="2"/>
  <c r="AX36" i="2"/>
  <c r="AV136" i="2"/>
  <c r="AW136" i="2"/>
  <c r="AU136" i="2"/>
  <c r="AX136" i="2"/>
  <c r="AW219" i="2"/>
  <c r="AV219" i="2"/>
  <c r="AX219" i="2"/>
  <c r="AU219" i="2"/>
  <c r="AX138" i="2"/>
  <c r="AV138" i="2"/>
  <c r="AW138" i="2"/>
  <c r="AU138" i="2"/>
  <c r="AX154" i="2"/>
  <c r="AV154" i="2"/>
  <c r="AW154" i="2"/>
  <c r="AU154" i="2"/>
  <c r="AX170" i="2"/>
  <c r="AV170" i="2"/>
  <c r="AU170" i="2"/>
  <c r="AW170" i="2"/>
  <c r="AW205" i="2"/>
  <c r="AX205" i="2"/>
  <c r="AU205" i="2"/>
  <c r="AV205" i="2"/>
  <c r="AW213" i="2"/>
  <c r="AX213" i="2"/>
  <c r="AV213" i="2"/>
  <c r="AU213" i="2"/>
  <c r="AW221" i="2"/>
  <c r="AX221" i="2"/>
  <c r="AV221" i="2"/>
  <c r="AU221" i="2"/>
  <c r="AX128" i="2"/>
  <c r="AU128" i="2"/>
  <c r="AV128" i="2"/>
  <c r="AW128" i="2"/>
  <c r="AX168" i="2"/>
  <c r="AV168" i="2"/>
  <c r="AW168" i="2"/>
  <c r="AU168" i="2"/>
  <c r="AU215" i="2"/>
  <c r="AW215" i="2"/>
  <c r="AV215" i="2"/>
  <c r="AX215" i="2"/>
  <c r="AX67" i="2"/>
  <c r="AW67" i="2"/>
  <c r="AV67" i="2"/>
  <c r="AU67" i="2"/>
  <c r="AV87" i="2"/>
  <c r="AW87" i="2"/>
  <c r="AU87" i="2"/>
  <c r="AX87" i="2"/>
  <c r="AX127" i="2"/>
  <c r="AV127" i="2"/>
  <c r="AU127" i="2"/>
  <c r="AW127" i="2"/>
  <c r="AW188" i="2"/>
  <c r="AU188" i="2"/>
  <c r="AV188" i="2"/>
  <c r="AX188" i="2"/>
  <c r="AW140" i="2"/>
  <c r="AU140" i="2"/>
  <c r="AV140" i="2"/>
  <c r="AX140" i="2"/>
  <c r="AX189" i="2"/>
  <c r="AW189" i="2"/>
  <c r="AV189" i="2"/>
  <c r="AX204" i="2"/>
  <c r="AW204" i="2"/>
  <c r="AU204" i="2"/>
  <c r="AV204" i="2"/>
  <c r="AX233" i="2"/>
  <c r="AV233" i="2"/>
  <c r="AW233" i="2"/>
  <c r="AU233" i="2"/>
  <c r="AX265" i="2"/>
  <c r="AV265" i="2"/>
  <c r="AW265" i="2"/>
  <c r="AU265" i="2"/>
  <c r="AW37" i="2"/>
  <c r="AV37" i="2"/>
  <c r="AU37" i="2"/>
  <c r="AX37" i="2"/>
  <c r="AX81" i="2"/>
  <c r="AV81" i="2"/>
  <c r="AW81" i="2"/>
  <c r="AU81" i="2"/>
  <c r="AW7" i="2"/>
  <c r="AU7" i="2"/>
  <c r="AX7" i="2"/>
  <c r="AV7" i="2"/>
  <c r="AW15" i="2"/>
  <c r="AV15" i="2"/>
  <c r="AU15" i="2"/>
  <c r="AX15" i="2"/>
  <c r="AX19" i="2"/>
  <c r="AU19" i="2"/>
  <c r="AW19" i="2"/>
  <c r="AV19" i="2"/>
  <c r="AW23" i="2"/>
  <c r="AV23" i="2"/>
  <c r="AU23" i="2"/>
  <c r="AX23" i="2"/>
  <c r="AW46" i="2"/>
  <c r="AV46" i="2"/>
  <c r="AX46" i="2"/>
  <c r="AU46" i="2"/>
  <c r="AW126" i="2"/>
  <c r="AX126" i="2"/>
  <c r="AV126" i="2"/>
  <c r="AU126" i="2"/>
  <c r="AW197" i="2"/>
  <c r="AV197" i="2"/>
  <c r="AX197" i="2"/>
  <c r="AU197" i="2"/>
  <c r="AW237" i="2"/>
  <c r="AX237" i="2"/>
  <c r="AU237" i="2"/>
  <c r="AV237" i="2"/>
  <c r="AW269" i="2"/>
  <c r="AV269" i="2"/>
  <c r="AU269" i="2"/>
  <c r="AX269" i="2"/>
  <c r="AW277" i="2"/>
  <c r="AX277" i="2"/>
  <c r="AV277" i="2"/>
  <c r="AU277" i="2"/>
  <c r="AX17" i="2"/>
  <c r="AV17" i="2"/>
  <c r="AU17" i="2"/>
  <c r="AW17" i="2"/>
  <c r="AW44" i="2"/>
  <c r="AU44" i="2"/>
  <c r="AX44" i="2"/>
  <c r="AV44" i="2"/>
  <c r="AX184" i="2"/>
  <c r="AW184" i="2"/>
  <c r="AV184" i="2"/>
  <c r="AU184" i="2"/>
  <c r="AW243" i="2"/>
  <c r="AX243" i="2"/>
  <c r="AV243" i="2"/>
  <c r="AU243" i="2"/>
  <c r="AX99" i="2"/>
  <c r="AW99" i="2"/>
  <c r="AV99" i="2"/>
  <c r="AU99" i="2"/>
  <c r="AX107" i="2"/>
  <c r="AU107" i="2"/>
  <c r="AV107" i="2"/>
  <c r="AW107" i="2"/>
  <c r="AX115" i="2"/>
  <c r="AW115" i="2"/>
  <c r="AV115" i="2"/>
  <c r="AU115" i="2"/>
  <c r="AX123" i="2"/>
  <c r="AV123" i="2"/>
  <c r="AU123" i="2"/>
  <c r="AW123" i="2"/>
  <c r="AW135" i="2"/>
  <c r="AU135" i="2"/>
  <c r="AX135" i="2"/>
  <c r="AV135" i="2"/>
  <c r="AX143" i="2"/>
  <c r="AW143" i="2"/>
  <c r="AU143" i="2"/>
  <c r="AV143" i="2"/>
  <c r="AV151" i="2"/>
  <c r="AX151" i="2"/>
  <c r="AU151" i="2"/>
  <c r="AW151" i="2"/>
  <c r="AW159" i="2"/>
  <c r="AV159" i="2"/>
  <c r="AX159" i="2"/>
  <c r="AU159" i="2"/>
  <c r="AX167" i="2"/>
  <c r="AW167" i="2"/>
  <c r="AV167" i="2"/>
  <c r="AU167" i="2"/>
  <c r="AW175" i="2"/>
  <c r="AV175" i="2"/>
  <c r="AX175" i="2"/>
  <c r="AU175" i="2"/>
  <c r="AU181" i="2"/>
  <c r="AV181" i="2"/>
  <c r="AW181" i="2"/>
  <c r="AX181" i="2"/>
  <c r="AW30" i="2"/>
  <c r="AX30" i="2"/>
  <c r="AU30" i="2"/>
  <c r="AV30" i="2"/>
  <c r="AX178" i="2"/>
  <c r="AV178" i="2"/>
  <c r="AW178" i="2"/>
  <c r="AU178" i="2"/>
  <c r="AW28" i="2"/>
  <c r="AU28" i="2"/>
  <c r="AV28" i="2"/>
  <c r="AX28" i="2"/>
  <c r="AW235" i="2"/>
  <c r="AX235" i="2"/>
  <c r="AU235" i="2"/>
  <c r="AV235" i="2"/>
  <c r="AW68" i="2"/>
  <c r="AX68" i="2"/>
  <c r="AV68" i="2"/>
  <c r="AU68" i="2"/>
  <c r="AW6" i="2"/>
  <c r="AX6" i="2"/>
  <c r="AV6" i="2"/>
  <c r="AU6" i="2"/>
  <c r="AW29" i="2"/>
  <c r="AX29" i="2"/>
  <c r="AU29" i="2"/>
  <c r="AV29" i="2"/>
  <c r="AD207" i="2"/>
  <c r="AX3" i="2"/>
  <c r="AW3" i="2"/>
  <c r="AU3" i="2"/>
  <c r="AV3" i="2"/>
  <c r="AW124" i="2"/>
  <c r="AU124" i="2"/>
  <c r="AX124" i="2"/>
  <c r="AV124" i="2"/>
  <c r="AD202" i="2"/>
  <c r="AD252" i="2"/>
  <c r="AD95" i="2"/>
  <c r="AD235" i="2"/>
  <c r="AD181" i="2"/>
  <c r="AW21" i="2"/>
  <c r="AU21" i="2"/>
  <c r="AX21" i="2"/>
  <c r="AV21" i="2"/>
  <c r="AW203" i="2"/>
  <c r="AX203" i="2"/>
  <c r="AV203" i="2"/>
  <c r="AU203" i="2"/>
  <c r="AW61" i="2"/>
  <c r="AU61" i="2"/>
  <c r="AX61" i="2"/>
  <c r="AV61" i="2"/>
  <c r="AW69" i="2"/>
  <c r="AX69" i="2"/>
  <c r="AV69" i="2"/>
  <c r="AU69" i="2"/>
  <c r="AX73" i="2"/>
  <c r="AV73" i="2"/>
  <c r="AW73" i="2"/>
  <c r="AU73" i="2"/>
  <c r="AW109" i="2"/>
  <c r="AX109" i="2"/>
  <c r="AU109" i="2"/>
  <c r="AV109" i="2"/>
  <c r="AX121" i="2"/>
  <c r="AV121" i="2"/>
  <c r="AW121" i="2"/>
  <c r="AU121" i="2"/>
  <c r="AX185" i="2"/>
  <c r="AW185" i="2"/>
  <c r="AU185" i="2"/>
  <c r="AV185" i="2"/>
  <c r="AX192" i="2"/>
  <c r="AU192" i="2"/>
  <c r="AV192" i="2"/>
  <c r="AW192" i="2"/>
  <c r="AX200" i="2"/>
  <c r="AW200" i="2"/>
  <c r="AV200" i="2"/>
  <c r="AU200" i="2"/>
  <c r="AX208" i="2"/>
  <c r="AU208" i="2"/>
  <c r="AW208" i="2"/>
  <c r="AV208" i="2"/>
  <c r="AX26" i="2"/>
  <c r="AV26" i="2"/>
  <c r="AU26" i="2"/>
  <c r="AW26" i="2"/>
  <c r="AW229" i="2"/>
  <c r="AV229" i="2"/>
  <c r="AX229" i="2"/>
  <c r="AU229" i="2"/>
  <c r="AW261" i="2"/>
  <c r="AV261" i="2"/>
  <c r="AX261" i="2"/>
  <c r="AU261" i="2"/>
  <c r="AW172" i="2"/>
  <c r="AU172" i="2"/>
  <c r="AX172" i="2"/>
  <c r="AV172" i="2"/>
  <c r="AX231" i="2"/>
  <c r="AV231" i="2"/>
  <c r="AU231" i="2"/>
  <c r="AW231" i="2"/>
  <c r="AX160" i="2"/>
  <c r="AU160" i="2"/>
  <c r="AW160" i="2"/>
  <c r="AV160" i="2"/>
  <c r="AV63" i="2"/>
  <c r="AX63" i="2"/>
  <c r="AU63" i="2"/>
  <c r="AW63" i="2"/>
  <c r="AV71" i="2"/>
  <c r="AU71" i="2"/>
  <c r="AW71" i="2"/>
  <c r="AX71" i="2"/>
  <c r="AV79" i="2"/>
  <c r="AX79" i="2"/>
  <c r="AU79" i="2"/>
  <c r="AW79" i="2"/>
  <c r="AX131" i="2"/>
  <c r="AW131" i="2"/>
  <c r="AV131" i="2"/>
  <c r="AU131" i="2"/>
  <c r="AX183" i="2"/>
  <c r="AW183" i="2"/>
  <c r="AV183" i="2"/>
  <c r="AU183" i="2"/>
  <c r="AX190" i="2"/>
  <c r="AW190" i="2"/>
  <c r="AV190" i="2"/>
  <c r="AU190" i="2"/>
  <c r="AU198" i="2"/>
  <c r="AX198" i="2"/>
  <c r="AV198" i="2"/>
  <c r="AW198" i="2"/>
  <c r="AX206" i="2"/>
  <c r="AW206" i="2"/>
  <c r="AU206" i="2"/>
  <c r="AV206" i="2"/>
  <c r="AX89" i="2"/>
  <c r="AV89" i="2"/>
  <c r="AU89" i="2"/>
  <c r="AW89" i="2"/>
  <c r="AX157" i="2"/>
  <c r="AW157" i="2"/>
  <c r="AU157" i="2"/>
  <c r="AV157" i="2"/>
  <c r="AX241" i="2"/>
  <c r="AV241" i="2"/>
  <c r="AW241" i="2"/>
  <c r="AU241" i="2"/>
  <c r="AX147" i="2"/>
  <c r="AV147" i="2"/>
  <c r="AW147" i="2"/>
  <c r="AU147" i="2"/>
  <c r="AW5" i="2"/>
  <c r="AX5" i="2"/>
  <c r="AV5" i="2"/>
  <c r="AU5" i="2"/>
  <c r="AX220" i="2"/>
  <c r="AW220" i="2"/>
  <c r="AV220" i="2"/>
  <c r="AU220" i="2"/>
  <c r="AX244" i="2"/>
  <c r="AV244" i="2"/>
  <c r="AW244" i="2"/>
  <c r="AU244" i="2"/>
  <c r="AX137" i="2"/>
  <c r="AV137" i="2"/>
  <c r="AW137" i="2"/>
  <c r="AU137" i="2"/>
  <c r="AX153" i="2"/>
  <c r="AW153" i="2"/>
  <c r="AU153" i="2"/>
  <c r="AV153" i="2"/>
  <c r="AX161" i="2"/>
  <c r="AW161" i="2"/>
  <c r="AV161" i="2"/>
  <c r="AU161" i="2"/>
  <c r="AX177" i="2"/>
  <c r="AW177" i="2"/>
  <c r="AV177" i="2"/>
  <c r="AU177" i="2"/>
  <c r="AD20" i="2"/>
  <c r="AD171" i="2"/>
  <c r="AD199" i="2"/>
  <c r="AD156" i="2"/>
  <c r="AD258" i="2"/>
  <c r="AX64" i="2"/>
  <c r="AW64" i="2"/>
  <c r="AV64" i="2"/>
  <c r="AU64" i="2"/>
  <c r="AX80" i="2"/>
  <c r="AV80" i="2"/>
  <c r="AU80" i="2"/>
  <c r="AW80" i="2"/>
  <c r="AX104" i="2"/>
  <c r="AW104" i="2"/>
  <c r="AV104" i="2"/>
  <c r="AU104" i="2"/>
  <c r="AW247" i="2"/>
  <c r="AU247" i="2"/>
  <c r="AV247" i="2"/>
  <c r="AX247" i="2"/>
  <c r="AX271" i="2"/>
  <c r="AW271" i="2"/>
  <c r="AV271" i="2"/>
  <c r="AU271" i="2"/>
  <c r="AX10" i="2"/>
  <c r="AV10" i="2"/>
  <c r="AW10" i="2"/>
  <c r="AU10" i="2"/>
  <c r="AX18" i="2"/>
  <c r="AV18" i="2"/>
  <c r="AW18" i="2"/>
  <c r="AU18" i="2"/>
  <c r="AX25" i="2"/>
  <c r="AV25" i="2"/>
  <c r="AU25" i="2"/>
  <c r="AW25" i="2"/>
  <c r="AX33" i="2"/>
  <c r="AV33" i="2"/>
  <c r="AW33" i="2"/>
  <c r="AU33" i="2"/>
  <c r="AX41" i="2"/>
  <c r="AV41" i="2"/>
  <c r="AU41" i="2"/>
  <c r="AW41" i="2"/>
  <c r="AX49" i="2"/>
  <c r="AV49" i="2"/>
  <c r="AW49" i="2"/>
  <c r="AU49" i="2"/>
  <c r="AX57" i="2"/>
  <c r="AV57" i="2"/>
  <c r="AW57" i="2"/>
  <c r="AU57" i="2"/>
  <c r="AX129" i="2"/>
  <c r="AW129" i="2"/>
  <c r="AV129" i="2"/>
  <c r="AU129" i="2"/>
  <c r="AX216" i="2"/>
  <c r="AW216" i="2"/>
  <c r="AV216" i="2"/>
  <c r="AU216" i="2"/>
  <c r="AX224" i="2"/>
  <c r="AW224" i="2"/>
  <c r="AU224" i="2"/>
  <c r="AV224" i="2"/>
  <c r="AX232" i="2"/>
  <c r="AW232" i="2"/>
  <c r="AV232" i="2"/>
  <c r="AU232" i="2"/>
  <c r="AX240" i="2"/>
  <c r="AU240" i="2"/>
  <c r="AV240" i="2"/>
  <c r="AW240" i="2"/>
  <c r="AX248" i="2"/>
  <c r="AW248" i="2"/>
  <c r="AU248" i="2"/>
  <c r="AV248" i="2"/>
  <c r="AX256" i="2"/>
  <c r="AW256" i="2"/>
  <c r="AV256" i="2"/>
  <c r="AU256" i="2"/>
  <c r="AX264" i="2"/>
  <c r="AV264" i="2"/>
  <c r="AU264" i="2"/>
  <c r="AW264" i="2"/>
  <c r="AX272" i="2"/>
  <c r="AW272" i="2"/>
  <c r="AU272" i="2"/>
  <c r="AV272" i="2"/>
  <c r="AW76" i="2"/>
  <c r="AU76" i="2"/>
  <c r="AX76" i="2"/>
  <c r="AV76" i="2"/>
  <c r="AW116" i="2"/>
  <c r="AX116" i="2"/>
  <c r="AU116" i="2"/>
  <c r="AV116" i="2"/>
  <c r="AX50" i="2"/>
  <c r="AU50" i="2"/>
  <c r="AV50" i="2"/>
  <c r="AW50" i="2"/>
  <c r="AX58" i="2"/>
  <c r="AW58" i="2"/>
  <c r="AV58" i="2"/>
  <c r="AU58" i="2"/>
  <c r="AW62" i="2"/>
  <c r="AU62" i="2"/>
  <c r="AX62" i="2"/>
  <c r="AV62" i="2"/>
  <c r="AW70" i="2"/>
  <c r="AV70" i="2"/>
  <c r="AX70" i="2"/>
  <c r="AU70" i="2"/>
  <c r="AW78" i="2"/>
  <c r="AV78" i="2"/>
  <c r="AU78" i="2"/>
  <c r="AX78" i="2"/>
  <c r="AW86" i="2"/>
  <c r="AX86" i="2"/>
  <c r="AV86" i="2"/>
  <c r="AU86" i="2"/>
  <c r="AW94" i="2"/>
  <c r="AX94" i="2"/>
  <c r="AV94" i="2"/>
  <c r="AU94" i="2"/>
  <c r="AW102" i="2"/>
  <c r="AX102" i="2"/>
  <c r="AV102" i="2"/>
  <c r="AU102" i="2"/>
  <c r="AW110" i="2"/>
  <c r="AV110" i="2"/>
  <c r="AX110" i="2"/>
  <c r="AU110" i="2"/>
  <c r="AW118" i="2"/>
  <c r="AX118" i="2"/>
  <c r="AU118" i="2"/>
  <c r="AV118" i="2"/>
  <c r="AX130" i="2"/>
  <c r="AV130" i="2"/>
  <c r="AU130" i="2"/>
  <c r="AW130" i="2"/>
  <c r="AW142" i="2"/>
  <c r="AX142" i="2"/>
  <c r="AU142" i="2"/>
  <c r="AV142" i="2"/>
  <c r="AW158" i="2"/>
  <c r="AX158" i="2"/>
  <c r="AV158" i="2"/>
  <c r="AU158" i="2"/>
  <c r="AW174" i="2"/>
  <c r="AU174" i="2"/>
  <c r="AX174" i="2"/>
  <c r="AV174" i="2"/>
  <c r="AW245" i="2"/>
  <c r="AX245" i="2"/>
  <c r="AU245" i="2"/>
  <c r="AV245" i="2"/>
  <c r="AW253" i="2"/>
  <c r="AV253" i="2"/>
  <c r="AX253" i="2"/>
  <c r="AU253" i="2"/>
  <c r="AX88" i="2"/>
  <c r="AW88" i="2"/>
  <c r="AU88" i="2"/>
  <c r="AV88" i="2"/>
  <c r="AW132" i="2"/>
  <c r="AX132" i="2"/>
  <c r="AU132" i="2"/>
  <c r="AV132" i="2"/>
  <c r="AW267" i="2"/>
  <c r="AV267" i="2"/>
  <c r="AX267" i="2"/>
  <c r="AU267" i="2"/>
  <c r="AX32" i="2"/>
  <c r="AW32" i="2"/>
  <c r="AU32" i="2"/>
  <c r="AV32" i="2"/>
  <c r="AW72" i="2"/>
  <c r="AV72" i="2"/>
  <c r="AU72" i="2"/>
  <c r="AX72" i="2"/>
  <c r="AX96" i="2"/>
  <c r="AU96" i="2"/>
  <c r="AW96" i="2"/>
  <c r="AV96" i="2"/>
  <c r="AV8" i="2"/>
  <c r="AX8" i="2"/>
  <c r="AW8" i="2"/>
  <c r="AU8" i="2"/>
  <c r="AV16" i="2"/>
  <c r="AX16" i="2"/>
  <c r="AW16" i="2"/>
  <c r="AU16" i="2"/>
  <c r="AV31" i="2"/>
  <c r="AW31" i="2"/>
  <c r="AU31" i="2"/>
  <c r="AX31" i="2"/>
  <c r="AV39" i="2"/>
  <c r="AX39" i="2"/>
  <c r="AW39" i="2"/>
  <c r="AU39" i="2"/>
  <c r="AV47" i="2"/>
  <c r="AW47" i="2"/>
  <c r="AX47" i="2"/>
  <c r="AU47" i="2"/>
  <c r="AV55" i="2"/>
  <c r="AX55" i="2"/>
  <c r="AW55" i="2"/>
  <c r="AU55" i="2"/>
  <c r="AX59" i="2"/>
  <c r="AW59" i="2"/>
  <c r="AV59" i="2"/>
  <c r="AU59" i="2"/>
  <c r="AV111" i="2"/>
  <c r="AW111" i="2"/>
  <c r="AU111" i="2"/>
  <c r="AX111" i="2"/>
  <c r="AW214" i="2"/>
  <c r="AU214" i="2"/>
  <c r="AV214" i="2"/>
  <c r="AX214" i="2"/>
  <c r="AX222" i="2"/>
  <c r="AU222" i="2"/>
  <c r="AV222" i="2"/>
  <c r="AW222" i="2"/>
  <c r="AW230" i="2"/>
  <c r="AU230" i="2"/>
  <c r="AV230" i="2"/>
  <c r="AX230" i="2"/>
  <c r="AW238" i="2"/>
  <c r="AX238" i="2"/>
  <c r="AU238" i="2"/>
  <c r="AV238" i="2"/>
  <c r="AX246" i="2"/>
  <c r="AW246" i="2"/>
  <c r="AU246" i="2"/>
  <c r="AV246" i="2"/>
  <c r="AX254" i="2"/>
  <c r="AU254" i="2"/>
  <c r="AV254" i="2"/>
  <c r="AW254" i="2"/>
  <c r="AW262" i="2"/>
  <c r="AU262" i="2"/>
  <c r="AX262" i="2"/>
  <c r="AV262" i="2"/>
  <c r="AX270" i="2"/>
  <c r="AW270" i="2"/>
  <c r="AU270" i="2"/>
  <c r="AV270" i="2"/>
  <c r="AX4" i="2"/>
  <c r="AW4" i="2"/>
  <c r="AU4" i="2"/>
  <c r="AV4" i="2"/>
  <c r="AU117" i="2"/>
  <c r="AW117" i="2"/>
  <c r="AV117" i="2"/>
  <c r="AX117" i="2"/>
  <c r="AX141" i="2"/>
  <c r="AW141" i="2"/>
  <c r="AV141" i="2"/>
  <c r="AU141" i="2"/>
  <c r="AX173" i="2"/>
  <c r="AU173" i="2"/>
  <c r="AW173" i="2"/>
  <c r="AV173" i="2"/>
  <c r="AU255" i="2"/>
  <c r="AX255" i="2"/>
  <c r="AW255" i="2"/>
  <c r="AV255" i="2"/>
  <c r="AV56" i="2"/>
  <c r="AU56" i="2"/>
  <c r="AW56" i="2"/>
  <c r="AX56" i="2"/>
  <c r="AX163" i="2"/>
  <c r="AW163" i="2"/>
  <c r="AV163" i="2"/>
  <c r="AU163" i="2"/>
  <c r="AX179" i="2"/>
  <c r="AV179" i="2"/>
  <c r="AW179" i="2"/>
  <c r="AU179" i="2"/>
  <c r="AD155" i="2"/>
  <c r="AX24" i="2"/>
  <c r="AW24" i="2"/>
  <c r="AV24" i="2"/>
  <c r="AU24" i="2"/>
  <c r="AX144" i="2"/>
  <c r="AW144" i="2"/>
  <c r="AV144" i="2"/>
  <c r="AU144" i="2"/>
  <c r="AW259" i="2"/>
  <c r="AX259" i="2"/>
  <c r="AU259" i="2"/>
  <c r="AV259" i="2"/>
  <c r="AD255" i="2"/>
  <c r="AW92" i="2"/>
  <c r="AU92" i="2"/>
  <c r="AV92" i="2"/>
  <c r="AX92" i="2"/>
  <c r="AW22" i="2"/>
  <c r="AU22" i="2"/>
  <c r="AX22" i="2"/>
  <c r="AV22" i="2"/>
  <c r="AW45" i="2"/>
  <c r="AU45" i="2"/>
  <c r="AV45" i="2"/>
  <c r="AX45" i="2"/>
  <c r="AX105" i="2"/>
  <c r="AV105" i="2"/>
  <c r="AW105" i="2"/>
  <c r="AU105" i="2"/>
  <c r="AW125" i="2"/>
  <c r="AU125" i="2"/>
  <c r="AV125" i="2"/>
  <c r="AX125" i="2"/>
  <c r="AX212" i="2"/>
  <c r="AV212" i="2"/>
  <c r="AW212" i="2"/>
  <c r="AU212" i="2"/>
  <c r="AW228" i="2"/>
  <c r="AX228" i="2"/>
  <c r="AU228" i="2"/>
  <c r="AV228" i="2"/>
  <c r="AX106" i="2"/>
  <c r="AW106" i="2"/>
  <c r="AV106" i="2"/>
  <c r="AU106" i="2"/>
  <c r="AW148" i="2"/>
  <c r="AU148" i="2"/>
  <c r="AV148" i="2"/>
  <c r="AX148" i="2"/>
  <c r="AW180" i="2"/>
  <c r="AX180" i="2"/>
  <c r="AU180" i="2"/>
  <c r="AV180" i="2"/>
  <c r="AW85" i="2"/>
  <c r="AV85" i="2"/>
  <c r="AX85" i="2"/>
  <c r="AU85" i="2"/>
  <c r="AX145" i="2"/>
  <c r="AW145" i="2"/>
  <c r="AU145" i="2"/>
  <c r="AV145" i="2"/>
  <c r="AX169" i="2"/>
  <c r="AV169" i="2"/>
  <c r="AU169" i="2"/>
  <c r="AW169" i="2"/>
  <c r="AW52" i="2"/>
  <c r="AX52" i="2"/>
  <c r="AU52" i="2"/>
  <c r="AV52" i="2"/>
  <c r="AW191" i="2"/>
  <c r="AU191" i="2"/>
  <c r="AX191" i="2"/>
  <c r="AV191" i="2"/>
  <c r="AD51" i="2"/>
  <c r="AD133" i="2"/>
  <c r="AD177" i="2"/>
  <c r="AD164" i="2"/>
  <c r="AD89" i="2"/>
  <c r="AD276" i="2"/>
  <c r="AW211" i="2"/>
  <c r="AX211" i="2"/>
  <c r="AV211" i="2"/>
  <c r="AU211" i="2"/>
  <c r="AW239" i="2"/>
  <c r="AV239" i="2"/>
  <c r="AU239" i="2"/>
  <c r="AX239" i="2"/>
  <c r="AV263" i="2"/>
  <c r="AW263" i="2"/>
  <c r="AU263" i="2"/>
  <c r="AX263" i="2"/>
  <c r="AX97" i="2"/>
  <c r="AV97" i="2"/>
  <c r="AW97" i="2"/>
  <c r="AU97" i="2"/>
  <c r="AX152" i="2"/>
  <c r="AV152" i="2"/>
  <c r="AW152" i="2"/>
  <c r="AU152" i="2"/>
  <c r="AW275" i="2"/>
  <c r="AX275" i="2"/>
  <c r="AV275" i="2"/>
  <c r="AU275" i="2"/>
  <c r="AX42" i="2"/>
  <c r="AV42" i="2"/>
  <c r="AU42" i="2"/>
  <c r="AW42" i="2"/>
  <c r="AW54" i="2"/>
  <c r="AX54" i="2"/>
  <c r="AV54" i="2"/>
  <c r="AU54" i="2"/>
  <c r="AW134" i="2"/>
  <c r="AV134" i="2"/>
  <c r="AX134" i="2"/>
  <c r="AU134" i="2"/>
  <c r="AX146" i="2"/>
  <c r="AV146" i="2"/>
  <c r="AW146" i="2"/>
  <c r="AU146" i="2"/>
  <c r="AW150" i="2"/>
  <c r="AX150" i="2"/>
  <c r="AU150" i="2"/>
  <c r="AV150" i="2"/>
  <c r="AX162" i="2"/>
  <c r="AV162" i="2"/>
  <c r="AU162" i="2"/>
  <c r="AW162" i="2"/>
  <c r="AW166" i="2"/>
  <c r="AX166" i="2"/>
  <c r="AV166" i="2"/>
  <c r="AU166" i="2"/>
  <c r="AX193" i="2"/>
  <c r="AV193" i="2"/>
  <c r="AW193" i="2"/>
  <c r="AU193" i="2"/>
  <c r="AX217" i="2"/>
  <c r="AV217" i="2"/>
  <c r="AW217" i="2"/>
  <c r="AU217" i="2"/>
  <c r="AX225" i="2"/>
  <c r="AV225" i="2"/>
  <c r="AW225" i="2"/>
  <c r="AU225" i="2"/>
  <c r="AW251" i="2"/>
  <c r="AV251" i="2"/>
  <c r="AX251" i="2"/>
  <c r="AU251" i="2"/>
  <c r="AW227" i="2"/>
  <c r="AX227" i="2"/>
  <c r="AU227" i="2"/>
  <c r="AV227" i="2"/>
  <c r="AX75" i="2"/>
  <c r="AU75" i="2"/>
  <c r="AV75" i="2"/>
  <c r="AW75" i="2"/>
  <c r="AX91" i="2"/>
  <c r="AV91" i="2"/>
  <c r="AW91" i="2"/>
  <c r="AU91" i="2"/>
  <c r="AD141" i="2"/>
  <c r="AD109" i="2"/>
  <c r="AD71" i="2"/>
  <c r="AD157" i="2"/>
  <c r="AD79" i="2"/>
  <c r="AL198" i="2"/>
  <c r="AD117" i="2"/>
  <c r="AD189" i="2"/>
  <c r="AD236" i="2"/>
  <c r="AJ199" i="2"/>
  <c r="AD251" i="2"/>
  <c r="AD239" i="2"/>
  <c r="AE133" i="2"/>
  <c r="AG231" i="2"/>
  <c r="AJ206" i="2"/>
  <c r="AD218" i="2"/>
  <c r="AJ246" i="2"/>
  <c r="AM203" i="2"/>
  <c r="AL255" i="2"/>
  <c r="AG271" i="2"/>
  <c r="AD165" i="2"/>
  <c r="AL250" i="2"/>
  <c r="AF208" i="2"/>
  <c r="AJ184" i="2"/>
  <c r="AJ259" i="2"/>
  <c r="AF200" i="2"/>
  <c r="AJ164" i="2"/>
  <c r="AE222" i="2"/>
  <c r="AD183" i="2"/>
  <c r="AE177" i="2"/>
  <c r="AE159" i="2"/>
  <c r="AK272" i="2"/>
  <c r="AE220" i="2"/>
  <c r="AE212" i="2"/>
  <c r="AD173" i="2"/>
  <c r="AJ275" i="2"/>
  <c r="AE256" i="2"/>
  <c r="AE216" i="2"/>
  <c r="AN180" i="2"/>
  <c r="AF231" i="2"/>
  <c r="AI195" i="2"/>
  <c r="AF156" i="2"/>
  <c r="AE226" i="2"/>
  <c r="AE264" i="2"/>
  <c r="AF168" i="2"/>
  <c r="AF211" i="2"/>
  <c r="AH164" i="2"/>
  <c r="AE258" i="2"/>
  <c r="AG220" i="2"/>
  <c r="AE210" i="2"/>
  <c r="AE248" i="2"/>
  <c r="AL160" i="2"/>
  <c r="AF262" i="2"/>
  <c r="AE200" i="2"/>
  <c r="AI256" i="2"/>
  <c r="AI175" i="2"/>
  <c r="AE185" i="2"/>
  <c r="AI266" i="2"/>
  <c r="AI227" i="2"/>
  <c r="AF172" i="2"/>
  <c r="AJ240" i="2"/>
  <c r="AK188" i="2"/>
  <c r="AF191" i="2"/>
  <c r="AH199" i="2"/>
  <c r="AH215" i="2"/>
  <c r="AH263" i="2"/>
  <c r="AL272" i="2"/>
  <c r="AE242" i="2"/>
  <c r="AF234" i="2"/>
  <c r="AF250" i="2"/>
  <c r="AH204" i="2"/>
  <c r="AD243" i="2"/>
  <c r="AD176" i="2"/>
  <c r="AE194" i="2"/>
  <c r="AE232" i="2"/>
  <c r="AD116" i="2"/>
  <c r="AO140" i="2"/>
  <c r="AJ91" i="2"/>
  <c r="AE123" i="2"/>
  <c r="AD53" i="2"/>
  <c r="AD213" i="2"/>
  <c r="AK84" i="2"/>
  <c r="AJ20" i="2"/>
  <c r="AG9" i="2"/>
  <c r="AJ95" i="2"/>
  <c r="AJ19" i="2"/>
  <c r="AN29" i="2"/>
  <c r="AG14" i="2"/>
  <c r="AD14" i="2"/>
  <c r="AM46" i="2"/>
  <c r="AD33" i="2"/>
  <c r="AD81" i="2"/>
  <c r="AD15" i="2"/>
  <c r="AD26" i="2"/>
  <c r="AD62" i="2"/>
  <c r="AD94" i="2"/>
  <c r="AJ73" i="2"/>
  <c r="AD130" i="2"/>
  <c r="AD146" i="2"/>
  <c r="AD162" i="2"/>
  <c r="AD178" i="2"/>
  <c r="AD193" i="2"/>
  <c r="AD217" i="2"/>
  <c r="AD237" i="2"/>
  <c r="AD253" i="2"/>
  <c r="AD269" i="2"/>
  <c r="AD52" i="2"/>
  <c r="AD148" i="2"/>
  <c r="AD82" i="2"/>
  <c r="AK13" i="2"/>
  <c r="AK116" i="2"/>
  <c r="AD13" i="2"/>
  <c r="AG64" i="2"/>
  <c r="AG128" i="2"/>
  <c r="AG21" i="2"/>
  <c r="AO144" i="2"/>
  <c r="AJ67" i="2"/>
  <c r="AJ99" i="2"/>
  <c r="AJ131" i="2"/>
  <c r="AD27" i="2"/>
  <c r="AD43" i="2"/>
  <c r="AN10" i="2"/>
  <c r="AJ14" i="2"/>
  <c r="AD25" i="2"/>
  <c r="AK34" i="2"/>
  <c r="AE50" i="2"/>
  <c r="AD45" i="2"/>
  <c r="AD57" i="2"/>
  <c r="AD69" i="2"/>
  <c r="AK110" i="2"/>
  <c r="AD38" i="2"/>
  <c r="AD50" i="2"/>
  <c r="AD74" i="2"/>
  <c r="AD106" i="2"/>
  <c r="AN62" i="2"/>
  <c r="AJ117" i="2"/>
  <c r="AH225" i="2"/>
  <c r="AH265" i="2"/>
  <c r="AN261" i="2"/>
  <c r="AE229" i="2"/>
  <c r="AN205" i="2"/>
  <c r="AF162" i="2"/>
  <c r="AN277" i="2"/>
  <c r="AK186" i="2"/>
  <c r="AM170" i="2"/>
  <c r="AM237" i="2"/>
  <c r="AD221" i="2"/>
  <c r="AL237" i="2"/>
  <c r="AM154" i="2"/>
  <c r="AM174" i="2"/>
  <c r="AM118" i="2"/>
  <c r="AM134" i="2"/>
  <c r="AF130" i="2"/>
  <c r="AF146" i="2"/>
  <c r="AN253" i="2"/>
  <c r="AD68" i="2"/>
  <c r="AM9" i="2"/>
  <c r="AJ59" i="2"/>
  <c r="AE75" i="2"/>
  <c r="AK148" i="2"/>
  <c r="AG32" i="2"/>
  <c r="AJ31" i="2"/>
  <c r="AD24" i="2"/>
  <c r="AD72" i="2"/>
  <c r="AD104" i="2"/>
  <c r="AD136" i="2"/>
  <c r="AK60" i="2"/>
  <c r="AK124" i="2"/>
  <c r="AL152" i="2"/>
  <c r="AM13" i="2"/>
  <c r="AD12" i="2"/>
  <c r="AJ71" i="2"/>
  <c r="AJ103" i="2"/>
  <c r="AJ135" i="2"/>
  <c r="AM30" i="2"/>
  <c r="AD6" i="2"/>
  <c r="AL25" i="2"/>
  <c r="AM50" i="2"/>
  <c r="AH34" i="2"/>
  <c r="AH82" i="2"/>
  <c r="AM14" i="2"/>
  <c r="AI38" i="2"/>
  <c r="AE53" i="2"/>
  <c r="AI62" i="2"/>
  <c r="AM73" i="2"/>
  <c r="AE85" i="2"/>
  <c r="AM105" i="2"/>
  <c r="AO53" i="2"/>
  <c r="AO101" i="2"/>
  <c r="AG113" i="2"/>
  <c r="AH65" i="2"/>
  <c r="AD86" i="2"/>
  <c r="AH97" i="2"/>
  <c r="AD118" i="2"/>
  <c r="AF54" i="2"/>
  <c r="AJ65" i="2"/>
  <c r="AN74" i="2"/>
  <c r="AJ89" i="2"/>
  <c r="AN102" i="2"/>
  <c r="AH98" i="2"/>
  <c r="AH134" i="2"/>
  <c r="AH166" i="2"/>
  <c r="AH197" i="2"/>
  <c r="AH237" i="2"/>
  <c r="AH269" i="2"/>
  <c r="AM233" i="2"/>
  <c r="AN166" i="2"/>
  <c r="AF205" i="2"/>
  <c r="AN265" i="2"/>
  <c r="AI150" i="2"/>
  <c r="AI213" i="2"/>
  <c r="AE233" i="2"/>
  <c r="AF209" i="2"/>
  <c r="AJ82" i="2"/>
  <c r="AJ205" i="2"/>
  <c r="AE174" i="2"/>
  <c r="AD134" i="2"/>
  <c r="AD150" i="2"/>
  <c r="AD166" i="2"/>
  <c r="AD182" i="2"/>
  <c r="AD197" i="2"/>
  <c r="AD225" i="2"/>
  <c r="AD241" i="2"/>
  <c r="AD257" i="2"/>
  <c r="AD273" i="2"/>
  <c r="AM70" i="2"/>
  <c r="AE90" i="2"/>
  <c r="AE106" i="2"/>
  <c r="AE138" i="2"/>
  <c r="AN146" i="2"/>
  <c r="AD19" i="2"/>
  <c r="AE34" i="2"/>
  <c r="AD132" i="2"/>
  <c r="AJ123" i="2"/>
  <c r="AE139" i="2"/>
  <c r="AD39" i="2"/>
  <c r="AK52" i="2"/>
  <c r="AG96" i="2"/>
  <c r="AJ63" i="2"/>
  <c r="AJ127" i="2"/>
  <c r="AD40" i="2"/>
  <c r="AD56" i="2"/>
  <c r="AD88" i="2"/>
  <c r="AD120" i="2"/>
  <c r="AD152" i="2"/>
  <c r="AK28" i="2"/>
  <c r="AK92" i="2"/>
  <c r="AD5" i="2"/>
  <c r="AO3" i="2"/>
  <c r="AK17" i="2"/>
  <c r="AD17" i="2"/>
  <c r="AD28" i="2"/>
  <c r="AD44" i="2"/>
  <c r="AD60" i="2"/>
  <c r="AD76" i="2"/>
  <c r="AD92" i="2"/>
  <c r="AD108" i="2"/>
  <c r="AD124" i="2"/>
  <c r="AD140" i="2"/>
  <c r="AO148" i="2"/>
  <c r="AJ75" i="2"/>
  <c r="AJ107" i="2"/>
  <c r="AJ139" i="2"/>
  <c r="AD31" i="2"/>
  <c r="AD47" i="2"/>
  <c r="AJ6" i="2"/>
  <c r="AD18" i="2"/>
  <c r="AD37" i="2"/>
  <c r="AD61" i="2"/>
  <c r="AD73" i="2"/>
  <c r="AM41" i="2"/>
  <c r="AE65" i="2"/>
  <c r="AE97" i="2"/>
  <c r="AM117" i="2"/>
  <c r="AG41" i="2"/>
  <c r="AG93" i="2"/>
  <c r="AK102" i="2"/>
  <c r="AO113" i="2"/>
  <c r="AD30" i="2"/>
  <c r="AD54" i="2"/>
  <c r="AD66" i="2"/>
  <c r="AD98" i="2"/>
  <c r="AH109" i="2"/>
  <c r="AN54" i="2"/>
  <c r="AH102" i="2"/>
  <c r="AH138" i="2"/>
  <c r="AH170" i="2"/>
  <c r="AH201" i="2"/>
  <c r="AN209" i="2"/>
  <c r="AI186" i="2"/>
  <c r="AI217" i="2"/>
  <c r="AI249" i="2"/>
  <c r="AM273" i="2"/>
  <c r="AJ209" i="2"/>
  <c r="AM241" i="2"/>
  <c r="AE178" i="2"/>
  <c r="AE245" i="2"/>
  <c r="AM90" i="2"/>
  <c r="AM138" i="2"/>
  <c r="AK112" i="2"/>
  <c r="AD100" i="2"/>
  <c r="AE91" i="2"/>
  <c r="AD114" i="2"/>
  <c r="AH152" i="2"/>
  <c r="AJ111" i="2"/>
  <c r="AK42" i="2"/>
  <c r="AD49" i="2"/>
  <c r="AI54" i="2"/>
  <c r="AG105" i="2"/>
  <c r="AD42" i="2"/>
  <c r="AD78" i="2"/>
  <c r="AD110" i="2"/>
  <c r="AD122" i="2"/>
  <c r="AN66" i="2"/>
  <c r="AJ93" i="2"/>
  <c r="AJ121" i="2"/>
  <c r="AH142" i="2"/>
  <c r="AH277" i="2"/>
  <c r="AM257" i="2"/>
  <c r="AJ261" i="2"/>
  <c r="AE277" i="2"/>
  <c r="AJ142" i="2"/>
  <c r="AJ174" i="2"/>
  <c r="AD138" i="2"/>
  <c r="AD154" i="2"/>
  <c r="AD170" i="2"/>
  <c r="AD186" i="2"/>
  <c r="AD201" i="2"/>
  <c r="AD229" i="2"/>
  <c r="AD245" i="2"/>
  <c r="AD261" i="2"/>
  <c r="AD277" i="2"/>
  <c r="AD36" i="2"/>
  <c r="AD8" i="2"/>
  <c r="AE59" i="2"/>
  <c r="AH11" i="2"/>
  <c r="AD46" i="2"/>
  <c r="AG120" i="2"/>
  <c r="AD4" i="2"/>
  <c r="AJ47" i="2"/>
  <c r="AM23" i="2"/>
  <c r="AJ18" i="2"/>
  <c r="AD29" i="2"/>
  <c r="AM65" i="2"/>
  <c r="AM97" i="2"/>
  <c r="AE109" i="2"/>
  <c r="AI118" i="2"/>
  <c r="AG57" i="2"/>
  <c r="AF217" i="2"/>
  <c r="AD9" i="2"/>
  <c r="AD16" i="2"/>
  <c r="AG151" i="2"/>
  <c r="AJ51" i="2"/>
  <c r="AJ83" i="2"/>
  <c r="AJ115" i="2"/>
  <c r="AJ147" i="2"/>
  <c r="AD35" i="2"/>
  <c r="AJ15" i="2"/>
  <c r="AD10" i="2"/>
  <c r="AH19" i="2"/>
  <c r="AL29" i="2"/>
  <c r="AD7" i="2"/>
  <c r="AD77" i="2"/>
  <c r="AG117" i="2"/>
  <c r="AD11" i="2"/>
  <c r="AD23" i="2"/>
  <c r="AD58" i="2"/>
  <c r="AD90" i="2"/>
  <c r="AJ225" i="2"/>
  <c r="AD205" i="2"/>
  <c r="AD84" i="2"/>
  <c r="AN18" i="2"/>
  <c r="AJ85" i="2"/>
  <c r="AJ79" i="2"/>
  <c r="AJ143" i="2"/>
  <c r="AK40" i="2"/>
  <c r="AK72" i="2"/>
  <c r="AK104" i="2"/>
  <c r="AK136" i="2"/>
  <c r="AD32" i="2"/>
  <c r="AD48" i="2"/>
  <c r="AD64" i="2"/>
  <c r="AD80" i="2"/>
  <c r="AD96" i="2"/>
  <c r="AD112" i="2"/>
  <c r="AD128" i="2"/>
  <c r="AD144" i="2"/>
  <c r="AD3" i="2"/>
  <c r="AK44" i="2"/>
  <c r="AK76" i="2"/>
  <c r="AR76" i="2" s="1"/>
  <c r="AK108" i="2"/>
  <c r="AK140" i="2"/>
  <c r="AD21" i="2"/>
  <c r="AO151" i="2"/>
  <c r="AJ55" i="2"/>
  <c r="AJ87" i="2"/>
  <c r="AJ119" i="2"/>
  <c r="AJ151" i="2"/>
  <c r="AE15" i="2"/>
  <c r="AJ10" i="2"/>
  <c r="AD22" i="2"/>
  <c r="AK46" i="2"/>
  <c r="AM38" i="2"/>
  <c r="AD41" i="2"/>
  <c r="AH50" i="2"/>
  <c r="AD65" i="2"/>
  <c r="AM57" i="2"/>
  <c r="AM89" i="2"/>
  <c r="AE101" i="2"/>
  <c r="AI110" i="2"/>
  <c r="AM121" i="2"/>
  <c r="AD34" i="2"/>
  <c r="AD70" i="2"/>
  <c r="AD102" i="2"/>
  <c r="AD126" i="2"/>
  <c r="AN58" i="2"/>
  <c r="AN82" i="2"/>
  <c r="AH253" i="2"/>
  <c r="AN225" i="2"/>
  <c r="AD142" i="2"/>
  <c r="AD158" i="2"/>
  <c r="AD174" i="2"/>
  <c r="AD209" i="2"/>
  <c r="AD233" i="2"/>
  <c r="AD249" i="2"/>
  <c r="AD265" i="2"/>
  <c r="AS226" i="2" l="1"/>
  <c r="AR248" i="2"/>
  <c r="AQ94" i="2"/>
  <c r="AS155" i="2"/>
  <c r="AQ223" i="2"/>
  <c r="AQ267" i="2"/>
  <c r="AS59" i="2"/>
  <c r="AP246" i="2"/>
  <c r="AQ143" i="2"/>
  <c r="AR167" i="2"/>
  <c r="AQ111" i="2"/>
  <c r="AR47" i="2"/>
  <c r="AP63" i="2"/>
  <c r="AP59" i="2"/>
  <c r="AS128" i="2"/>
  <c r="AS183" i="2"/>
  <c r="AR143" i="2"/>
  <c r="AP103" i="2"/>
  <c r="AS55" i="2"/>
  <c r="AP123" i="2"/>
  <c r="AR262" i="2"/>
  <c r="AP55" i="2"/>
  <c r="AR51" i="2"/>
  <c r="AP131" i="2"/>
  <c r="AS99" i="2"/>
  <c r="AQ159" i="2"/>
  <c r="AQ218" i="2"/>
  <c r="AP241" i="2"/>
  <c r="AP51" i="2"/>
  <c r="AR123" i="2"/>
  <c r="AQ56" i="2"/>
  <c r="AP4" i="2"/>
  <c r="AQ77" i="2"/>
  <c r="AS27" i="2"/>
  <c r="AQ167" i="2"/>
  <c r="AR55" i="2"/>
  <c r="AS87" i="2"/>
  <c r="AP270" i="2"/>
  <c r="AS84" i="2"/>
  <c r="AP52" i="2"/>
  <c r="AP121" i="2"/>
  <c r="AQ52" i="2"/>
  <c r="AR238" i="2"/>
  <c r="AS122" i="2"/>
  <c r="AS262" i="2"/>
  <c r="AS234" i="2"/>
  <c r="AS242" i="2"/>
  <c r="AP163" i="2"/>
  <c r="AS238" i="2"/>
  <c r="AQ103" i="2"/>
  <c r="AQ71" i="2"/>
  <c r="AQ261" i="2"/>
  <c r="AR256" i="2"/>
  <c r="AS261" i="2"/>
  <c r="AQ260" i="2"/>
  <c r="AQ238" i="2"/>
  <c r="AQ254" i="2"/>
  <c r="AR222" i="2"/>
  <c r="AP198" i="2"/>
  <c r="AS123" i="2"/>
  <c r="AR151" i="2"/>
  <c r="AP188" i="2"/>
  <c r="AQ246" i="2"/>
  <c r="AR122" i="2"/>
  <c r="AS250" i="2"/>
  <c r="AQ121" i="2"/>
  <c r="AQ55" i="2"/>
  <c r="AS76" i="2"/>
  <c r="AP276" i="2"/>
  <c r="AS77" i="2"/>
  <c r="AR57" i="2"/>
  <c r="AP76" i="2"/>
  <c r="AS107" i="2"/>
  <c r="AP210" i="2"/>
  <c r="AR4" i="2"/>
  <c r="AR54" i="2"/>
  <c r="AS51" i="2"/>
  <c r="AR135" i="2"/>
  <c r="AS139" i="2"/>
  <c r="AQ123" i="2"/>
  <c r="AQ58" i="2"/>
  <c r="AS258" i="2"/>
  <c r="AQ122" i="2"/>
  <c r="AQ190" i="2"/>
  <c r="AQ59" i="2"/>
  <c r="AQ53" i="2"/>
  <c r="AS57" i="2"/>
  <c r="AQ198" i="2"/>
  <c r="AS179" i="2"/>
  <c r="AR175" i="2"/>
  <c r="AS119" i="2"/>
  <c r="AQ135" i="2"/>
  <c r="AP190" i="2"/>
  <c r="AR121" i="2"/>
  <c r="AP122" i="2"/>
  <c r="AR58" i="2"/>
  <c r="AS171" i="2"/>
  <c r="AR88" i="2"/>
  <c r="AR246" i="2"/>
  <c r="AS4" i="2"/>
  <c r="AS273" i="2"/>
  <c r="AR52" i="2"/>
  <c r="AQ206" i="2"/>
  <c r="AQ51" i="2"/>
  <c r="AS95" i="2"/>
  <c r="AR234" i="2"/>
  <c r="AR56" i="2"/>
  <c r="AR77" i="2"/>
  <c r="AR53" i="2"/>
  <c r="AS56" i="2"/>
  <c r="AR270" i="2"/>
  <c r="AQ214" i="2"/>
  <c r="AR159" i="2"/>
  <c r="AQ54" i="2"/>
  <c r="AP273" i="2"/>
  <c r="AQ57" i="2"/>
  <c r="AR59" i="2"/>
  <c r="AP111" i="2"/>
  <c r="AR132" i="2"/>
  <c r="AP99" i="2"/>
  <c r="AP77" i="2"/>
  <c r="AS53" i="2"/>
  <c r="AQ127" i="2"/>
  <c r="AP58" i="2"/>
  <c r="AQ183" i="2"/>
  <c r="AS58" i="2"/>
  <c r="AR127" i="2"/>
  <c r="AR230" i="2"/>
  <c r="AP57" i="2"/>
  <c r="AP215" i="2"/>
  <c r="AS67" i="2"/>
  <c r="AR254" i="2"/>
  <c r="AP257" i="2"/>
  <c r="AP269" i="2"/>
  <c r="AP268" i="2"/>
  <c r="AQ277" i="2"/>
  <c r="AP259" i="2"/>
  <c r="AP256" i="2"/>
  <c r="AP265" i="2"/>
  <c r="AP56" i="2"/>
  <c r="AQ175" i="2"/>
  <c r="AR214" i="2"/>
  <c r="AR252" i="2"/>
  <c r="AR273" i="2"/>
  <c r="AP206" i="2"/>
  <c r="AQ264" i="2"/>
  <c r="AR260" i="2"/>
  <c r="AS54" i="2"/>
  <c r="AP107" i="2"/>
  <c r="AP255" i="2"/>
  <c r="AS266" i="2"/>
  <c r="AQ215" i="2"/>
  <c r="AP274" i="2"/>
  <c r="AQ270" i="2"/>
  <c r="AR265" i="2"/>
  <c r="AR268" i="2"/>
  <c r="AR257" i="2"/>
  <c r="AS259" i="2"/>
  <c r="AQ252" i="2"/>
  <c r="AS217" i="2"/>
  <c r="AS257" i="2"/>
  <c r="AS20" i="2"/>
  <c r="AS160" i="2"/>
  <c r="AQ265" i="2"/>
  <c r="AS260" i="2"/>
  <c r="AR242" i="2"/>
  <c r="AS275" i="2"/>
  <c r="AR263" i="2"/>
  <c r="AS271" i="2"/>
  <c r="AQ276" i="2"/>
  <c r="AP271" i="2"/>
  <c r="AP275" i="2"/>
  <c r="AQ155" i="2"/>
  <c r="AP264" i="2"/>
  <c r="AP272" i="2"/>
  <c r="AR269" i="2"/>
  <c r="AR271" i="2"/>
  <c r="AP260" i="2"/>
  <c r="AP263" i="2"/>
  <c r="AR183" i="2"/>
  <c r="AS167" i="2"/>
  <c r="AQ107" i="2"/>
  <c r="AQ192" i="2"/>
  <c r="AQ271" i="2"/>
  <c r="AS202" i="2"/>
  <c r="AS186" i="2"/>
  <c r="AQ149" i="2"/>
  <c r="AR226" i="2"/>
  <c r="AQ40" i="2"/>
  <c r="AS254" i="2"/>
  <c r="AQ23" i="2"/>
  <c r="AP102" i="2"/>
  <c r="AS146" i="2"/>
  <c r="AS227" i="2"/>
  <c r="AP160" i="2"/>
  <c r="AR192" i="2"/>
  <c r="AQ104" i="2"/>
  <c r="AQ169" i="2"/>
  <c r="AR266" i="2"/>
  <c r="AR277" i="2"/>
  <c r="AR253" i="2"/>
  <c r="AR276" i="2"/>
  <c r="AS264" i="2"/>
  <c r="AS267" i="2"/>
  <c r="AQ257" i="2"/>
  <c r="AS269" i="2"/>
  <c r="AS252" i="2"/>
  <c r="AQ43" i="2"/>
  <c r="AR128" i="2"/>
  <c r="AP83" i="2"/>
  <c r="AS108" i="2"/>
  <c r="AR86" i="2"/>
  <c r="AS86" i="2"/>
  <c r="AP189" i="2"/>
  <c r="AR264" i="2"/>
  <c r="AQ201" i="2"/>
  <c r="AQ87" i="2"/>
  <c r="AS71" i="2"/>
  <c r="AS159" i="2"/>
  <c r="AQ272" i="2"/>
  <c r="AS256" i="2"/>
  <c r="AQ273" i="2"/>
  <c r="AP158" i="2"/>
  <c r="AP75" i="2"/>
  <c r="AS118" i="2"/>
  <c r="AP157" i="2"/>
  <c r="AP153" i="2"/>
  <c r="AQ129" i="2"/>
  <c r="AQ268" i="2"/>
  <c r="AQ255" i="2"/>
  <c r="AR40" i="2"/>
  <c r="AQ258" i="2"/>
  <c r="AR267" i="2"/>
  <c r="AS272" i="2"/>
  <c r="AS277" i="2"/>
  <c r="AS268" i="2"/>
  <c r="AS255" i="2"/>
  <c r="AP261" i="2"/>
  <c r="AP49" i="2"/>
  <c r="AR210" i="2"/>
  <c r="AS60" i="2"/>
  <c r="AQ44" i="2"/>
  <c r="AR3" i="2"/>
  <c r="AR126" i="2"/>
  <c r="AQ247" i="2"/>
  <c r="AR39" i="2"/>
  <c r="AR29" i="2"/>
  <c r="AS209" i="2"/>
  <c r="AS253" i="2"/>
  <c r="AR241" i="2"/>
  <c r="AQ133" i="2"/>
  <c r="AR274" i="2"/>
  <c r="AS274" i="2"/>
  <c r="AP72" i="2"/>
  <c r="AR261" i="2"/>
  <c r="AQ73" i="2"/>
  <c r="AP187" i="2"/>
  <c r="AP201" i="2"/>
  <c r="AQ152" i="2"/>
  <c r="AS265" i="2"/>
  <c r="AS73" i="2"/>
  <c r="AP253" i="2"/>
  <c r="AQ72" i="2"/>
  <c r="AS17" i="2"/>
  <c r="AQ106" i="2"/>
  <c r="AS207" i="2"/>
  <c r="AS75" i="2"/>
  <c r="AS184" i="2"/>
  <c r="AQ228" i="2"/>
  <c r="AR138" i="2"/>
  <c r="AR98" i="2"/>
  <c r="AQ241" i="2"/>
  <c r="AR24" i="2"/>
  <c r="AS145" i="2"/>
  <c r="AP129" i="2"/>
  <c r="AQ187" i="2"/>
  <c r="AS37" i="2"/>
  <c r="AR9" i="2"/>
  <c r="AQ63" i="2"/>
  <c r="AS83" i="2"/>
  <c r="AQ274" i="2"/>
  <c r="AQ275" i="2"/>
  <c r="AS263" i="2"/>
  <c r="AP252" i="2"/>
  <c r="AP254" i="2"/>
  <c r="AR103" i="2"/>
  <c r="AS104" i="2"/>
  <c r="AQ248" i="2"/>
  <c r="AQ269" i="2"/>
  <c r="AP267" i="2"/>
  <c r="AR34" i="2"/>
  <c r="AR259" i="2"/>
  <c r="AP202" i="2"/>
  <c r="AR158" i="2"/>
  <c r="AQ39" i="2"/>
  <c r="AQ253" i="2"/>
  <c r="AP7" i="2"/>
  <c r="AR83" i="2"/>
  <c r="AQ120" i="2"/>
  <c r="AS66" i="2"/>
  <c r="AS90" i="2"/>
  <c r="AR6" i="2"/>
  <c r="AS70" i="2"/>
  <c r="AQ213" i="2"/>
  <c r="AP68" i="2"/>
  <c r="AS144" i="2"/>
  <c r="AP116" i="2"/>
  <c r="AR72" i="2"/>
  <c r="AS97" i="2"/>
  <c r="AP66" i="2"/>
  <c r="AP47" i="2"/>
  <c r="AP108" i="2"/>
  <c r="AP12" i="2"/>
  <c r="AP38" i="2"/>
  <c r="AP262" i="2"/>
  <c r="AR255" i="2"/>
  <c r="AP171" i="2"/>
  <c r="AQ8" i="2"/>
  <c r="AP67" i="2"/>
  <c r="AS22" i="2"/>
  <c r="AS218" i="2"/>
  <c r="AS197" i="2"/>
  <c r="AR118" i="2"/>
  <c r="AP212" i="2"/>
  <c r="AR215" i="2"/>
  <c r="AR43" i="2"/>
  <c r="AS162" i="2"/>
  <c r="AS198" i="2"/>
  <c r="AR32" i="2"/>
  <c r="AP87" i="2"/>
  <c r="AS172" i="2"/>
  <c r="AQ262" i="2"/>
  <c r="AQ86" i="2"/>
  <c r="AS35" i="2"/>
  <c r="AR233" i="2"/>
  <c r="AQ231" i="2"/>
  <c r="AP20" i="2"/>
  <c r="AR163" i="2"/>
  <c r="AQ188" i="2"/>
  <c r="AR7" i="2"/>
  <c r="AR190" i="2"/>
  <c r="AQ180" i="2"/>
  <c r="AP80" i="2"/>
  <c r="AP243" i="2"/>
  <c r="AR112" i="2"/>
  <c r="AR137" i="2"/>
  <c r="AQ18" i="2"/>
  <c r="AR30" i="2"/>
  <c r="AS89" i="2"/>
  <c r="AS65" i="2"/>
  <c r="AP110" i="2"/>
  <c r="AQ97" i="2"/>
  <c r="AR110" i="2"/>
  <c r="AR221" i="2"/>
  <c r="AQ31" i="2"/>
  <c r="AR218" i="2"/>
  <c r="AS188" i="2"/>
  <c r="AS178" i="2"/>
  <c r="AR212" i="2"/>
  <c r="AP113" i="2"/>
  <c r="AQ28" i="2"/>
  <c r="AQ194" i="2"/>
  <c r="AS103" i="2"/>
  <c r="AS12" i="2"/>
  <c r="AQ224" i="2"/>
  <c r="AQ158" i="2"/>
  <c r="AQ81" i="2"/>
  <c r="AS124" i="2"/>
  <c r="AS235" i="2"/>
  <c r="AP203" i="2"/>
  <c r="AS116" i="2"/>
  <c r="AS40" i="2"/>
  <c r="AS133" i="2"/>
  <c r="AR195" i="2"/>
  <c r="AQ95" i="2"/>
  <c r="AQ5" i="2"/>
  <c r="AS153" i="2"/>
  <c r="AR129" i="2"/>
  <c r="AS68" i="2"/>
  <c r="AS93" i="2"/>
  <c r="AR22" i="2"/>
  <c r="AQ153" i="2"/>
  <c r="AS120" i="2"/>
  <c r="AR201" i="2"/>
  <c r="AP184" i="2"/>
  <c r="AQ221" i="2"/>
  <c r="AP115" i="2"/>
  <c r="AR178" i="2"/>
  <c r="AS270" i="2"/>
  <c r="AR258" i="2"/>
  <c r="AQ259" i="2"/>
  <c r="AP266" i="2"/>
  <c r="AS276" i="2"/>
  <c r="AR92" i="2"/>
  <c r="AP23" i="2"/>
  <c r="AR15" i="2"/>
  <c r="AQ138" i="2"/>
  <c r="AQ96" i="2"/>
  <c r="AS102" i="2"/>
  <c r="AQ14" i="2"/>
  <c r="AP194" i="2"/>
  <c r="AQ263" i="2"/>
  <c r="AP207" i="2"/>
  <c r="AS142" i="2"/>
  <c r="AS92" i="2"/>
  <c r="AP70" i="2"/>
  <c r="AR44" i="2"/>
  <c r="AR85" i="2"/>
  <c r="AR75" i="2"/>
  <c r="AP152" i="2"/>
  <c r="AP197" i="2"/>
  <c r="AS233" i="2"/>
  <c r="AR131" i="2"/>
  <c r="AQ266" i="2"/>
  <c r="AP216" i="2"/>
  <c r="AP218" i="2"/>
  <c r="AP196" i="2"/>
  <c r="AR144" i="2"/>
  <c r="AQ20" i="2"/>
  <c r="AQ130" i="2"/>
  <c r="AR173" i="2"/>
  <c r="AS136" i="2"/>
  <c r="AS224" i="2"/>
  <c r="AQ144" i="2"/>
  <c r="AR11" i="2"/>
  <c r="AQ212" i="2"/>
  <c r="AQ191" i="2"/>
  <c r="AQ137" i="2"/>
  <c r="AS28" i="2"/>
  <c r="AQ64" i="2"/>
  <c r="AP37" i="2"/>
  <c r="AP185" i="2"/>
  <c r="AQ84" i="2"/>
  <c r="AR172" i="2"/>
  <c r="AS9" i="2"/>
  <c r="AR95" i="2"/>
  <c r="AP227" i="2"/>
  <c r="AP32" i="2"/>
  <c r="AP182" i="2"/>
  <c r="AR99" i="2"/>
  <c r="AP179" i="2"/>
  <c r="AS225" i="2"/>
  <c r="AQ41" i="2"/>
  <c r="AR71" i="2"/>
  <c r="AS154" i="2"/>
  <c r="AQ110" i="2"/>
  <c r="AR142" i="2"/>
  <c r="AP124" i="2"/>
  <c r="AP148" i="2"/>
  <c r="AP250" i="2"/>
  <c r="AP191" i="2"/>
  <c r="AQ256" i="2"/>
  <c r="AP226" i="2"/>
  <c r="AR275" i="2"/>
  <c r="AR198" i="2"/>
  <c r="AQ226" i="2"/>
  <c r="AR156" i="2"/>
  <c r="AS206" i="2"/>
  <c r="AS8" i="2"/>
  <c r="AS32" i="2"/>
  <c r="AQ172" i="2"/>
  <c r="AQ233" i="2"/>
  <c r="AS201" i="2"/>
  <c r="AQ74" i="2"/>
  <c r="AS246" i="2"/>
  <c r="AR141" i="2"/>
  <c r="AR97" i="2"/>
  <c r="AQ112" i="2"/>
  <c r="AQ222" i="2"/>
  <c r="AQ146" i="2"/>
  <c r="AS11" i="2"/>
  <c r="AQ185" i="2"/>
  <c r="AP16" i="2"/>
  <c r="AP232" i="2"/>
  <c r="AP117" i="2"/>
  <c r="AP40" i="2"/>
  <c r="AP134" i="2"/>
  <c r="AP118" i="2"/>
  <c r="AP85" i="2"/>
  <c r="AS50" i="2"/>
  <c r="AP221" i="2"/>
  <c r="AR14" i="2"/>
  <c r="AP33" i="2"/>
  <c r="AR20" i="2"/>
  <c r="AP234" i="2"/>
  <c r="AR27" i="2"/>
  <c r="AS72" i="2"/>
  <c r="AR236" i="2"/>
  <c r="AS111" i="2"/>
  <c r="AR26" i="2"/>
  <c r="AR235" i="2"/>
  <c r="AS211" i="2"/>
  <c r="AQ136" i="2"/>
  <c r="AS110" i="2"/>
  <c r="AQ182" i="2"/>
  <c r="AR191" i="2"/>
  <c r="AS131" i="2"/>
  <c r="AQ6" i="2"/>
  <c r="AS85" i="2"/>
  <c r="AS223" i="2"/>
  <c r="AS240" i="2"/>
  <c r="AS96" i="2"/>
  <c r="AR176" i="2"/>
  <c r="AQ89" i="2"/>
  <c r="AP230" i="2"/>
  <c r="AS175" i="2"/>
  <c r="AQ83" i="2"/>
  <c r="AQ235" i="2"/>
  <c r="AS169" i="2"/>
  <c r="AR125" i="2"/>
  <c r="AQ230" i="2"/>
  <c r="AQ126" i="2"/>
  <c r="AQ236" i="2"/>
  <c r="AS129" i="2"/>
  <c r="AR33" i="2"/>
  <c r="AS31" i="2"/>
  <c r="AP18" i="2"/>
  <c r="AP166" i="2"/>
  <c r="AR65" i="2"/>
  <c r="AP104" i="2"/>
  <c r="AP82" i="2"/>
  <c r="AP181" i="2"/>
  <c r="AP101" i="2"/>
  <c r="AP22" i="2"/>
  <c r="AP21" i="2"/>
  <c r="AS222" i="2"/>
  <c r="AQ88" i="2"/>
  <c r="AQ134" i="2"/>
  <c r="AP141" i="2"/>
  <c r="AR108" i="2"/>
  <c r="AR63" i="2"/>
  <c r="AS170" i="2"/>
  <c r="AQ225" i="2"/>
  <c r="AS203" i="2"/>
  <c r="AP239" i="2"/>
  <c r="AR194" i="2"/>
  <c r="AQ27" i="2"/>
  <c r="AS193" i="2"/>
  <c r="AR181" i="2"/>
  <c r="AS177" i="2"/>
  <c r="AQ85" i="2"/>
  <c r="AQ13" i="2"/>
  <c r="AR8" i="2"/>
  <c r="AS88" i="2"/>
  <c r="AQ207" i="2"/>
  <c r="AR154" i="2"/>
  <c r="AQ29" i="2"/>
  <c r="AS48" i="2"/>
  <c r="AS26" i="2"/>
  <c r="AS49" i="2"/>
  <c r="AS158" i="2"/>
  <c r="AS161" i="2"/>
  <c r="AQ184" i="2"/>
  <c r="AR240" i="2"/>
  <c r="AS166" i="2"/>
  <c r="AR124" i="2"/>
  <c r="AP13" i="2"/>
  <c r="AP164" i="2"/>
  <c r="AP147" i="2"/>
  <c r="AR231" i="2"/>
  <c r="AR162" i="2"/>
  <c r="AR196" i="2"/>
  <c r="AR170" i="2"/>
  <c r="AP192" i="2"/>
  <c r="AQ47" i="2"/>
  <c r="AR227" i="2"/>
  <c r="AS36" i="2"/>
  <c r="AS150" i="2"/>
  <c r="AR48" i="2"/>
  <c r="AR180" i="2"/>
  <c r="AR208" i="2"/>
  <c r="AQ216" i="2"/>
  <c r="AR62" i="2"/>
  <c r="AQ161" i="2"/>
  <c r="AQ140" i="2"/>
  <c r="AR50" i="2"/>
  <c r="AS248" i="2"/>
  <c r="AS24" i="2"/>
  <c r="AQ45" i="2"/>
  <c r="AS204" i="2"/>
  <c r="AQ176" i="2"/>
  <c r="AS149" i="2"/>
  <c r="AQ232" i="2"/>
  <c r="AS200" i="2"/>
  <c r="AP173" i="2"/>
  <c r="AQ115" i="2"/>
  <c r="AP223" i="2"/>
  <c r="AR114" i="2"/>
  <c r="AR133" i="2"/>
  <c r="AR239" i="2"/>
  <c r="AQ162" i="2"/>
  <c r="AQ239" i="2"/>
  <c r="AS232" i="2"/>
  <c r="AR64" i="2"/>
  <c r="AQ42" i="2"/>
  <c r="AR197" i="2"/>
  <c r="AS137" i="2"/>
  <c r="AR36" i="2"/>
  <c r="AS94" i="2"/>
  <c r="AR78" i="2"/>
  <c r="AS182" i="2"/>
  <c r="AQ196" i="2"/>
  <c r="AQ7" i="2"/>
  <c r="AQ61" i="2"/>
  <c r="AS91" i="2"/>
  <c r="AQ79" i="2"/>
  <c r="AS115" i="2"/>
  <c r="AQ33" i="2"/>
  <c r="AQ17" i="2"/>
  <c r="AR12" i="2"/>
  <c r="AS132" i="2"/>
  <c r="AP8" i="2"/>
  <c r="AQ242" i="2"/>
  <c r="AR187" i="2"/>
  <c r="AQ209" i="2"/>
  <c r="AQ173" i="2"/>
  <c r="AQ35" i="2"/>
  <c r="AQ12" i="2"/>
  <c r="AR168" i="2"/>
  <c r="AS156" i="2"/>
  <c r="AR66" i="2"/>
  <c r="AQ244" i="2"/>
  <c r="AQ101" i="2"/>
  <c r="AR37" i="2"/>
  <c r="AQ68" i="2"/>
  <c r="AR202" i="2"/>
  <c r="AP119" i="2"/>
  <c r="AR90" i="2"/>
  <c r="AS208" i="2"/>
  <c r="AS185" i="2"/>
  <c r="AR146" i="2"/>
  <c r="AR203" i="2"/>
  <c r="AQ168" i="2"/>
  <c r="AR224" i="2"/>
  <c r="AQ30" i="2"/>
  <c r="AP204" i="2"/>
  <c r="AP240" i="2"/>
  <c r="AR223" i="2"/>
  <c r="AQ124" i="2"/>
  <c r="AS114" i="2"/>
  <c r="AR216" i="2"/>
  <c r="AR113" i="2"/>
  <c r="AS45" i="2"/>
  <c r="AQ125" i="2"/>
  <c r="AS141" i="2"/>
  <c r="AS81" i="2"/>
  <c r="AQ203" i="2"/>
  <c r="AQ49" i="2"/>
  <c r="AQ139" i="2"/>
  <c r="AQ15" i="2"/>
  <c r="AQ240" i="2"/>
  <c r="AQ66" i="2"/>
  <c r="AS135" i="2"/>
  <c r="AS173" i="2"/>
  <c r="AQ179" i="2"/>
  <c r="AQ200" i="2"/>
  <c r="AS109" i="2"/>
  <c r="AR211" i="2"/>
  <c r="AR219" i="2"/>
  <c r="AQ25" i="2"/>
  <c r="AS219" i="2"/>
  <c r="AQ26" i="2"/>
  <c r="AP208" i="2"/>
  <c r="AS101" i="2"/>
  <c r="AR13" i="2"/>
  <c r="AP193" i="2"/>
  <c r="AR19" i="2"/>
  <c r="AP145" i="2"/>
  <c r="AP142" i="2"/>
  <c r="AR147" i="2"/>
  <c r="AS231" i="2"/>
  <c r="AP10" i="2"/>
  <c r="AP69" i="2"/>
  <c r="AS230" i="2"/>
  <c r="AP186" i="2"/>
  <c r="AR139" i="2"/>
  <c r="AQ62" i="2"/>
  <c r="AP14" i="2"/>
  <c r="AP91" i="2"/>
  <c r="AP73" i="2"/>
  <c r="AR107" i="2"/>
  <c r="AR28" i="2"/>
  <c r="AR205" i="2"/>
  <c r="AQ65" i="2"/>
  <c r="AP172" i="2"/>
  <c r="AP236" i="2"/>
  <c r="AP169" i="2"/>
  <c r="AS194" i="2"/>
  <c r="AP167" i="2"/>
  <c r="AR179" i="2"/>
  <c r="AQ11" i="2"/>
  <c r="AP168" i="2"/>
  <c r="AS143" i="2"/>
  <c r="AR243" i="2"/>
  <c r="AP126" i="2"/>
  <c r="AS241" i="2"/>
  <c r="AP86" i="2"/>
  <c r="AP6" i="2"/>
  <c r="AP213" i="2"/>
  <c r="AP242" i="2"/>
  <c r="AP248" i="2"/>
  <c r="AR184" i="2"/>
  <c r="AP48" i="2"/>
  <c r="AS23" i="2"/>
  <c r="AP154" i="2"/>
  <c r="AQ142" i="2"/>
  <c r="AP44" i="2"/>
  <c r="AR82" i="2"/>
  <c r="AQ113" i="2"/>
  <c r="AQ38" i="2"/>
  <c r="AP156" i="2"/>
  <c r="AQ4" i="2"/>
  <c r="AP214" i="2"/>
  <c r="AP3" i="2"/>
  <c r="AQ93" i="2"/>
  <c r="AS74" i="2"/>
  <c r="AP220" i="2"/>
  <c r="AP89" i="2"/>
  <c r="AP144" i="2"/>
  <c r="AR136" i="2"/>
  <c r="AR115" i="2"/>
  <c r="AQ118" i="2"/>
  <c r="AR174" i="2"/>
  <c r="AS138" i="2"/>
  <c r="AP140" i="2"/>
  <c r="AP17" i="2"/>
  <c r="AP149" i="2"/>
  <c r="AS187" i="2"/>
  <c r="AR35" i="2"/>
  <c r="AQ160" i="2"/>
  <c r="AS249" i="2"/>
  <c r="AP165" i="2"/>
  <c r="AR87" i="2"/>
  <c r="AS18" i="2"/>
  <c r="AS14" i="2"/>
  <c r="AP136" i="2"/>
  <c r="AP26" i="2"/>
  <c r="AQ220" i="2"/>
  <c r="AR46" i="2"/>
  <c r="AS151" i="2"/>
  <c r="AR104" i="2"/>
  <c r="AQ186" i="2"/>
  <c r="AP98" i="2"/>
  <c r="AS117" i="2"/>
  <c r="AP150" i="2"/>
  <c r="AQ34" i="2"/>
  <c r="AP25" i="2"/>
  <c r="AP81" i="2"/>
  <c r="AQ9" i="2"/>
  <c r="AQ164" i="2"/>
  <c r="AP231" i="2"/>
  <c r="AP183" i="2"/>
  <c r="AP79" i="2"/>
  <c r="AP238" i="2"/>
  <c r="AQ210" i="2"/>
  <c r="AP151" i="2"/>
  <c r="AS16" i="2"/>
  <c r="AR245" i="2"/>
  <c r="AR155" i="2"/>
  <c r="AS127" i="2"/>
  <c r="AS79" i="2"/>
  <c r="AQ114" i="2"/>
  <c r="AR165" i="2"/>
  <c r="AS247" i="2"/>
  <c r="AR101" i="2"/>
  <c r="AQ37" i="2"/>
  <c r="AQ116" i="2"/>
  <c r="AS181" i="2"/>
  <c r="AQ250" i="2"/>
  <c r="AR171" i="2"/>
  <c r="AQ147" i="2"/>
  <c r="AQ91" i="2"/>
  <c r="AR228" i="2"/>
  <c r="AQ171" i="2"/>
  <c r="AQ75" i="2"/>
  <c r="AS43" i="2"/>
  <c r="AS199" i="2"/>
  <c r="AR120" i="2"/>
  <c r="AS245" i="2"/>
  <c r="AQ174" i="2"/>
  <c r="AS126" i="2"/>
  <c r="AQ24" i="2"/>
  <c r="AR204" i="2"/>
  <c r="AQ157" i="2"/>
  <c r="AR45" i="2"/>
  <c r="AQ22" i="2"/>
  <c r="AS190" i="2"/>
  <c r="AQ163" i="2"/>
  <c r="AQ131" i="2"/>
  <c r="AS168" i="2"/>
  <c r="AR251" i="2"/>
  <c r="AS229" i="2"/>
  <c r="AQ193" i="2"/>
  <c r="AR106" i="2"/>
  <c r="AR220" i="2"/>
  <c r="AS192" i="2"/>
  <c r="AQ165" i="2"/>
  <c r="AR38" i="2"/>
  <c r="AP219" i="2"/>
  <c r="AQ141" i="2"/>
  <c r="AP105" i="2"/>
  <c r="AQ69" i="2"/>
  <c r="AQ108" i="2"/>
  <c r="AS61" i="2"/>
  <c r="AR217" i="2"/>
  <c r="AQ178" i="2"/>
  <c r="AQ46" i="2"/>
  <c r="AS220" i="2"/>
  <c r="AS152" i="2"/>
  <c r="AS196" i="2"/>
  <c r="AS33" i="2"/>
  <c r="AR247" i="2"/>
  <c r="AS195" i="2"/>
  <c r="AR232" i="2"/>
  <c r="AP247" i="2"/>
  <c r="AQ145" i="2"/>
  <c r="AR81" i="2"/>
  <c r="AS64" i="2"/>
  <c r="AS213" i="2"/>
  <c r="AR150" i="2"/>
  <c r="AQ90" i="2"/>
  <c r="AS7" i="2"/>
  <c r="AR177" i="2"/>
  <c r="AQ156" i="2"/>
  <c r="AQ78" i="2"/>
  <c r="AS6" i="2"/>
  <c r="AQ92" i="2"/>
  <c r="AS106" i="2"/>
  <c r="AS228" i="2"/>
  <c r="AS25" i="2"/>
  <c r="AR105" i="2"/>
  <c r="AQ36" i="2"/>
  <c r="AQ202" i="2"/>
  <c r="AQ70" i="2"/>
  <c r="AR149" i="2"/>
  <c r="AQ177" i="2"/>
  <c r="AS98" i="2"/>
  <c r="AR244" i="2"/>
  <c r="AS210" i="2"/>
  <c r="AS34" i="2"/>
  <c r="AS69" i="2"/>
  <c r="AR41" i="2"/>
  <c r="AQ245" i="2"/>
  <c r="AR70" i="2"/>
  <c r="AS221" i="2"/>
  <c r="AR166" i="2"/>
  <c r="AQ10" i="2"/>
  <c r="AQ205" i="2"/>
  <c r="AS80" i="2"/>
  <c r="AR21" i="2"/>
  <c r="AQ60" i="2"/>
  <c r="AQ119" i="2"/>
  <c r="AR153" i="2"/>
  <c r="AR213" i="2"/>
  <c r="AR5" i="2"/>
  <c r="AQ181" i="2"/>
  <c r="AQ243" i="2"/>
  <c r="AR193" i="2"/>
  <c r="AS15" i="2"/>
  <c r="AR207" i="2"/>
  <c r="AR69" i="2"/>
  <c r="AR169" i="2"/>
  <c r="AS44" i="2"/>
  <c r="AP84" i="2"/>
  <c r="AR93" i="2"/>
  <c r="AQ217" i="2"/>
  <c r="AQ109" i="2"/>
  <c r="AP88" i="2"/>
  <c r="AQ237" i="2"/>
  <c r="AQ82" i="2"/>
  <c r="AS205" i="2"/>
  <c r="AP74" i="2"/>
  <c r="AR67" i="2"/>
  <c r="AS140" i="2"/>
  <c r="AQ251" i="2"/>
  <c r="AQ67" i="2"/>
  <c r="AS176" i="2"/>
  <c r="AP224" i="2"/>
  <c r="AS63" i="2"/>
  <c r="AR249" i="2"/>
  <c r="AR74" i="2"/>
  <c r="AQ100" i="2"/>
  <c r="AP161" i="2"/>
  <c r="AP137" i="2"/>
  <c r="AQ211" i="2"/>
  <c r="AQ148" i="2"/>
  <c r="AQ48" i="2"/>
  <c r="AR134" i="2"/>
  <c r="AS191" i="2"/>
  <c r="AS212" i="2"/>
  <c r="AR100" i="2"/>
  <c r="AR61" i="2"/>
  <c r="AS112" i="2"/>
  <c r="AP249" i="2"/>
  <c r="AP128" i="2"/>
  <c r="AR42" i="2"/>
  <c r="AQ197" i="2"/>
  <c r="AS105" i="2"/>
  <c r="AP176" i="2"/>
  <c r="AR109" i="2"/>
  <c r="AS19" i="2"/>
  <c r="AR161" i="2"/>
  <c r="AQ3" i="2"/>
  <c r="AR94" i="2"/>
  <c r="AS100" i="2"/>
  <c r="AS244" i="2"/>
  <c r="AP112" i="2"/>
  <c r="AR225" i="2"/>
  <c r="AP97" i="2"/>
  <c r="AS3" i="2"/>
  <c r="AP132" i="2"/>
  <c r="AP24" i="2"/>
  <c r="AQ199" i="2"/>
  <c r="AQ227" i="2"/>
  <c r="AP71" i="2"/>
  <c r="AQ154" i="2"/>
  <c r="AQ219" i="2"/>
  <c r="AR185" i="2"/>
  <c r="AS42" i="2"/>
  <c r="AS216" i="2"/>
  <c r="AS157" i="2"/>
  <c r="AS239" i="2"/>
  <c r="AQ208" i="2"/>
  <c r="AP96" i="2"/>
  <c r="AP31" i="2"/>
  <c r="AS10" i="2"/>
  <c r="AQ204" i="2"/>
  <c r="AP155" i="2"/>
  <c r="AP235" i="2"/>
  <c r="AS251" i="2"/>
  <c r="AR157" i="2"/>
  <c r="AS165" i="2"/>
  <c r="AS78" i="2"/>
  <c r="AR145" i="2"/>
  <c r="AP29" i="2"/>
  <c r="AP19" i="2"/>
  <c r="AQ98" i="2"/>
  <c r="AQ32" i="2"/>
  <c r="AP43" i="2"/>
  <c r="AR73" i="2"/>
  <c r="AP135" i="2"/>
  <c r="AR229" i="2"/>
  <c r="AQ234" i="2"/>
  <c r="AQ99" i="2"/>
  <c r="AP175" i="2"/>
  <c r="AR16" i="2"/>
  <c r="AQ132" i="2"/>
  <c r="AP228" i="2"/>
  <c r="AS236" i="2"/>
  <c r="AR200" i="2"/>
  <c r="AP64" i="2"/>
  <c r="AS134" i="2"/>
  <c r="AP251" i="2"/>
  <c r="AS215" i="2"/>
  <c r="AR68" i="2"/>
  <c r="AR80" i="2"/>
  <c r="AR130" i="2"/>
  <c r="AS125" i="2"/>
  <c r="AS164" i="2"/>
  <c r="AP35" i="2"/>
  <c r="AP36" i="2"/>
  <c r="AP61" i="2"/>
  <c r="AR89" i="2"/>
  <c r="AR116" i="2"/>
  <c r="AP62" i="2"/>
  <c r="AS29" i="2"/>
  <c r="AQ195" i="2"/>
  <c r="AR164" i="2"/>
  <c r="AQ229" i="2"/>
  <c r="AR182" i="2"/>
  <c r="AP93" i="2"/>
  <c r="AS21" i="2"/>
  <c r="AS130" i="2"/>
  <c r="AP244" i="2"/>
  <c r="AR49" i="2"/>
  <c r="AQ80" i="2"/>
  <c r="AR23" i="2"/>
  <c r="AS5" i="2"/>
  <c r="AP180" i="2"/>
  <c r="AR96" i="2"/>
  <c r="AP46" i="2"/>
  <c r="AR111" i="2"/>
  <c r="AQ150" i="2"/>
  <c r="AQ166" i="2"/>
  <c r="AQ21" i="2"/>
  <c r="AP222" i="2"/>
  <c r="AP195" i="2"/>
  <c r="AR10" i="2"/>
  <c r="AR140" i="2"/>
  <c r="AQ19" i="2"/>
  <c r="AP92" i="2"/>
  <c r="AP5" i="2"/>
  <c r="AR25" i="2"/>
  <c r="AS13" i="2"/>
  <c r="AR31" i="2"/>
  <c r="AS237" i="2"/>
  <c r="AS46" i="2"/>
  <c r="AP125" i="2"/>
  <c r="AR152" i="2"/>
  <c r="AS47" i="2"/>
  <c r="AP78" i="2"/>
  <c r="AQ170" i="2"/>
  <c r="AR18" i="2"/>
  <c r="AP170" i="2"/>
  <c r="AP42" i="2"/>
  <c r="AS113" i="2"/>
  <c r="AP60" i="2"/>
  <c r="AP225" i="2"/>
  <c r="AS30" i="2"/>
  <c r="AR148" i="2"/>
  <c r="AR117" i="2"/>
  <c r="AP27" i="2"/>
  <c r="AP237" i="2"/>
  <c r="AP94" i="2"/>
  <c r="AP95" i="2"/>
  <c r="AP114" i="2"/>
  <c r="AP30" i="2"/>
  <c r="AQ50" i="2"/>
  <c r="AP100" i="2"/>
  <c r="AQ102" i="2"/>
  <c r="AP45" i="2"/>
  <c r="AS180" i="2"/>
  <c r="AS41" i="2"/>
  <c r="AR199" i="2"/>
  <c r="AR119" i="2"/>
  <c r="AP11" i="2"/>
  <c r="AR102" i="2"/>
  <c r="AR60" i="2"/>
  <c r="AS62" i="2"/>
  <c r="AP211" i="2"/>
  <c r="AR250" i="2"/>
  <c r="AP143" i="2"/>
  <c r="AP41" i="2"/>
  <c r="AQ249" i="2"/>
  <c r="AS148" i="2"/>
  <c r="AP28" i="2"/>
  <c r="AP120" i="2"/>
  <c r="AR91" i="2"/>
  <c r="AP133" i="2"/>
  <c r="AP199" i="2"/>
  <c r="AP39" i="2"/>
  <c r="AP177" i="2"/>
  <c r="AR17" i="2"/>
  <c r="AR237" i="2"/>
  <c r="AQ128" i="2"/>
  <c r="AR84" i="2"/>
  <c r="AP159" i="2"/>
  <c r="AR79" i="2"/>
  <c r="AP9" i="2"/>
  <c r="AR209" i="2"/>
  <c r="AR160" i="2"/>
  <c r="AR206" i="2"/>
  <c r="AP139" i="2"/>
  <c r="AY117" i="2"/>
  <c r="CG198" i="2"/>
  <c r="CG241" i="2"/>
  <c r="CG181" i="2"/>
  <c r="CG197" i="2"/>
  <c r="CG123" i="2"/>
  <c r="CG227" i="2"/>
  <c r="CG79" i="2"/>
  <c r="CG275" i="2"/>
  <c r="CG126" i="2"/>
  <c r="CG210" i="2"/>
  <c r="CG39" i="2"/>
  <c r="CG230" i="2"/>
  <c r="CG8" i="2"/>
  <c r="CG70" i="2"/>
  <c r="CG186" i="2"/>
  <c r="CG66" i="2"/>
  <c r="CG5" i="2"/>
  <c r="CG201" i="2"/>
  <c r="CG101" i="2"/>
  <c r="CG88" i="2"/>
  <c r="CG149" i="2"/>
  <c r="CG108" i="2"/>
  <c r="CG232" i="2"/>
  <c r="CG104" i="2"/>
  <c r="CG50" i="2"/>
  <c r="CG91" i="2"/>
  <c r="CG203" i="2"/>
  <c r="CG107" i="2"/>
  <c r="CG191" i="2"/>
  <c r="CG155" i="2"/>
  <c r="CG214" i="2"/>
  <c r="CG140" i="2"/>
  <c r="CG226" i="2"/>
  <c r="CG20" i="2"/>
  <c r="CG193" i="2"/>
  <c r="CG13" i="2"/>
  <c r="CG259" i="2"/>
  <c r="CG24" i="2"/>
  <c r="CG49" i="2"/>
  <c r="CG271" i="2"/>
  <c r="CG60" i="2"/>
  <c r="CG253" i="2"/>
  <c r="CG204" i="2"/>
  <c r="CG89" i="2"/>
  <c r="CG6" i="2"/>
  <c r="CG134" i="2"/>
  <c r="CG48" i="2"/>
  <c r="CG189" i="2"/>
  <c r="CG137" i="2"/>
  <c r="CG94" i="2"/>
  <c r="CG150" i="2"/>
  <c r="CG98" i="2"/>
  <c r="CG228" i="2"/>
  <c r="CG103" i="2"/>
  <c r="CG45" i="2"/>
  <c r="CG245" i="2"/>
  <c r="CG153" i="2"/>
  <c r="CG262" i="2"/>
  <c r="CG36" i="2"/>
  <c r="CG234" i="2"/>
  <c r="CG273" i="2"/>
  <c r="CG270" i="2"/>
  <c r="CG7" i="2"/>
  <c r="CG237" i="2"/>
  <c r="CG195" i="2"/>
  <c r="CG152" i="2"/>
  <c r="CG255" i="2"/>
  <c r="CG202" i="2"/>
  <c r="CG125" i="2"/>
  <c r="CG167" i="2"/>
  <c r="CG212" i="2"/>
  <c r="CG238" i="2"/>
  <c r="CG141" i="2"/>
  <c r="CG96" i="2"/>
  <c r="CG179" i="2"/>
  <c r="CG110" i="2"/>
  <c r="CG148" i="2"/>
  <c r="CG156" i="2"/>
  <c r="CG102" i="2"/>
  <c r="CG242" i="2"/>
  <c r="CG109" i="2"/>
  <c r="CG47" i="2"/>
  <c r="CG247" i="2"/>
  <c r="CG258" i="2"/>
  <c r="CG133" i="2"/>
  <c r="CG113" i="2"/>
  <c r="CG192" i="2"/>
  <c r="CG154" i="2"/>
  <c r="CG205" i="2"/>
  <c r="CG268" i="2"/>
  <c r="CG139" i="2"/>
  <c r="CG55" i="2"/>
  <c r="CG180" i="2"/>
  <c r="CG76" i="2"/>
  <c r="CG256" i="2"/>
  <c r="CG129" i="2"/>
  <c r="CG82" i="2"/>
  <c r="CG216" i="2"/>
  <c r="CG25" i="2"/>
  <c r="CG184" i="2"/>
  <c r="CG142" i="2"/>
  <c r="CG168" i="2"/>
  <c r="CG277" i="2"/>
  <c r="CG17" i="2"/>
  <c r="CG32" i="2"/>
  <c r="CG171" i="2"/>
  <c r="CG75" i="2"/>
  <c r="CG29" i="2"/>
  <c r="CG222" i="2"/>
  <c r="CG11" i="2"/>
  <c r="CG229" i="2"/>
  <c r="CG235" i="2"/>
  <c r="CG260" i="2"/>
  <c r="CG131" i="2"/>
  <c r="CG53" i="2"/>
  <c r="CG243" i="2"/>
  <c r="CG132" i="2"/>
  <c r="CG46" i="2"/>
  <c r="CG183" i="2"/>
  <c r="CG218" i="2"/>
  <c r="CG61" i="2"/>
  <c r="CG86" i="2"/>
  <c r="CG175" i="2"/>
  <c r="CG3" i="2"/>
  <c r="CG59" i="2"/>
  <c r="CG112" i="2"/>
  <c r="CG16" i="2"/>
  <c r="CG251" i="2"/>
  <c r="CG34" i="2"/>
  <c r="CG100" i="2"/>
  <c r="CG42" i="2"/>
  <c r="CG196" i="2"/>
  <c r="CG83" i="2"/>
  <c r="CG35" i="2"/>
  <c r="CG276" i="2"/>
  <c r="CG147" i="2"/>
  <c r="CG71" i="2"/>
  <c r="CG130" i="2"/>
  <c r="CG145" i="2"/>
  <c r="CG217" i="2"/>
  <c r="CG95" i="2"/>
  <c r="CG111" i="2"/>
  <c r="CG274" i="2"/>
  <c r="CG52" i="2"/>
  <c r="CG128" i="2"/>
  <c r="CG64" i="2"/>
  <c r="CG77" i="2"/>
  <c r="CG40" i="2"/>
  <c r="CG56" i="2"/>
  <c r="CG261" i="2"/>
  <c r="CG158" i="2"/>
  <c r="CG97" i="2"/>
  <c r="CG93" i="2"/>
  <c r="CG188" i="2"/>
  <c r="CG269" i="2"/>
  <c r="CG143" i="2"/>
  <c r="CG161" i="2"/>
  <c r="CG209" i="2"/>
  <c r="CG106" i="2"/>
  <c r="CG41" i="2"/>
  <c r="CG44" i="2"/>
  <c r="CG248" i="2"/>
  <c r="CG63" i="2"/>
  <c r="CG252" i="2"/>
  <c r="CG117" i="2"/>
  <c r="CG144" i="2"/>
  <c r="CG99" i="2"/>
  <c r="CG206" i="2"/>
  <c r="CG215" i="2"/>
  <c r="CG136" i="2"/>
  <c r="CG92" i="2"/>
  <c r="CG172" i="2"/>
  <c r="CG236" i="2"/>
  <c r="CG105" i="2"/>
  <c r="CG14" i="2"/>
  <c r="CG160" i="2"/>
  <c r="CG62" i="2"/>
  <c r="CG224" i="2"/>
  <c r="CG120" i="2"/>
  <c r="CG207" i="2"/>
  <c r="CG124" i="2"/>
  <c r="CG266" i="2"/>
  <c r="CG135" i="2"/>
  <c r="CG65" i="2"/>
  <c r="CG22" i="2"/>
  <c r="CG185" i="2"/>
  <c r="CG159" i="2"/>
  <c r="CG10" i="2"/>
  <c r="CG54" i="2"/>
  <c r="CG115" i="2"/>
  <c r="CG33" i="2"/>
  <c r="CG257" i="2"/>
  <c r="CG122" i="2"/>
  <c r="CG166" i="2"/>
  <c r="CG265" i="2"/>
  <c r="CG9" i="2"/>
  <c r="CG26" i="2"/>
  <c r="CG163" i="2"/>
  <c r="CG73" i="2"/>
  <c r="CG27" i="2"/>
  <c r="CG240" i="2"/>
  <c r="CG119" i="2"/>
  <c r="CG18" i="2"/>
  <c r="CG68" i="2"/>
  <c r="CG219" i="2"/>
  <c r="CG211" i="2"/>
  <c r="CG151" i="2"/>
  <c r="CG174" i="2"/>
  <c r="CG57" i="2"/>
  <c r="CG84" i="2"/>
  <c r="CG173" i="2"/>
  <c r="CG157" i="2"/>
  <c r="CG239" i="2"/>
  <c r="CG114" i="2"/>
  <c r="CG37" i="2"/>
  <c r="CG199" i="2"/>
  <c r="CG58" i="2"/>
  <c r="CG146" i="2"/>
  <c r="CG165" i="2"/>
  <c r="CG220" i="2"/>
  <c r="CG194" i="2"/>
  <c r="CG264" i="2"/>
  <c r="CG272" i="2"/>
  <c r="CG162" i="2"/>
  <c r="CG263" i="2"/>
  <c r="CG15" i="2"/>
  <c r="CG69" i="2"/>
  <c r="CG87" i="2"/>
  <c r="CG19" i="2"/>
  <c r="CG4" i="2"/>
  <c r="CG233" i="2"/>
  <c r="CG138" i="2"/>
  <c r="CG90" i="2"/>
  <c r="CG43" i="2"/>
  <c r="CG170" i="2"/>
  <c r="CG250" i="2"/>
  <c r="CG267" i="2"/>
  <c r="CG72" i="2"/>
  <c r="CG23" i="2"/>
  <c r="CG38" i="2"/>
  <c r="CG177" i="2"/>
  <c r="CG67" i="2"/>
  <c r="CG31" i="2"/>
  <c r="CG182" i="2"/>
  <c r="CG190" i="2"/>
  <c r="CG213" i="2"/>
  <c r="CG30" i="2"/>
  <c r="CG81" i="2"/>
  <c r="CG169" i="2"/>
  <c r="CG78" i="2"/>
  <c r="CG249" i="2"/>
  <c r="CG200" i="2"/>
  <c r="CG85" i="2"/>
  <c r="CG12" i="2"/>
  <c r="CG178" i="2"/>
  <c r="CG74" i="2"/>
  <c r="CG246" i="2"/>
  <c r="CG121" i="2"/>
  <c r="CG28" i="2"/>
  <c r="CG187" i="2"/>
  <c r="CG244" i="2"/>
  <c r="CG21" i="2"/>
  <c r="CG118" i="2"/>
  <c r="CG223" i="2"/>
  <c r="CG116" i="2"/>
  <c r="CG254" i="2"/>
  <c r="CG127" i="2"/>
  <c r="CG51" i="2"/>
  <c r="CG231" i="2"/>
  <c r="CG208" i="2"/>
  <c r="CG221" i="2"/>
  <c r="CG176" i="2"/>
  <c r="CG80" i="2"/>
  <c r="CG164" i="2"/>
  <c r="CG225" i="2"/>
  <c r="AP258" i="2"/>
  <c r="AY189" i="2"/>
  <c r="AY212" i="2"/>
  <c r="AY208" i="2"/>
  <c r="AP109" i="2"/>
  <c r="AY239" i="2"/>
  <c r="AY169" i="2"/>
  <c r="AP200" i="2"/>
  <c r="AY203" i="2"/>
  <c r="AY224" i="2"/>
  <c r="AY268" i="2"/>
  <c r="AY183" i="2"/>
  <c r="AY155" i="2"/>
  <c r="AY192" i="2"/>
  <c r="AY246" i="2"/>
  <c r="AY251" i="2"/>
  <c r="AY177" i="2"/>
  <c r="AY137" i="2"/>
  <c r="AY175" i="2"/>
  <c r="AY153" i="2"/>
  <c r="AY222" i="2"/>
  <c r="AY207" i="2"/>
  <c r="AY236" i="2"/>
  <c r="AY255" i="2"/>
  <c r="AP54" i="2"/>
  <c r="AY252" i="2"/>
  <c r="AY267" i="2"/>
  <c r="AY184" i="2"/>
  <c r="AY125" i="2"/>
  <c r="AY163" i="2"/>
  <c r="AY173" i="2"/>
  <c r="AY256" i="2"/>
  <c r="AY275" i="2"/>
  <c r="AY271" i="2"/>
  <c r="AP209" i="2"/>
  <c r="AR272" i="2"/>
  <c r="AY230" i="2"/>
  <c r="AP65" i="2"/>
  <c r="AP229" i="2"/>
  <c r="AY243" i="2"/>
  <c r="AY200" i="2"/>
  <c r="AY165" i="2"/>
  <c r="AY167" i="2"/>
  <c r="AY194" i="2"/>
  <c r="AY274" i="2"/>
  <c r="AY198" i="2"/>
  <c r="AY218" i="2"/>
  <c r="AY133" i="2"/>
  <c r="AY247" i="2"/>
  <c r="AY187" i="2"/>
  <c r="AP34" i="2"/>
  <c r="AP138" i="2"/>
  <c r="AP162" i="2"/>
  <c r="AY157" i="2"/>
  <c r="AY141" i="2"/>
  <c r="AY235" i="2"/>
  <c r="AY129" i="2"/>
  <c r="AY244" i="2"/>
  <c r="AY272" i="2"/>
  <c r="AY179" i="2"/>
  <c r="AY149" i="2"/>
  <c r="AY176" i="2"/>
  <c r="AY242" i="2"/>
  <c r="AY270" i="2"/>
  <c r="AY238" i="2"/>
  <c r="AY206" i="2"/>
  <c r="AY262" i="2"/>
  <c r="AY171" i="2"/>
  <c r="AY188" i="2"/>
  <c r="AY160" i="2"/>
  <c r="AY258" i="2"/>
  <c r="AY231" i="2"/>
  <c r="AY250" i="2"/>
  <c r="AY264" i="2"/>
  <c r="AP233" i="2"/>
  <c r="AY215" i="2"/>
  <c r="AY240" i="2"/>
  <c r="AY228" i="2"/>
  <c r="AY156" i="2"/>
  <c r="AY145" i="2"/>
  <c r="AY276" i="2"/>
  <c r="AY263" i="2"/>
  <c r="AY172" i="2"/>
  <c r="AY220" i="2"/>
  <c r="AY164" i="2"/>
  <c r="AY159" i="2"/>
  <c r="AP217" i="2"/>
  <c r="AY259" i="2"/>
  <c r="AY204" i="2"/>
  <c r="AY254" i="2"/>
  <c r="AY199" i="2"/>
  <c r="AY161" i="2"/>
  <c r="AY227" i="2"/>
  <c r="AY185" i="2"/>
  <c r="AY196" i="2"/>
  <c r="AY202" i="2"/>
  <c r="AY180" i="2"/>
  <c r="AY234" i="2"/>
  <c r="AP130" i="2"/>
  <c r="AY168" i="2"/>
  <c r="AY195" i="2"/>
  <c r="AY219" i="2"/>
  <c r="AY248" i="2"/>
  <c r="AY226" i="2"/>
  <c r="AY210" i="2"/>
  <c r="AY232" i="2"/>
  <c r="AY181" i="2"/>
  <c r="AY260" i="2"/>
  <c r="AY211" i="2"/>
  <c r="AY216" i="2"/>
  <c r="AY190" i="2"/>
  <c r="AY214" i="2"/>
  <c r="AY223" i="2"/>
  <c r="AY266" i="2"/>
  <c r="AP277" i="2"/>
  <c r="AR188" i="2"/>
  <c r="AY191" i="2"/>
  <c r="AP174" i="2"/>
  <c r="AP90" i="2"/>
  <c r="AP106" i="2"/>
  <c r="AP15" i="2"/>
  <c r="AP50" i="2"/>
  <c r="AP245" i="2"/>
  <c r="AP53" i="2"/>
  <c r="AP146" i="2"/>
  <c r="AP205" i="2"/>
  <c r="AP178" i="2"/>
  <c r="AY103" i="2"/>
  <c r="AY79" i="2"/>
  <c r="AY59" i="2"/>
  <c r="AY77" i="2"/>
  <c r="AY42" i="2"/>
  <c r="AY102" i="2"/>
  <c r="AY245" i="2"/>
  <c r="AY86" i="2"/>
  <c r="AY151" i="2"/>
  <c r="AY54" i="2"/>
  <c r="AY142" i="2"/>
  <c r="AY65" i="2"/>
  <c r="AY78" i="2"/>
  <c r="AY18" i="2"/>
  <c r="AY241" i="2"/>
  <c r="AY45" i="2"/>
  <c r="AY121" i="2"/>
  <c r="AY19" i="2"/>
  <c r="AY136" i="2"/>
  <c r="AY24" i="2"/>
  <c r="AY15" i="2"/>
  <c r="AY209" i="2"/>
  <c r="AY135" i="2"/>
  <c r="AY20" i="2"/>
  <c r="AY28" i="2"/>
  <c r="AY82" i="2"/>
  <c r="AY130" i="2"/>
  <c r="AY12" i="2"/>
  <c r="AY69" i="2"/>
  <c r="AY46" i="2"/>
  <c r="AY134" i="2"/>
  <c r="AY43" i="2"/>
  <c r="AY249" i="2"/>
  <c r="AY34" i="2"/>
  <c r="AY23" i="2"/>
  <c r="AY201" i="2"/>
  <c r="AY170" i="2"/>
  <c r="AY85" i="2"/>
  <c r="AY225" i="2"/>
  <c r="AY265" i="2"/>
  <c r="AY32" i="2"/>
  <c r="AY58" i="2"/>
  <c r="AQ151" i="2"/>
  <c r="AY83" i="2"/>
  <c r="AY261" i="2"/>
  <c r="AQ105" i="2"/>
  <c r="AY66" i="2"/>
  <c r="AY44" i="2"/>
  <c r="AY120" i="2"/>
  <c r="AY40" i="2"/>
  <c r="AY143" i="2"/>
  <c r="AS174" i="2"/>
  <c r="AR186" i="2"/>
  <c r="AY107" i="2"/>
  <c r="AY67" i="2"/>
  <c r="AY217" i="2"/>
  <c r="AY94" i="2"/>
  <c r="AY33" i="2"/>
  <c r="AY113" i="2"/>
  <c r="AY174" i="2"/>
  <c r="AS82" i="2"/>
  <c r="AS121" i="2"/>
  <c r="AS38" i="2"/>
  <c r="AY128" i="2"/>
  <c r="AY80" i="2"/>
  <c r="AY29" i="2"/>
  <c r="AY115" i="2"/>
  <c r="AY138" i="2"/>
  <c r="AY63" i="2"/>
  <c r="AY140" i="2"/>
  <c r="AY92" i="2"/>
  <c r="AY127" i="2"/>
  <c r="AY182" i="2"/>
  <c r="AY111" i="2"/>
  <c r="AY221" i="2"/>
  <c r="AY50" i="2"/>
  <c r="AY25" i="2"/>
  <c r="AY52" i="2"/>
  <c r="AY269" i="2"/>
  <c r="AY93" i="2"/>
  <c r="AY233" i="2"/>
  <c r="AY70" i="2"/>
  <c r="AY11" i="2"/>
  <c r="AY16" i="2"/>
  <c r="AY9" i="2"/>
  <c r="AY4" i="2"/>
  <c r="AY71" i="2"/>
  <c r="AY229" i="2"/>
  <c r="AY122" i="2"/>
  <c r="AY114" i="2"/>
  <c r="AY105" i="2"/>
  <c r="AY98" i="2"/>
  <c r="AY30" i="2"/>
  <c r="AY61" i="2"/>
  <c r="AY31" i="2"/>
  <c r="AY17" i="2"/>
  <c r="AY75" i="2"/>
  <c r="AY257" i="2"/>
  <c r="AY150" i="2"/>
  <c r="AY72" i="2"/>
  <c r="AY68" i="2"/>
  <c r="AY57" i="2"/>
  <c r="AY55" i="2"/>
  <c r="AY178" i="2"/>
  <c r="AY146" i="2"/>
  <c r="AY26" i="2"/>
  <c r="AY158" i="2"/>
  <c r="AY21" i="2"/>
  <c r="AY48" i="2"/>
  <c r="AY119" i="2"/>
  <c r="AY89" i="2"/>
  <c r="AY90" i="2"/>
  <c r="AY35" i="2"/>
  <c r="AY8" i="2"/>
  <c r="AY36" i="2"/>
  <c r="AY277" i="2"/>
  <c r="AY100" i="2"/>
  <c r="AY108" i="2"/>
  <c r="AY60" i="2"/>
  <c r="AY5" i="2"/>
  <c r="AY152" i="2"/>
  <c r="AY56" i="2"/>
  <c r="AY39" i="2"/>
  <c r="AY197" i="2"/>
  <c r="AY118" i="2"/>
  <c r="AY13" i="2"/>
  <c r="AY148" i="2"/>
  <c r="AY139" i="2"/>
  <c r="AY237" i="2"/>
  <c r="AY81" i="2"/>
  <c r="AY87" i="2"/>
  <c r="AY41" i="2"/>
  <c r="AY144" i="2"/>
  <c r="AY96" i="2"/>
  <c r="AY205" i="2"/>
  <c r="AQ117" i="2"/>
  <c r="AY147" i="2"/>
  <c r="AY99" i="2"/>
  <c r="AY186" i="2"/>
  <c r="AY154" i="2"/>
  <c r="AY273" i="2"/>
  <c r="AY166" i="2"/>
  <c r="AY104" i="2"/>
  <c r="AY101" i="2"/>
  <c r="AY74" i="2"/>
  <c r="AY91" i="2"/>
  <c r="AY116" i="2"/>
  <c r="AY126" i="2"/>
  <c r="AY51" i="2"/>
  <c r="AY47" i="2"/>
  <c r="AY97" i="2"/>
  <c r="AY106" i="2"/>
  <c r="AY27" i="2"/>
  <c r="AY123" i="2"/>
  <c r="AY193" i="2"/>
  <c r="AY162" i="2"/>
  <c r="AY62" i="2"/>
  <c r="AY14" i="2"/>
  <c r="AY213" i="2"/>
  <c r="AY22" i="2"/>
  <c r="AY3" i="2"/>
  <c r="AY112" i="2"/>
  <c r="AY64" i="2"/>
  <c r="AY84" i="2"/>
  <c r="AY109" i="2"/>
  <c r="AY7" i="2"/>
  <c r="AY10" i="2"/>
  <c r="AY131" i="2"/>
  <c r="AY110" i="2"/>
  <c r="AY49" i="2"/>
  <c r="AY73" i="2"/>
  <c r="AY37" i="2"/>
  <c r="AY124" i="2"/>
  <c r="AY76" i="2"/>
  <c r="AY88" i="2"/>
  <c r="AY132" i="2"/>
  <c r="AY95" i="2"/>
  <c r="AY6" i="2"/>
  <c r="AY38" i="2"/>
  <c r="AY253" i="2"/>
  <c r="AY53" i="2"/>
  <c r="AT55" i="2" l="1"/>
  <c r="AT52" i="2"/>
  <c r="AT59" i="2"/>
  <c r="AT238" i="2"/>
  <c r="AT51" i="2"/>
  <c r="AT123" i="2"/>
  <c r="AT76" i="2"/>
  <c r="AT143" i="2"/>
  <c r="AT127" i="2"/>
  <c r="AT4" i="2"/>
  <c r="AT221" i="2"/>
  <c r="AT198" i="2"/>
  <c r="AT122" i="2"/>
  <c r="AT270" i="2"/>
  <c r="AT121" i="2"/>
  <c r="AT246" i="2"/>
  <c r="AT56" i="2"/>
  <c r="AT77" i="2"/>
  <c r="AT53" i="2"/>
  <c r="AT273" i="2"/>
  <c r="AT58" i="2"/>
  <c r="AT57" i="2"/>
  <c r="AT99" i="2"/>
  <c r="AT254" i="2"/>
  <c r="AT54" i="2"/>
  <c r="AT214" i="2"/>
  <c r="AT159" i="2"/>
  <c r="AT269" i="2"/>
  <c r="AT147" i="2"/>
  <c r="AT111" i="2"/>
  <c r="AT129" i="2"/>
  <c r="AT135" i="2"/>
  <c r="AT253" i="2"/>
  <c r="AT241" i="2"/>
  <c r="AT257" i="2"/>
  <c r="AT151" i="2"/>
  <c r="AT144" i="2"/>
  <c r="AT276" i="2"/>
  <c r="AT167" i="2"/>
  <c r="AT133" i="2"/>
  <c r="AT107" i="2"/>
  <c r="AT260" i="2"/>
  <c r="AT265" i="2"/>
  <c r="AT271" i="2"/>
  <c r="AT275" i="2"/>
  <c r="AT32" i="2"/>
  <c r="AT261" i="2"/>
  <c r="AT264" i="2"/>
  <c r="AT183" i="2"/>
  <c r="AT242" i="2"/>
  <c r="AT267" i="2"/>
  <c r="AT272" i="2"/>
  <c r="AT100" i="2"/>
  <c r="AT266" i="2"/>
  <c r="AT72" i="2"/>
  <c r="AT20" i="2"/>
  <c r="AT47" i="2"/>
  <c r="AT201" i="2"/>
  <c r="AT3" i="2"/>
  <c r="AT230" i="2"/>
  <c r="AT128" i="2"/>
  <c r="AT277" i="2"/>
  <c r="AT224" i="2"/>
  <c r="AT83" i="2"/>
  <c r="AT259" i="2"/>
  <c r="AT252" i="2"/>
  <c r="AT158" i="2"/>
  <c r="AT37" i="2"/>
  <c r="AT39" i="2"/>
  <c r="AT86" i="2"/>
  <c r="AT256" i="2"/>
  <c r="AT258" i="2"/>
  <c r="AT43" i="2"/>
  <c r="AT24" i="2"/>
  <c r="AT155" i="2"/>
  <c r="AT240" i="2"/>
  <c r="AT193" i="2"/>
  <c r="AT108" i="2"/>
  <c r="AT14" i="2"/>
  <c r="AT250" i="2"/>
  <c r="AT103" i="2"/>
  <c r="AT118" i="2"/>
  <c r="AT263" i="2"/>
  <c r="AT268" i="2"/>
  <c r="AT45" i="2"/>
  <c r="AT153" i="2"/>
  <c r="AT160" i="2"/>
  <c r="AT136" i="2"/>
  <c r="AT199" i="2"/>
  <c r="AT226" i="2"/>
  <c r="AT65" i="2"/>
  <c r="AT28" i="2"/>
  <c r="AT255" i="2"/>
  <c r="AT138" i="2"/>
  <c r="AT234" i="2"/>
  <c r="AT110" i="2"/>
  <c r="AT34" i="2"/>
  <c r="AT200" i="2"/>
  <c r="AT206" i="2"/>
  <c r="AT141" i="2"/>
  <c r="AT80" i="2"/>
  <c r="AT19" i="2"/>
  <c r="AT139" i="2"/>
  <c r="AT216" i="2"/>
  <c r="AT142" i="2"/>
  <c r="AT218" i="2"/>
  <c r="AT262" i="2"/>
  <c r="AT274" i="2"/>
  <c r="AT71" i="2"/>
  <c r="AT112" i="2"/>
  <c r="AT137" i="2"/>
  <c r="AT7" i="2"/>
  <c r="AT168" i="2"/>
  <c r="AT48" i="2"/>
  <c r="AT207" i="2"/>
  <c r="AT184" i="2"/>
  <c r="AT233" i="2"/>
  <c r="AT30" i="2"/>
  <c r="AT178" i="2"/>
  <c r="AT66" i="2"/>
  <c r="AT5" i="2"/>
  <c r="AT154" i="2"/>
  <c r="AT12" i="2"/>
  <c r="AT124" i="2"/>
  <c r="AT40" i="2"/>
  <c r="AT190" i="2"/>
  <c r="AT202" i="2"/>
  <c r="AT27" i="2"/>
  <c r="AT225" i="2"/>
  <c r="AT169" i="2"/>
  <c r="AT215" i="2"/>
  <c r="AT176" i="2"/>
  <c r="AT131" i="2"/>
  <c r="AT79" i="2"/>
  <c r="AT36" i="2"/>
  <c r="AT175" i="2"/>
  <c r="AT157" i="2"/>
  <c r="AT244" i="2"/>
  <c r="AT212" i="2"/>
  <c r="AT192" i="2"/>
  <c r="AT163" i="2"/>
  <c r="AT87" i="2"/>
  <c r="AT248" i="2"/>
  <c r="AT172" i="2"/>
  <c r="AT26" i="2"/>
  <c r="AT81" i="2"/>
  <c r="AT223" i="2"/>
  <c r="AT188" i="2"/>
  <c r="AT152" i="2"/>
  <c r="AT92" i="2"/>
  <c r="AT49" i="2"/>
  <c r="AT64" i="2"/>
  <c r="AT6" i="2"/>
  <c r="AT22" i="2"/>
  <c r="AT149" i="2"/>
  <c r="AT104" i="2"/>
  <c r="AT191" i="2"/>
  <c r="AT185" i="2"/>
  <c r="AT211" i="2"/>
  <c r="AT95" i="2"/>
  <c r="AT29" i="2"/>
  <c r="AT132" i="2"/>
  <c r="AT94" i="2"/>
  <c r="AT69" i="2"/>
  <c r="AT171" i="2"/>
  <c r="AT8" i="2"/>
  <c r="AT97" i="2"/>
  <c r="AT84" i="2"/>
  <c r="AT134" i="2"/>
  <c r="AT74" i="2"/>
  <c r="AT196" i="2"/>
  <c r="AT120" i="2"/>
  <c r="AT44" i="2"/>
  <c r="AT213" i="2"/>
  <c r="AT11" i="2"/>
  <c r="AT145" i="2"/>
  <c r="AT125" i="2"/>
  <c r="AT156" i="2"/>
  <c r="AT197" i="2"/>
  <c r="AT114" i="2"/>
  <c r="AT31" i="2"/>
  <c r="AT102" i="2"/>
  <c r="AT96" i="2"/>
  <c r="AT10" i="2"/>
  <c r="AT75" i="2"/>
  <c r="AT116" i="2"/>
  <c r="AT187" i="2"/>
  <c r="AT194" i="2"/>
  <c r="AT73" i="2"/>
  <c r="AT68" i="2"/>
  <c r="AT35" i="2"/>
  <c r="AT232" i="2"/>
  <c r="AT173" i="2"/>
  <c r="AT180" i="2"/>
  <c r="AT181" i="2"/>
  <c r="AT63" i="2"/>
  <c r="AT101" i="2"/>
  <c r="AT33" i="2"/>
  <c r="AT85" i="2"/>
  <c r="AT239" i="2"/>
  <c r="AT88" i="2"/>
  <c r="AT126" i="2"/>
  <c r="AT210" i="2"/>
  <c r="AT93" i="2"/>
  <c r="AT204" i="2"/>
  <c r="AT166" i="2"/>
  <c r="AT117" i="2"/>
  <c r="AT82" i="2"/>
  <c r="AT219" i="2"/>
  <c r="AT182" i="2"/>
  <c r="AT23" i="2"/>
  <c r="AT235" i="2"/>
  <c r="AT177" i="2"/>
  <c r="AT247" i="2"/>
  <c r="AT25" i="2"/>
  <c r="AT21" i="2"/>
  <c r="AT70" i="2"/>
  <c r="AT42" i="2"/>
  <c r="AT41" i="2"/>
  <c r="AT13" i="2"/>
  <c r="AT222" i="2"/>
  <c r="AT16" i="2"/>
  <c r="AT227" i="2"/>
  <c r="AT189" i="2"/>
  <c r="AT67" i="2"/>
  <c r="AT195" i="2"/>
  <c r="AT165" i="2"/>
  <c r="AT228" i="2"/>
  <c r="AT164" i="2"/>
  <c r="AT18" i="2"/>
  <c r="AT17" i="2"/>
  <c r="AT89" i="2"/>
  <c r="AT243" i="2"/>
  <c r="AT231" i="2"/>
  <c r="AT208" i="2"/>
  <c r="AT179" i="2"/>
  <c r="AT203" i="2"/>
  <c r="AT115" i="2"/>
  <c r="AT251" i="2"/>
  <c r="AT98" i="2"/>
  <c r="AT150" i="2"/>
  <c r="AT61" i="2"/>
  <c r="AT91" i="2"/>
  <c r="AT9" i="2"/>
  <c r="AT220" i="2"/>
  <c r="AT113" i="2"/>
  <c r="AT90" i="2"/>
  <c r="AT217" i="2"/>
  <c r="AT186" i="2"/>
  <c r="AT146" i="2"/>
  <c r="AT236" i="2"/>
  <c r="AT38" i="2"/>
  <c r="AT245" i="2"/>
  <c r="AT162" i="2"/>
  <c r="AT209" i="2"/>
  <c r="AT109" i="2"/>
  <c r="AT15" i="2"/>
  <c r="AT105" i="2"/>
  <c r="AT106" i="2"/>
  <c r="AT229" i="2"/>
  <c r="AT60" i="2"/>
  <c r="AT237" i="2"/>
  <c r="AT140" i="2"/>
  <c r="AT46" i="2"/>
  <c r="AT62" i="2"/>
  <c r="AT78" i="2"/>
  <c r="AT161" i="2"/>
  <c r="AT249" i="2"/>
  <c r="AT119" i="2"/>
  <c r="AT170" i="2"/>
  <c r="AT130" i="2"/>
  <c r="AT148" i="2"/>
  <c r="AT205" i="2"/>
  <c r="AT50" i="2"/>
  <c r="AT174" i="2"/>
  <c r="M27" i="11"/>
  <c r="M29" i="11"/>
  <c r="M25" i="11"/>
  <c r="M21" i="11"/>
  <c r="M23" i="11"/>
  <c r="M31" i="11"/>
</calcChain>
</file>

<file path=xl/comments1.xml><?xml version="1.0" encoding="utf-8"?>
<comments xmlns="http://schemas.openxmlformats.org/spreadsheetml/2006/main">
  <authors>
    <author>Teves, Marlon</author>
  </authors>
  <commentList>
    <comment ref="Y183" authorId="0" shapeId="0">
      <text>
        <r>
          <rPr>
            <b/>
            <sz val="9"/>
            <color indexed="81"/>
            <rFont val="Tahoma"/>
            <family val="2"/>
          </rPr>
          <t>Teves, Marlon:</t>
        </r>
        <r>
          <rPr>
            <sz val="9"/>
            <color indexed="81"/>
            <rFont val="Tahoma"/>
            <family val="2"/>
          </rPr>
          <t xml:space="preserve">
change to 0.3 to 0.7
</t>
        </r>
      </text>
    </comment>
  </commentList>
</comments>
</file>

<file path=xl/sharedStrings.xml><?xml version="1.0" encoding="utf-8"?>
<sst xmlns="http://schemas.openxmlformats.org/spreadsheetml/2006/main" count="1852" uniqueCount="528">
  <si>
    <t>Project Number</t>
  </si>
  <si>
    <t>VC Project</t>
  </si>
  <si>
    <t>Category</t>
  </si>
  <si>
    <t>Project Name</t>
  </si>
  <si>
    <t>Labor</t>
  </si>
  <si>
    <t>Yield</t>
  </si>
  <si>
    <t>Material</t>
  </si>
  <si>
    <t>Total</t>
  </si>
  <si>
    <t>Start Date</t>
  </si>
  <si>
    <t>Part Number</t>
  </si>
  <si>
    <t>Jan_ASV</t>
  </si>
  <si>
    <t>Feb_ASV</t>
  </si>
  <si>
    <t>Mar_ASV</t>
  </si>
  <si>
    <t>Apr_ASV</t>
  </si>
  <si>
    <t>May_ASV</t>
  </si>
  <si>
    <t>Jun_ASV</t>
  </si>
  <si>
    <t>Jul_ASV</t>
  </si>
  <si>
    <t>Aug_ASV</t>
  </si>
  <si>
    <t>Sep_ASV</t>
  </si>
  <si>
    <t>Oct_ASV</t>
  </si>
  <si>
    <t>Nov_ASV</t>
  </si>
  <si>
    <t>Dec_ASV</t>
  </si>
  <si>
    <t>Calendar Saving</t>
  </si>
  <si>
    <t>Jan_CSV</t>
  </si>
  <si>
    <t>Feb_CSV</t>
  </si>
  <si>
    <t>Mar_CSV</t>
  </si>
  <si>
    <t>Apr_CSV</t>
  </si>
  <si>
    <t>May_CSV</t>
  </si>
  <si>
    <t>Jun_CSV</t>
  </si>
  <si>
    <t>Jul_CSV</t>
  </si>
  <si>
    <t>Aug_CSV</t>
  </si>
  <si>
    <t>Sep_CSV</t>
  </si>
  <si>
    <t>Oct_CSV</t>
  </si>
  <si>
    <t>Nov_CSV</t>
  </si>
  <si>
    <t>Dec_CSV</t>
  </si>
  <si>
    <t>Jan_AVF</t>
  </si>
  <si>
    <t>Feb_AVF</t>
  </si>
  <si>
    <t>Mar_AVF</t>
  </si>
  <si>
    <t>Apr_AVF</t>
  </si>
  <si>
    <t>May_AVF</t>
  </si>
  <si>
    <t>Jun_AVF</t>
  </si>
  <si>
    <t>Jul_AVF</t>
  </si>
  <si>
    <t>Aug_AVF</t>
  </si>
  <si>
    <t>Sep_AVF</t>
  </si>
  <si>
    <t>Oct_AVF</t>
  </si>
  <si>
    <t>Nov_AVF</t>
  </si>
  <si>
    <t>Dec_AVF</t>
  </si>
  <si>
    <t>Labor
Saving</t>
  </si>
  <si>
    <t>Yield
Saving</t>
  </si>
  <si>
    <t>Material
Saving</t>
  </si>
  <si>
    <t>OH
Saving</t>
  </si>
  <si>
    <t>Total
Saving</t>
  </si>
  <si>
    <t>Cal_Q1
Saving</t>
  </si>
  <si>
    <t>Cal_Q2
Saving</t>
  </si>
  <si>
    <t>Ann_Q1
Saving</t>
  </si>
  <si>
    <t>Ann_Q2
Saving</t>
  </si>
  <si>
    <t>Status</t>
  </si>
  <si>
    <t>VAM-REC</t>
  </si>
  <si>
    <t>REC</t>
  </si>
  <si>
    <t>Rec</t>
  </si>
  <si>
    <t>VAM</t>
  </si>
  <si>
    <t>AME25-001</t>
  </si>
  <si>
    <t>AME25-002</t>
  </si>
  <si>
    <t>AME25-003</t>
  </si>
  <si>
    <t>AME25-004</t>
  </si>
  <si>
    <t>AME25-005</t>
  </si>
  <si>
    <t>AME25-006</t>
  </si>
  <si>
    <t>AME25-007</t>
  </si>
  <si>
    <t>AME25-008</t>
  </si>
  <si>
    <t>AME25-009</t>
  </si>
  <si>
    <t>AME25-010</t>
  </si>
  <si>
    <t>AME25-011</t>
  </si>
  <si>
    <t>AME25-012</t>
  </si>
  <si>
    <t>AME25-013</t>
  </si>
  <si>
    <t>AME25-014</t>
  </si>
  <si>
    <t>AME25-015</t>
  </si>
  <si>
    <t>AME25-016</t>
  </si>
  <si>
    <t>AME25-017</t>
  </si>
  <si>
    <t>AME25-018</t>
  </si>
  <si>
    <t>AME25-019</t>
  </si>
  <si>
    <t>AME25-020</t>
  </si>
  <si>
    <t>AME25-021</t>
  </si>
  <si>
    <t>AME25-030</t>
  </si>
  <si>
    <t>AME25-031</t>
  </si>
  <si>
    <t>AME25-032</t>
  </si>
  <si>
    <t>AME25-033</t>
  </si>
  <si>
    <t>AME25-034</t>
  </si>
  <si>
    <t>AME25-035</t>
  </si>
  <si>
    <t>AME25-036</t>
  </si>
  <si>
    <t>AME25-037</t>
  </si>
  <si>
    <t>AME25-038</t>
  </si>
  <si>
    <t>AME25-039</t>
  </si>
  <si>
    <t>AME25-040</t>
  </si>
  <si>
    <t>AME25-041</t>
  </si>
  <si>
    <t>AME25-042</t>
  </si>
  <si>
    <t>AME25-043</t>
  </si>
  <si>
    <t>AME25-044</t>
  </si>
  <si>
    <t>AME25-045</t>
  </si>
  <si>
    <t>AME25-046</t>
  </si>
  <si>
    <t>AME25-047</t>
  </si>
  <si>
    <t>AME25-048</t>
  </si>
  <si>
    <t>AME25-049</t>
  </si>
  <si>
    <t>AME25-050</t>
  </si>
  <si>
    <t>AME25-051</t>
  </si>
  <si>
    <t>AME25-052</t>
  </si>
  <si>
    <t>AME25-053</t>
  </si>
  <si>
    <t>AME25-058</t>
  </si>
  <si>
    <t>AME25-059</t>
  </si>
  <si>
    <t>AME25-060</t>
  </si>
  <si>
    <t>AME25-061</t>
  </si>
  <si>
    <t>AME25-063</t>
  </si>
  <si>
    <t>AME25-064</t>
  </si>
  <si>
    <t>AME25-065</t>
  </si>
  <si>
    <t>AME25-066</t>
  </si>
  <si>
    <t>AME25-067</t>
  </si>
  <si>
    <t>AME25-068</t>
  </si>
  <si>
    <t>AME25-069</t>
  </si>
  <si>
    <t>AME25-070</t>
  </si>
  <si>
    <t>AME25-071</t>
  </si>
  <si>
    <t>AME25-072</t>
  </si>
  <si>
    <t>AME25-073</t>
  </si>
  <si>
    <t>AME25-074</t>
  </si>
  <si>
    <t>AME25-075</t>
  </si>
  <si>
    <t>AME25-076</t>
  </si>
  <si>
    <t>AME25-077</t>
  </si>
  <si>
    <t>AME25-078</t>
  </si>
  <si>
    <t>AME25-079</t>
  </si>
  <si>
    <t>AME25-080</t>
  </si>
  <si>
    <t>AME25-081</t>
  </si>
  <si>
    <t>AME25-082</t>
  </si>
  <si>
    <t>AME25-083</t>
  </si>
  <si>
    <t>AME25-084</t>
  </si>
  <si>
    <t>AME25-085</t>
  </si>
  <si>
    <t>AME25-086</t>
  </si>
  <si>
    <t>AME25-087</t>
  </si>
  <si>
    <t>AME25-088</t>
  </si>
  <si>
    <t>AME25-089</t>
  </si>
  <si>
    <t>AME25-090</t>
  </si>
  <si>
    <t>AME25-091</t>
  </si>
  <si>
    <t>AME25-092</t>
  </si>
  <si>
    <t>AME25-093</t>
  </si>
  <si>
    <t>AME25-094</t>
  </si>
  <si>
    <t>ERU5G Auto cut and strip</t>
  </si>
  <si>
    <t>For Confirmation</t>
  </si>
  <si>
    <t>Labor_CSV</t>
  </si>
  <si>
    <t>Yield_CSV</t>
  </si>
  <si>
    <t>Material_CSV</t>
  </si>
  <si>
    <t>OH_CSV</t>
  </si>
  <si>
    <t>Total__CSV</t>
  </si>
  <si>
    <t>Jan</t>
  </si>
  <si>
    <t>Feb</t>
  </si>
  <si>
    <t>Mar</t>
  </si>
  <si>
    <t>Apr</t>
  </si>
  <si>
    <t>May</t>
  </si>
  <si>
    <t>Jun</t>
  </si>
  <si>
    <t>Jul</t>
  </si>
  <si>
    <t>Aug</t>
  </si>
  <si>
    <t>Sep</t>
  </si>
  <si>
    <t>Oct</t>
  </si>
  <si>
    <t>Nov</t>
  </si>
  <si>
    <t>Dec</t>
  </si>
  <si>
    <t>Column4</t>
  </si>
  <si>
    <t>Row Labels</t>
  </si>
  <si>
    <t>Sum of Labor_CSV</t>
  </si>
  <si>
    <t>Sum of Yield_CSV</t>
  </si>
  <si>
    <t>Sum of Material_CSV</t>
  </si>
  <si>
    <t>Overhead</t>
  </si>
  <si>
    <t>Sum of Total__CSV</t>
  </si>
  <si>
    <t>Sum of OH_CSV</t>
  </si>
  <si>
    <t>Rank</t>
  </si>
  <si>
    <t>Annual Savings</t>
  </si>
  <si>
    <t>Calendar
Volume2</t>
  </si>
  <si>
    <t>Annual Volume</t>
  </si>
  <si>
    <t>Labor_ASV</t>
  </si>
  <si>
    <t>Yield_ASV</t>
  </si>
  <si>
    <t>Material_ASV</t>
  </si>
  <si>
    <t>OH_ASV</t>
  </si>
  <si>
    <t>Total_ASV</t>
  </si>
  <si>
    <t>Sum of Labor_ASV</t>
  </si>
  <si>
    <t>Sum of Yield_ASV</t>
  </si>
  <si>
    <t>Sum of Material_ASV</t>
  </si>
  <si>
    <t>Sum of OH_ASV</t>
  </si>
  <si>
    <t>Sum of Total_ASV</t>
  </si>
  <si>
    <t>Annual Saving</t>
  </si>
  <si>
    <t>Sum of Cal_Q1
Saving</t>
  </si>
  <si>
    <t>Sum of Cal_Q2
Saving</t>
  </si>
  <si>
    <t>Sum of Ann_Q1</t>
  </si>
  <si>
    <t>Sum of Ann_Q2</t>
  </si>
  <si>
    <t>Ann_Q3
Saving</t>
  </si>
  <si>
    <t>Ann_Q4
Saving</t>
  </si>
  <si>
    <t>Sum of Ann_Q3</t>
  </si>
  <si>
    <t>Sum of Ann_Q4</t>
  </si>
  <si>
    <t>Q1</t>
  </si>
  <si>
    <t>Q2</t>
  </si>
  <si>
    <t>Q3</t>
  </si>
  <si>
    <t>Q4</t>
  </si>
  <si>
    <t>Cal_Q3
Saving</t>
  </si>
  <si>
    <t>Cal_Q4
Saving</t>
  </si>
  <si>
    <t>Calendar Savings</t>
  </si>
  <si>
    <t>Others</t>
  </si>
  <si>
    <t>Classification</t>
  </si>
  <si>
    <t>Remarks</t>
  </si>
  <si>
    <t>Sum of Cal_Q3
Saving</t>
  </si>
  <si>
    <t>Sum of Cal_Q4
Saving</t>
  </si>
  <si>
    <t>Update 1+11</t>
  </si>
  <si>
    <t>AME25-095</t>
  </si>
  <si>
    <t>Added</t>
  </si>
  <si>
    <t xml:space="preserve">          Quarterly Saving Summary</t>
  </si>
  <si>
    <t>Calendar Cost Saving</t>
  </si>
  <si>
    <t>CODE 2</t>
  </si>
  <si>
    <t>CODE 1</t>
  </si>
  <si>
    <t>End Date</t>
  </si>
  <si>
    <t>Costing Assum 
/ actual</t>
  </si>
  <si>
    <t>V1</t>
  </si>
  <si>
    <t>V2</t>
  </si>
  <si>
    <t>V3</t>
  </si>
  <si>
    <t>V4</t>
  </si>
  <si>
    <t>V5</t>
  </si>
  <si>
    <t>V6</t>
  </si>
  <si>
    <t>V7</t>
  </si>
  <si>
    <t>V8</t>
  </si>
  <si>
    <t>V9</t>
  </si>
  <si>
    <t>V10</t>
  </si>
  <si>
    <t>V11</t>
  </si>
  <si>
    <t>V12</t>
  </si>
  <si>
    <t>V13</t>
  </si>
  <si>
    <t>V14</t>
  </si>
  <si>
    <t>V15</t>
  </si>
  <si>
    <t>V16</t>
  </si>
  <si>
    <t>V17</t>
  </si>
  <si>
    <t>V18</t>
  </si>
  <si>
    <t>V19</t>
  </si>
  <si>
    <t>V20</t>
  </si>
  <si>
    <t>V21</t>
  </si>
  <si>
    <t>V22</t>
  </si>
  <si>
    <t>V23</t>
  </si>
  <si>
    <t>V24</t>
  </si>
  <si>
    <t>V25</t>
  </si>
  <si>
    <t>V26</t>
  </si>
  <si>
    <t>R1</t>
  </si>
  <si>
    <t>R2</t>
  </si>
  <si>
    <t>R3</t>
  </si>
  <si>
    <t>R4</t>
  </si>
  <si>
    <t>R5</t>
  </si>
  <si>
    <t>R6</t>
  </si>
  <si>
    <t>R7</t>
  </si>
  <si>
    <t>R8</t>
  </si>
  <si>
    <t>R9</t>
  </si>
  <si>
    <t>R10</t>
  </si>
  <si>
    <t>R11</t>
  </si>
  <si>
    <t>R12</t>
  </si>
  <si>
    <t>R13</t>
  </si>
  <si>
    <t>R14</t>
  </si>
  <si>
    <t>R15</t>
  </si>
  <si>
    <t>R16</t>
  </si>
  <si>
    <t>R17</t>
  </si>
  <si>
    <t>R18</t>
  </si>
  <si>
    <t>R19</t>
  </si>
  <si>
    <t>R20</t>
  </si>
  <si>
    <t>R21</t>
  </si>
  <si>
    <t>R22</t>
  </si>
  <si>
    <t>R23</t>
  </si>
  <si>
    <t>R24</t>
  </si>
  <si>
    <t>R25</t>
  </si>
  <si>
    <t>R26</t>
  </si>
  <si>
    <t>R27</t>
  </si>
  <si>
    <t>R28</t>
  </si>
  <si>
    <t>R29</t>
  </si>
  <si>
    <t>R30</t>
  </si>
  <si>
    <t>R31</t>
  </si>
  <si>
    <t>R32</t>
  </si>
  <si>
    <t>R33</t>
  </si>
  <si>
    <t>R34</t>
  </si>
  <si>
    <t>R35</t>
  </si>
  <si>
    <t>R36</t>
  </si>
  <si>
    <t>R37</t>
  </si>
  <si>
    <t>R38</t>
  </si>
  <si>
    <t>R39</t>
  </si>
  <si>
    <t>R40</t>
  </si>
  <si>
    <t>R41</t>
  </si>
  <si>
    <t>R42</t>
  </si>
  <si>
    <t>R43</t>
  </si>
  <si>
    <t>R44</t>
  </si>
  <si>
    <t>R45</t>
  </si>
  <si>
    <t>R46</t>
  </si>
  <si>
    <t>R47</t>
  </si>
  <si>
    <t>R48</t>
  </si>
  <si>
    <t>R49</t>
  </si>
  <si>
    <t>R50</t>
  </si>
  <si>
    <t>R51</t>
  </si>
  <si>
    <t>R52</t>
  </si>
  <si>
    <t>R53</t>
  </si>
  <si>
    <t>R54</t>
  </si>
  <si>
    <t>R55</t>
  </si>
  <si>
    <t>R56</t>
  </si>
  <si>
    <t>R57</t>
  </si>
  <si>
    <t>R58</t>
  </si>
  <si>
    <t>R59</t>
  </si>
  <si>
    <t>R60</t>
  </si>
  <si>
    <t>R61</t>
  </si>
  <si>
    <t>R62</t>
  </si>
  <si>
    <t>R63</t>
  </si>
  <si>
    <t>R64</t>
  </si>
  <si>
    <t>R65</t>
  </si>
  <si>
    <t>R66</t>
  </si>
  <si>
    <t>R67</t>
  </si>
  <si>
    <t>R68</t>
  </si>
  <si>
    <t>R69</t>
  </si>
  <si>
    <t>R70</t>
  </si>
  <si>
    <t>R71</t>
  </si>
  <si>
    <t>R72</t>
  </si>
  <si>
    <t>R73</t>
  </si>
  <si>
    <t>R74</t>
  </si>
  <si>
    <t>R75</t>
  </si>
  <si>
    <t>R76</t>
  </si>
  <si>
    <t>R77</t>
  </si>
  <si>
    <t>R78</t>
  </si>
  <si>
    <t>R79</t>
  </si>
  <si>
    <t>R80</t>
  </si>
  <si>
    <t>R81</t>
  </si>
  <si>
    <t>R82</t>
  </si>
  <si>
    <t>R83</t>
  </si>
  <si>
    <t>R84</t>
  </si>
  <si>
    <t>R85</t>
  </si>
  <si>
    <t>R86</t>
  </si>
  <si>
    <t>R87</t>
  </si>
  <si>
    <t>R88</t>
  </si>
  <si>
    <t>R89</t>
  </si>
  <si>
    <t>R90</t>
  </si>
  <si>
    <t>R91</t>
  </si>
  <si>
    <t>R92</t>
  </si>
  <si>
    <t>R93</t>
  </si>
  <si>
    <t>R94</t>
  </si>
  <si>
    <t>R95</t>
  </si>
  <si>
    <t>R96</t>
  </si>
  <si>
    <t>R97</t>
  </si>
  <si>
    <t>R98</t>
  </si>
  <si>
    <t>R99</t>
  </si>
  <si>
    <t>R100</t>
  </si>
  <si>
    <t>R101</t>
  </si>
  <si>
    <t>R102</t>
  </si>
  <si>
    <t>R103</t>
  </si>
  <si>
    <t>R104</t>
  </si>
  <si>
    <t>R105</t>
  </si>
  <si>
    <t>R106</t>
  </si>
  <si>
    <t>R107</t>
  </si>
  <si>
    <t>R108</t>
  </si>
  <si>
    <t>R109</t>
  </si>
  <si>
    <t>R110</t>
  </si>
  <si>
    <t>R111</t>
  </si>
  <si>
    <t>R112</t>
  </si>
  <si>
    <t>R113</t>
  </si>
  <si>
    <t>R114</t>
  </si>
  <si>
    <t>R115</t>
  </si>
  <si>
    <t>R116</t>
  </si>
  <si>
    <t>R117</t>
  </si>
  <si>
    <t>R118</t>
  </si>
  <si>
    <t>R119</t>
  </si>
  <si>
    <t>R120</t>
  </si>
  <si>
    <t>R121</t>
  </si>
  <si>
    <t>R122</t>
  </si>
  <si>
    <t>R123</t>
  </si>
  <si>
    <t>R124</t>
  </si>
  <si>
    <t>R125</t>
  </si>
  <si>
    <t>R126</t>
  </si>
  <si>
    <t>R127</t>
  </si>
  <si>
    <t>R128</t>
  </si>
  <si>
    <t>R129</t>
  </si>
  <si>
    <t>R130</t>
  </si>
  <si>
    <t>R131</t>
  </si>
  <si>
    <t>R132</t>
  </si>
  <si>
    <t>R133</t>
  </si>
  <si>
    <t>R134</t>
  </si>
  <si>
    <t>R135</t>
  </si>
  <si>
    <t>R136</t>
  </si>
  <si>
    <t>R137</t>
  </si>
  <si>
    <t>R138</t>
  </si>
  <si>
    <t>R139</t>
  </si>
  <si>
    <t>R140</t>
  </si>
  <si>
    <t>R141</t>
  </si>
  <si>
    <t>R142</t>
  </si>
  <si>
    <t>R143</t>
  </si>
  <si>
    <t>R144</t>
  </si>
  <si>
    <t>R145</t>
  </si>
  <si>
    <t>R146</t>
  </si>
  <si>
    <t>R147</t>
  </si>
  <si>
    <t>R148</t>
  </si>
  <si>
    <t>R149</t>
  </si>
  <si>
    <t>R150</t>
  </si>
  <si>
    <t>R151</t>
  </si>
  <si>
    <t>R152</t>
  </si>
  <si>
    <t>R153</t>
  </si>
  <si>
    <t>R154</t>
  </si>
  <si>
    <t>R155</t>
  </si>
  <si>
    <t>R156</t>
  </si>
  <si>
    <t>R157</t>
  </si>
  <si>
    <t>R158</t>
  </si>
  <si>
    <t>R159</t>
  </si>
  <si>
    <t>R160</t>
  </si>
  <si>
    <t>R161</t>
  </si>
  <si>
    <t>R162</t>
  </si>
  <si>
    <t>R163</t>
  </si>
  <si>
    <t>R164</t>
  </si>
  <si>
    <t>R165</t>
  </si>
  <si>
    <t>R166</t>
  </si>
  <si>
    <t>R167</t>
  </si>
  <si>
    <t>R168</t>
  </si>
  <si>
    <t>R169</t>
  </si>
  <si>
    <t>R170</t>
  </si>
  <si>
    <t>R171</t>
  </si>
  <si>
    <t>R172</t>
  </si>
  <si>
    <t>R173</t>
  </si>
  <si>
    <t>R174</t>
  </si>
  <si>
    <t>R175</t>
  </si>
  <si>
    <t>R176</t>
  </si>
  <si>
    <t>R177</t>
  </si>
  <si>
    <t>R178</t>
  </si>
  <si>
    <t>R179</t>
  </si>
  <si>
    <t>R180</t>
  </si>
  <si>
    <t>R181</t>
  </si>
  <si>
    <t>R182</t>
  </si>
  <si>
    <t>R183</t>
  </si>
  <si>
    <t>R184</t>
  </si>
  <si>
    <t>R185</t>
  </si>
  <si>
    <t>R186</t>
  </si>
  <si>
    <t>R187</t>
  </si>
  <si>
    <t>R188</t>
  </si>
  <si>
    <t>R189</t>
  </si>
  <si>
    <t>R190</t>
  </si>
  <si>
    <t>R191</t>
  </si>
  <si>
    <t>R192</t>
  </si>
  <si>
    <t>R193</t>
  </si>
  <si>
    <t>R194</t>
  </si>
  <si>
    <t>R195</t>
  </si>
  <si>
    <t>R196</t>
  </si>
  <si>
    <t>Sputtering</t>
  </si>
  <si>
    <t>XWP</t>
  </si>
  <si>
    <t>TiW Target Supplier Y</t>
  </si>
  <si>
    <t>TiW Target Supplier X</t>
  </si>
  <si>
    <t>TiW Target Supplier Z</t>
  </si>
  <si>
    <t>Au Target Supplier Y</t>
  </si>
  <si>
    <t>Au Target Supplier X</t>
  </si>
  <si>
    <t>Au Target Supplier Z</t>
  </si>
  <si>
    <t>Pt Target Supplier Y</t>
  </si>
  <si>
    <t>Pt Target Supplier X</t>
  </si>
  <si>
    <t>Pt Target Supplier Z</t>
  </si>
  <si>
    <t>NiCr Target Supplier Y</t>
  </si>
  <si>
    <t>NiCr Target Supplier X</t>
  </si>
  <si>
    <t>NiCr Target Supplier Z</t>
  </si>
  <si>
    <t>Ti Target Supplier Y</t>
  </si>
  <si>
    <t>Ti Target Supplier X</t>
  </si>
  <si>
    <t>Ti Target Supplier Z</t>
  </si>
  <si>
    <t>Au Target Thickness 0.1um</t>
  </si>
  <si>
    <t>Au Target Thickness 0.5um</t>
  </si>
  <si>
    <t>Au Target Thickness 1.0um</t>
  </si>
  <si>
    <t>Au Target Thickness 1.5um</t>
  </si>
  <si>
    <t>Au Target Thickness 2.0um</t>
  </si>
  <si>
    <t>Au Target Thickness 3.5um</t>
  </si>
  <si>
    <t>Wafer Saw Dicing</t>
  </si>
  <si>
    <t>XCD</t>
  </si>
  <si>
    <t>Diamond blade Supplier A</t>
  </si>
  <si>
    <t>Diamond blade Supplier B</t>
  </si>
  <si>
    <t>Diamond blade Supplier C</t>
  </si>
  <si>
    <t>Diamond blade Supplier D</t>
  </si>
  <si>
    <t>Diamond blade Supplier E</t>
  </si>
  <si>
    <t>Diamond blade Supplier X</t>
  </si>
  <si>
    <t>Diamond blade Supplier Y</t>
  </si>
  <si>
    <t>Diamond blade Supplier Z</t>
  </si>
  <si>
    <t>Thermal Release Tape 1</t>
  </si>
  <si>
    <t>Thermal Release Tape 2</t>
  </si>
  <si>
    <t>Thermal Release Tape 3</t>
  </si>
  <si>
    <t>Tape Dicing 1</t>
  </si>
  <si>
    <t>Tape Dicing 2</t>
  </si>
  <si>
    <t>Tape Dicing 3</t>
  </si>
  <si>
    <t>Oven time time Reduction 25%</t>
  </si>
  <si>
    <t>Oven time time Reduction 50%</t>
  </si>
  <si>
    <t>Oven time time Reduction 75%</t>
  </si>
  <si>
    <t>Chip Cleaning Solvent 1</t>
  </si>
  <si>
    <t>Chip Cleaning Solvent 2</t>
  </si>
  <si>
    <t>Chip Cleaning Solvent 3</t>
  </si>
  <si>
    <t>Chip Cleaning Solvent 4</t>
  </si>
  <si>
    <t>Chip Cleaning Solvent 5</t>
  </si>
  <si>
    <t>Chip Cleaning Solvent 6</t>
  </si>
  <si>
    <t>Chip Cleaning Solvent 7</t>
  </si>
  <si>
    <t>Auto Visual Inspection</t>
  </si>
  <si>
    <t>Visual Inspection</t>
  </si>
  <si>
    <t>Sampling Size Reduction</t>
  </si>
  <si>
    <t>Wet Etching</t>
  </si>
  <si>
    <t>Au etching increase Frequency usage</t>
  </si>
  <si>
    <t>TiW etching increase Frequency usage</t>
  </si>
  <si>
    <t>Pt etching increase Frequency usage</t>
  </si>
  <si>
    <t>XCI</t>
  </si>
  <si>
    <t>Aut Visual 2</t>
  </si>
  <si>
    <t>New Etching Chemical Potassium Iodide</t>
  </si>
  <si>
    <t>New Etching Chemical Hydroflauric Acid</t>
  </si>
  <si>
    <t>New Etching Chemical Iodine</t>
  </si>
  <si>
    <t>New Etching Chemical H2O2</t>
  </si>
  <si>
    <t>New Etching Chemical Nitric Acid</t>
  </si>
  <si>
    <t>New Etching Chemical Diammonium Cerium</t>
  </si>
  <si>
    <t>New Etching Chemical Agua Regia</t>
  </si>
  <si>
    <t>Auto Visual 3</t>
  </si>
  <si>
    <t>Au Eching Time Reduction</t>
  </si>
  <si>
    <t>TiW Eching Time Reduction</t>
  </si>
  <si>
    <t>NiCr Eching Time Reduction</t>
  </si>
  <si>
    <t>Ti Eching Time Reduction</t>
  </si>
  <si>
    <t>Pt Eching Time Reduction</t>
  </si>
  <si>
    <t>Plasma Etching Au</t>
  </si>
  <si>
    <t>Plasma Dry Etching TiW</t>
  </si>
  <si>
    <t>Plasma Dry Etching Pt</t>
  </si>
  <si>
    <t>Plasma Dry Etching TaN</t>
  </si>
  <si>
    <t>Plasma Dry Etching Au</t>
  </si>
  <si>
    <t>Pt Target Thickness Reduction</t>
  </si>
  <si>
    <t>NiCr Target Thickness Reduction</t>
  </si>
  <si>
    <t>Diamond Blade 10%</t>
  </si>
  <si>
    <t>Sputtering time Reduction</t>
  </si>
  <si>
    <t>Tape Dicing 4</t>
  </si>
  <si>
    <t>Tape Dicing 5</t>
  </si>
  <si>
    <t>Tape Dicing 6</t>
  </si>
  <si>
    <t>Ti Target Thickness Reduction</t>
  </si>
  <si>
    <t>TiW Target Thickness Reduction</t>
  </si>
  <si>
    <t>Tape Dicing 7</t>
  </si>
  <si>
    <t>Auto Visual Adjustment</t>
  </si>
  <si>
    <t>AME25-096</t>
  </si>
  <si>
    <t>Dicing Speed increase</t>
  </si>
  <si>
    <t>Process Line</t>
  </si>
  <si>
    <t>Annual Cost 
Saving</t>
  </si>
  <si>
    <t>Savings</t>
  </si>
  <si>
    <t xml:space="preserve">          Project Cost Saving Dashboard: Semicon Company XYZ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</si>
</sst>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4" formatCode="_-&quot;₱&quot;* #,##0.00_-;\-&quot;₱&quot;* #,##0.00_-;_-&quot;₱&quot;* &quot;-&quot;??_-;_-@_-"/>
    <numFmt numFmtId="164" formatCode="mmm"/>
    <numFmt numFmtId="165" formatCode="_-[$$-409]* #,##0.00_ ;_-[$$-409]* \-#,##0.00\ ;_-[$$-409]* &quot;-&quot;??_ ;_-@_ "/>
    <numFmt numFmtId="166" formatCode="_-[$$-409]* #,##0.000_ ;_-[$$-409]* \-#,##0.000\ ;_-[$$-409]* &quot;-&quot;??_ ;_-@_ "/>
    <numFmt numFmtId="167" formatCode="_-[$$-409]* #,##0_ ;_-[$$-409]* \-#,##0\ ;_-[$$-409]* &quot;-&quot;??_ ;_-@_ "/>
    <numFmt numFmtId="175" formatCode="\$\ #,##0.00,,&quot;M&quot;"/>
  </numFmts>
  <fonts count="14" x14ac:knownFonts="1">
    <font>
      <sz val="11"/>
      <color theme="1"/>
      <name val="Calibri"/>
      <family val="2"/>
      <scheme val="minor"/>
    </font>
    <font>
      <sz val="11"/>
      <color theme="1"/>
      <name val="Calibri"/>
      <family val="2"/>
      <scheme val="minor"/>
    </font>
    <font>
      <sz val="11"/>
      <color rgb="FF9C0006"/>
      <name val="Calibri"/>
      <family val="2"/>
      <scheme val="minor"/>
    </font>
    <font>
      <b/>
      <sz val="11"/>
      <color theme="1"/>
      <name val="Calibri"/>
      <family val="2"/>
      <scheme val="minor"/>
    </font>
    <font>
      <sz val="11"/>
      <color rgb="FF006100"/>
      <name val="Calibri"/>
      <family val="2"/>
      <scheme val="minor"/>
    </font>
    <font>
      <b/>
      <sz val="11"/>
      <color theme="0"/>
      <name val="Calibri"/>
      <family val="2"/>
      <scheme val="minor"/>
    </font>
    <font>
      <b/>
      <sz val="16"/>
      <color theme="0"/>
      <name val="Calibri"/>
      <family val="2"/>
      <scheme val="minor"/>
    </font>
    <font>
      <b/>
      <sz val="11"/>
      <color theme="0" tint="-0.499984740745262"/>
      <name val="Calibri"/>
      <family val="2"/>
      <scheme val="minor"/>
    </font>
    <font>
      <b/>
      <sz val="14"/>
      <color theme="1"/>
      <name val="Calibri"/>
      <family val="2"/>
      <scheme val="minor"/>
    </font>
    <font>
      <b/>
      <sz val="18"/>
      <color theme="0"/>
      <name val="Georgia"/>
      <family val="1"/>
    </font>
    <font>
      <sz val="11"/>
      <color theme="0" tint="-0.499984740745262"/>
      <name val="Calibri"/>
      <family val="2"/>
      <scheme val="minor"/>
    </font>
    <font>
      <b/>
      <sz val="9"/>
      <color indexed="81"/>
      <name val="Tahoma"/>
      <family val="2"/>
    </font>
    <font>
      <sz val="9"/>
      <color indexed="81"/>
      <name val="Tahoma"/>
      <family val="2"/>
    </font>
    <font>
      <sz val="10"/>
      <color theme="1"/>
      <name val="Calibri"/>
      <family val="2"/>
      <scheme val="minor"/>
    </font>
  </fonts>
  <fills count="13">
    <fill>
      <patternFill patternType="none"/>
    </fill>
    <fill>
      <patternFill patternType="gray125"/>
    </fill>
    <fill>
      <patternFill patternType="solid">
        <fgColor rgb="FFFFC7CE"/>
      </patternFill>
    </fill>
    <fill>
      <patternFill patternType="solid">
        <fgColor rgb="FFFFFF00"/>
        <bgColor indexed="64"/>
      </patternFill>
    </fill>
    <fill>
      <patternFill patternType="solid">
        <fgColor theme="0" tint="-4.9989318521683403E-2"/>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rgb="FFC6EFCE"/>
      </patternFill>
    </fill>
    <fill>
      <patternFill patternType="solid">
        <fgColor rgb="FF002060"/>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rgb="FF00B050"/>
        <bgColor indexed="64"/>
      </patternFill>
    </fill>
  </fills>
  <borders count="57">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thin">
        <color rgb="FF002060"/>
      </left>
      <right style="thin">
        <color rgb="FF002060"/>
      </right>
      <top style="thin">
        <color rgb="FF002060"/>
      </top>
      <bottom style="thin">
        <color rgb="FF002060"/>
      </bottom>
      <diagonal/>
    </border>
    <border>
      <left style="thin">
        <color rgb="FF002060"/>
      </left>
      <right style="thin">
        <color rgb="FF002060"/>
      </right>
      <top style="thin">
        <color rgb="FF002060"/>
      </top>
      <bottom style="double">
        <color rgb="FF002060"/>
      </bottom>
      <diagonal/>
    </border>
    <border>
      <left style="thin">
        <color rgb="FF002060"/>
      </left>
      <right style="thin">
        <color rgb="FF002060"/>
      </right>
      <top/>
      <bottom style="thin">
        <color rgb="FF002060"/>
      </bottom>
      <diagonal/>
    </border>
    <border>
      <left style="medium">
        <color rgb="FF002060"/>
      </left>
      <right/>
      <top style="medium">
        <color rgb="FF002060"/>
      </top>
      <bottom/>
      <diagonal/>
    </border>
    <border>
      <left/>
      <right/>
      <top style="medium">
        <color rgb="FF002060"/>
      </top>
      <bottom/>
      <diagonal/>
    </border>
    <border>
      <left/>
      <right style="medium">
        <color rgb="FF002060"/>
      </right>
      <top style="medium">
        <color rgb="FF002060"/>
      </top>
      <bottom/>
      <diagonal/>
    </border>
    <border>
      <left style="medium">
        <color rgb="FF002060"/>
      </left>
      <right/>
      <top/>
      <bottom/>
      <diagonal/>
    </border>
    <border>
      <left/>
      <right style="medium">
        <color rgb="FF002060"/>
      </right>
      <top/>
      <bottom/>
      <diagonal/>
    </border>
    <border>
      <left style="medium">
        <color rgb="FF002060"/>
      </left>
      <right/>
      <top/>
      <bottom style="medium">
        <color rgb="FF002060"/>
      </bottom>
      <diagonal/>
    </border>
    <border>
      <left/>
      <right/>
      <top/>
      <bottom style="medium">
        <color rgb="FF002060"/>
      </bottom>
      <diagonal/>
    </border>
    <border>
      <left/>
      <right style="medium">
        <color rgb="FF002060"/>
      </right>
      <top/>
      <bottom style="medium">
        <color rgb="FF002060"/>
      </bottom>
      <diagonal/>
    </border>
    <border>
      <left style="thin">
        <color indexed="64"/>
      </left>
      <right style="thin">
        <color indexed="64"/>
      </right>
      <top style="thin">
        <color rgb="FF002060"/>
      </top>
      <bottom style="thin">
        <color indexed="64"/>
      </bottom>
      <diagonal/>
    </border>
    <border>
      <left style="thin">
        <color indexed="64"/>
      </left>
      <right style="thin">
        <color rgb="FF002060"/>
      </right>
      <top style="thin">
        <color rgb="FF002060"/>
      </top>
      <bottom style="thin">
        <color indexed="64"/>
      </bottom>
      <diagonal/>
    </border>
    <border>
      <left/>
      <right style="thin">
        <color indexed="64"/>
      </right>
      <top style="thin">
        <color rgb="FF002060"/>
      </top>
      <bottom style="thin">
        <color indexed="64"/>
      </bottom>
      <diagonal/>
    </border>
    <border>
      <left style="thin">
        <color indexed="64"/>
      </left>
      <right style="thin">
        <color rgb="FF002060"/>
      </right>
      <top style="thin">
        <color indexed="64"/>
      </top>
      <bottom style="double">
        <color rgb="FF002060"/>
      </bottom>
      <diagonal/>
    </border>
    <border>
      <left style="thin">
        <color indexed="64"/>
      </left>
      <right style="thin">
        <color indexed="64"/>
      </right>
      <top style="thin">
        <color indexed="64"/>
      </top>
      <bottom style="double">
        <color rgb="FF002060"/>
      </bottom>
      <diagonal/>
    </border>
    <border>
      <left/>
      <right style="thin">
        <color indexed="64"/>
      </right>
      <top style="thin">
        <color indexed="64"/>
      </top>
      <bottom style="double">
        <color rgb="FF002060"/>
      </bottom>
      <diagonal/>
    </border>
    <border>
      <left style="thin">
        <color indexed="64"/>
      </left>
      <right style="thin">
        <color indexed="64"/>
      </right>
      <top/>
      <bottom/>
      <diagonal/>
    </border>
    <border>
      <left style="thin">
        <color theme="0" tint="-0.24994659260841701"/>
      </left>
      <right style="thin">
        <color theme="0" tint="-0.24994659260841701"/>
      </right>
      <top style="thin">
        <color theme="0" tint="-0.24994659260841701"/>
      </top>
      <bottom/>
      <diagonal/>
    </border>
    <border>
      <left style="thin">
        <color rgb="FF002060"/>
      </left>
      <right/>
      <top style="thin">
        <color rgb="FF002060"/>
      </top>
      <bottom/>
      <diagonal/>
    </border>
    <border>
      <left/>
      <right style="thin">
        <color rgb="FF002060"/>
      </right>
      <top style="thin">
        <color rgb="FF002060"/>
      </top>
      <bottom/>
      <diagonal/>
    </border>
    <border>
      <left style="thin">
        <color rgb="FF002060"/>
      </left>
      <right/>
      <top/>
      <bottom/>
      <diagonal/>
    </border>
    <border>
      <left/>
      <right style="thin">
        <color rgb="FF002060"/>
      </right>
      <top/>
      <bottom/>
      <diagonal/>
    </border>
    <border>
      <left style="thin">
        <color rgb="FF002060"/>
      </left>
      <right/>
      <top/>
      <bottom style="thin">
        <color rgb="FF002060"/>
      </bottom>
      <diagonal/>
    </border>
    <border>
      <left/>
      <right style="thin">
        <color rgb="FF002060"/>
      </right>
      <top/>
      <bottom style="thin">
        <color rgb="FF002060"/>
      </bottom>
      <diagonal/>
    </border>
    <border>
      <left style="thin">
        <color rgb="FF002060"/>
      </left>
      <right style="thin">
        <color rgb="FF002060"/>
      </right>
      <top/>
      <bottom style="hair">
        <color rgb="FF002060"/>
      </bottom>
      <diagonal/>
    </border>
    <border>
      <left style="thin">
        <color rgb="FF002060"/>
      </left>
      <right/>
      <top style="double">
        <color rgb="FF002060"/>
      </top>
      <bottom style="hair">
        <color rgb="FF002060"/>
      </bottom>
      <diagonal/>
    </border>
    <border>
      <left/>
      <right/>
      <top style="double">
        <color rgb="FF002060"/>
      </top>
      <bottom style="hair">
        <color rgb="FF002060"/>
      </bottom>
      <diagonal/>
    </border>
    <border>
      <left/>
      <right style="thin">
        <color rgb="FF002060"/>
      </right>
      <top style="double">
        <color rgb="FF002060"/>
      </top>
      <bottom style="hair">
        <color rgb="FF002060"/>
      </bottom>
      <diagonal/>
    </border>
    <border>
      <left style="thin">
        <color rgb="FF002060"/>
      </left>
      <right style="thin">
        <color rgb="FF002060"/>
      </right>
      <top style="double">
        <color rgb="FF002060"/>
      </top>
      <bottom style="hair">
        <color rgb="FF002060"/>
      </bottom>
      <diagonal/>
    </border>
    <border>
      <left style="thin">
        <color rgb="FF002060"/>
      </left>
      <right style="thin">
        <color rgb="FF002060"/>
      </right>
      <top style="hair">
        <color rgb="FF002060"/>
      </top>
      <bottom style="hair">
        <color rgb="FF002060"/>
      </bottom>
      <diagonal/>
    </border>
    <border>
      <left style="thin">
        <color rgb="FF002060"/>
      </left>
      <right/>
      <top style="hair">
        <color rgb="FF002060"/>
      </top>
      <bottom style="hair">
        <color rgb="FF002060"/>
      </bottom>
      <diagonal/>
    </border>
    <border>
      <left/>
      <right/>
      <top style="hair">
        <color rgb="FF002060"/>
      </top>
      <bottom style="hair">
        <color rgb="FF002060"/>
      </bottom>
      <diagonal/>
    </border>
    <border>
      <left/>
      <right style="thin">
        <color rgb="FF002060"/>
      </right>
      <top style="hair">
        <color rgb="FF002060"/>
      </top>
      <bottom style="hair">
        <color rgb="FF002060"/>
      </bottom>
      <diagonal/>
    </border>
    <border>
      <left style="thin">
        <color rgb="FF002060"/>
      </left>
      <right style="thin">
        <color rgb="FF002060"/>
      </right>
      <top style="hair">
        <color rgb="FF002060"/>
      </top>
      <bottom style="thin">
        <color rgb="FF002060"/>
      </bottom>
      <diagonal/>
    </border>
    <border>
      <left style="thin">
        <color rgb="FF002060"/>
      </left>
      <right/>
      <top style="hair">
        <color rgb="FF002060"/>
      </top>
      <bottom style="thin">
        <color rgb="FF002060"/>
      </bottom>
      <diagonal/>
    </border>
    <border>
      <left/>
      <right/>
      <top style="hair">
        <color rgb="FF002060"/>
      </top>
      <bottom style="thin">
        <color rgb="FF002060"/>
      </bottom>
      <diagonal/>
    </border>
    <border>
      <left/>
      <right style="thin">
        <color rgb="FF002060"/>
      </right>
      <top style="hair">
        <color rgb="FF002060"/>
      </top>
      <bottom style="thin">
        <color rgb="FF002060"/>
      </bottom>
      <diagonal/>
    </border>
    <border>
      <left style="thin">
        <color rgb="FF002060"/>
      </left>
      <right style="thin">
        <color rgb="FF002060"/>
      </right>
      <top style="thin">
        <color rgb="FF002060"/>
      </top>
      <bottom style="hair">
        <color rgb="FF002060"/>
      </bottom>
      <diagonal/>
    </border>
    <border>
      <left style="thin">
        <color rgb="FF002060"/>
      </left>
      <right/>
      <top style="thin">
        <color rgb="FF002060"/>
      </top>
      <bottom style="hair">
        <color rgb="FF002060"/>
      </bottom>
      <diagonal/>
    </border>
    <border>
      <left/>
      <right/>
      <top style="thin">
        <color rgb="FF002060"/>
      </top>
      <bottom style="hair">
        <color rgb="FF002060"/>
      </bottom>
      <diagonal/>
    </border>
    <border>
      <left/>
      <right style="thin">
        <color rgb="FF002060"/>
      </right>
      <top style="thin">
        <color rgb="FF002060"/>
      </top>
      <bottom style="hair">
        <color rgb="FF002060"/>
      </bottom>
      <diagonal/>
    </border>
    <border>
      <left style="thin">
        <color rgb="FF002060"/>
      </left>
      <right style="thin">
        <color rgb="FF002060"/>
      </right>
      <top style="double">
        <color rgb="FF002060"/>
      </top>
      <bottom/>
      <diagonal/>
    </border>
    <border>
      <left style="thin">
        <color rgb="FF002060"/>
      </left>
      <right style="thin">
        <color rgb="FF002060"/>
      </right>
      <top/>
      <bottom/>
      <diagonal/>
    </border>
  </borders>
  <cellStyleXfs count="5">
    <xf numFmtId="0" fontId="0" fillId="0" borderId="0"/>
    <xf numFmtId="9" fontId="1" fillId="0" borderId="0" applyFont="0" applyFill="0" applyBorder="0" applyAlignment="0" applyProtection="0"/>
    <xf numFmtId="0" fontId="2" fillId="2" borderId="0" applyNumberFormat="0" applyBorder="0" applyAlignment="0" applyProtection="0"/>
    <xf numFmtId="44" fontId="1" fillId="0" borderId="0" applyFont="0" applyFill="0" applyBorder="0" applyAlignment="0" applyProtection="0"/>
    <xf numFmtId="0" fontId="4" fillId="7" borderId="0" applyNumberFormat="0" applyBorder="0" applyAlignment="0" applyProtection="0"/>
  </cellStyleXfs>
  <cellXfs count="175">
    <xf numFmtId="0" fontId="0" fillId="0" borderId="0" xfId="0"/>
    <xf numFmtId="0" fontId="0" fillId="0" borderId="0" xfId="0" applyAlignment="1">
      <alignment horizontal="center"/>
    </xf>
    <xf numFmtId="0" fontId="0" fillId="0" borderId="0" xfId="0" applyAlignment="1">
      <alignment horizontal="center" vertical="center"/>
    </xf>
    <xf numFmtId="0" fontId="3" fillId="0" borderId="0" xfId="0" applyFont="1" applyAlignment="1">
      <alignment horizontal="center" vertical="center"/>
    </xf>
    <xf numFmtId="164" fontId="3" fillId="0" borderId="0" xfId="0" applyNumberFormat="1" applyFont="1" applyAlignment="1">
      <alignment horizontal="center" vertical="center"/>
    </xf>
    <xf numFmtId="0" fontId="3" fillId="0" borderId="0" xfId="0" applyFont="1" applyAlignment="1">
      <alignment horizontal="center" vertical="center" wrapText="1"/>
    </xf>
    <xf numFmtId="17" fontId="0" fillId="0" borderId="0" xfId="0" applyNumberFormat="1" applyAlignment="1">
      <alignment horizontal="center" vertical="center"/>
    </xf>
    <xf numFmtId="0" fontId="0" fillId="3" borderId="0" xfId="0" applyFill="1"/>
    <xf numFmtId="49" fontId="3" fillId="0" borderId="0" xfId="0" applyNumberFormat="1" applyFont="1" applyAlignment="1">
      <alignment horizontal="center" vertical="center"/>
    </xf>
    <xf numFmtId="49" fontId="0" fillId="0" borderId="0" xfId="0" applyNumberFormat="1" applyAlignment="1">
      <alignment horizontal="center"/>
    </xf>
    <xf numFmtId="165" fontId="0" fillId="0" borderId="0" xfId="0" applyNumberFormat="1"/>
    <xf numFmtId="166" fontId="0" fillId="0" borderId="0" xfId="0" applyNumberFormat="1"/>
    <xf numFmtId="49" fontId="0" fillId="3" borderId="0" xfId="0" applyNumberFormat="1" applyFill="1" applyAlignment="1">
      <alignment horizontal="center"/>
    </xf>
    <xf numFmtId="0" fontId="0" fillId="3" borderId="0" xfId="0" applyFill="1" applyAlignment="1">
      <alignment horizontal="center"/>
    </xf>
    <xf numFmtId="166" fontId="0" fillId="3" borderId="0" xfId="0" applyNumberFormat="1" applyFill="1"/>
    <xf numFmtId="165" fontId="0" fillId="0" borderId="0" xfId="0" applyNumberFormat="1" applyAlignment="1">
      <alignment horizontal="center" vertical="center"/>
    </xf>
    <xf numFmtId="165" fontId="0" fillId="0" borderId="0" xfId="0" applyNumberFormat="1" applyFont="1" applyAlignment="1">
      <alignment horizontal="center" vertical="center"/>
    </xf>
    <xf numFmtId="0" fontId="0" fillId="0" borderId="0" xfId="0" applyFont="1" applyAlignment="1">
      <alignment horizontal="center"/>
    </xf>
    <xf numFmtId="0" fontId="3" fillId="0" borderId="0" xfId="0" applyFont="1" applyAlignment="1">
      <alignment vertical="center" wrapText="1"/>
    </xf>
    <xf numFmtId="3" fontId="0" fillId="0" borderId="0" xfId="0" applyNumberFormat="1" applyFont="1" applyAlignment="1">
      <alignment horizontal="center" vertical="center"/>
    </xf>
    <xf numFmtId="0" fontId="3" fillId="0" borderId="0" xfId="0" applyFont="1" applyAlignment="1">
      <alignment vertical="center"/>
    </xf>
    <xf numFmtId="166" fontId="0" fillId="5" borderId="0" xfId="0" applyNumberFormat="1" applyFill="1"/>
    <xf numFmtId="0" fontId="0" fillId="5" borderId="0" xfId="0" applyFill="1"/>
    <xf numFmtId="49" fontId="0" fillId="5" borderId="0" xfId="0" quotePrefix="1" applyNumberFormat="1" applyFill="1" applyAlignment="1">
      <alignment horizontal="center"/>
    </xf>
    <xf numFmtId="49" fontId="0" fillId="5" borderId="0" xfId="0" applyNumberFormat="1" applyFill="1" applyAlignment="1">
      <alignment horizontal="center"/>
    </xf>
    <xf numFmtId="0" fontId="0" fillId="5" borderId="0" xfId="0" applyFill="1" applyAlignment="1">
      <alignment horizontal="center"/>
    </xf>
    <xf numFmtId="0" fontId="0" fillId="0" borderId="0" xfId="0" pivotButton="1"/>
    <xf numFmtId="0" fontId="0" fillId="0" borderId="0" xfId="0" applyAlignment="1">
      <alignment horizontal="left"/>
    </xf>
    <xf numFmtId="14" fontId="0" fillId="0" borderId="0" xfId="0" applyNumberFormat="1"/>
    <xf numFmtId="167" fontId="0" fillId="0" borderId="0" xfId="0" applyNumberFormat="1"/>
    <xf numFmtId="0" fontId="0" fillId="0" borderId="2" xfId="0" applyBorder="1"/>
    <xf numFmtId="167" fontId="0" fillId="0" borderId="2" xfId="0" applyNumberFormat="1" applyBorder="1"/>
    <xf numFmtId="0" fontId="0" fillId="0" borderId="2" xfId="0" applyBorder="1" applyAlignment="1">
      <alignment horizontal="center"/>
    </xf>
    <xf numFmtId="0" fontId="3" fillId="6" borderId="2" xfId="0" applyFont="1" applyFill="1" applyBorder="1" applyAlignment="1">
      <alignment horizontal="center"/>
    </xf>
    <xf numFmtId="0" fontId="0" fillId="4" borderId="2" xfId="0" applyFill="1" applyBorder="1" applyAlignment="1">
      <alignment horizontal="center"/>
    </xf>
    <xf numFmtId="165" fontId="0" fillId="0" borderId="2" xfId="0" applyNumberFormat="1" applyBorder="1"/>
    <xf numFmtId="0" fontId="3" fillId="0" borderId="0" xfId="0" applyFont="1" applyAlignment="1">
      <alignment horizontal="left" vertical="center" wrapText="1"/>
    </xf>
    <xf numFmtId="3" fontId="0" fillId="0" borderId="0" xfId="0" applyNumberFormat="1"/>
    <xf numFmtId="3" fontId="3" fillId="0" borderId="0" xfId="0" applyNumberFormat="1" applyFont="1" applyAlignment="1">
      <alignment vertical="top"/>
    </xf>
    <xf numFmtId="0" fontId="3" fillId="4" borderId="4" xfId="0" applyFont="1" applyFill="1" applyBorder="1" applyAlignment="1">
      <alignment horizontal="left" vertical="center"/>
    </xf>
    <xf numFmtId="3" fontId="0" fillId="0" borderId="1" xfId="1" applyNumberFormat="1" applyFont="1" applyFill="1" applyBorder="1" applyAlignment="1">
      <alignment horizontal="center"/>
    </xf>
    <xf numFmtId="0" fontId="3" fillId="4" borderId="2" xfId="0" applyFont="1" applyFill="1" applyBorder="1" applyAlignment="1">
      <alignment horizontal="left" vertical="center"/>
    </xf>
    <xf numFmtId="0" fontId="0" fillId="0" borderId="0" xfId="0" applyBorder="1"/>
    <xf numFmtId="167" fontId="0" fillId="0" borderId="13" xfId="3" applyNumberFormat="1" applyFont="1" applyBorder="1" applyAlignment="1">
      <alignment horizontal="center" vertical="center"/>
    </xf>
    <xf numFmtId="167" fontId="0" fillId="0" borderId="15" xfId="3" applyNumberFormat="1" applyFont="1" applyBorder="1" applyAlignment="1">
      <alignment horizontal="center" vertical="center"/>
    </xf>
    <xf numFmtId="0" fontId="3" fillId="11" borderId="14" xfId="0" applyFont="1" applyFill="1" applyBorder="1" applyAlignment="1">
      <alignment horizontal="center" vertical="center"/>
    </xf>
    <xf numFmtId="0" fontId="0" fillId="9" borderId="0" xfId="0" applyFill="1"/>
    <xf numFmtId="0" fontId="0" fillId="5" borderId="0" xfId="0" applyFill="1" applyBorder="1"/>
    <xf numFmtId="0" fontId="5" fillId="12" borderId="14" xfId="4" applyFont="1" applyFill="1" applyBorder="1" applyAlignment="1">
      <alignment horizontal="center" vertical="center"/>
    </xf>
    <xf numFmtId="0" fontId="7" fillId="10" borderId="2" xfId="0" applyFont="1" applyFill="1" applyBorder="1" applyAlignment="1">
      <alignment horizontal="center"/>
    </xf>
    <xf numFmtId="0" fontId="10" fillId="10" borderId="2" xfId="0" applyFont="1" applyFill="1" applyBorder="1"/>
    <xf numFmtId="165" fontId="10" fillId="10" borderId="2" xfId="0" applyNumberFormat="1" applyFont="1" applyFill="1" applyBorder="1"/>
    <xf numFmtId="0" fontId="0" fillId="11" borderId="0" xfId="0" applyFill="1"/>
    <xf numFmtId="0" fontId="3" fillId="0" borderId="2" xfId="0" applyFont="1" applyBorder="1" applyAlignment="1">
      <alignment horizontal="center" vertical="center"/>
    </xf>
    <xf numFmtId="0" fontId="3" fillId="0" borderId="2" xfId="0" applyFont="1" applyBorder="1" applyAlignment="1">
      <alignment vertical="center"/>
    </xf>
    <xf numFmtId="17" fontId="0" fillId="0" borderId="2" xfId="0" applyNumberFormat="1" applyBorder="1" applyAlignment="1">
      <alignment horizontal="center" vertical="center"/>
    </xf>
    <xf numFmtId="0" fontId="3" fillId="0" borderId="4" xfId="0" applyFont="1" applyBorder="1" applyAlignment="1">
      <alignment horizontal="center" vertical="center"/>
    </xf>
    <xf numFmtId="17" fontId="2" fillId="2" borderId="2" xfId="2" applyNumberFormat="1" applyBorder="1" applyAlignment="1">
      <alignment horizontal="center" vertical="center"/>
    </xf>
    <xf numFmtId="0" fontId="2" fillId="2" borderId="2" xfId="2" applyBorder="1"/>
    <xf numFmtId="17" fontId="0" fillId="3" borderId="0" xfId="0" applyNumberFormat="1" applyFill="1" applyAlignment="1">
      <alignment horizontal="center" vertical="center"/>
    </xf>
    <xf numFmtId="3" fontId="0" fillId="3" borderId="1" xfId="1" applyNumberFormat="1" applyFont="1" applyFill="1" applyBorder="1" applyAlignment="1">
      <alignment horizontal="center"/>
    </xf>
    <xf numFmtId="3" fontId="0" fillId="3" borderId="0" xfId="0" applyNumberFormat="1" applyFill="1"/>
    <xf numFmtId="165" fontId="0" fillId="3" borderId="0" xfId="0" applyNumberFormat="1" applyFill="1" applyAlignment="1">
      <alignment horizontal="center" vertical="center"/>
    </xf>
    <xf numFmtId="165" fontId="0" fillId="3" borderId="0" xfId="0" applyNumberFormat="1" applyFill="1"/>
    <xf numFmtId="3" fontId="0" fillId="3" borderId="0" xfId="0" applyNumberFormat="1" applyFont="1" applyFill="1" applyAlignment="1">
      <alignment horizontal="center" vertical="center"/>
    </xf>
    <xf numFmtId="3" fontId="3" fillId="3" borderId="0" xfId="0" applyNumberFormat="1" applyFont="1" applyFill="1" applyAlignment="1">
      <alignment vertical="top"/>
    </xf>
    <xf numFmtId="165" fontId="0" fillId="3" borderId="0" xfId="0" applyNumberFormat="1" applyFont="1" applyFill="1" applyAlignment="1">
      <alignment horizontal="center" vertical="center"/>
    </xf>
    <xf numFmtId="165" fontId="2" fillId="2" borderId="0" xfId="2" applyNumberFormat="1"/>
    <xf numFmtId="0" fontId="3" fillId="0" borderId="30" xfId="0" applyFont="1" applyFill="1" applyBorder="1" applyAlignment="1">
      <alignment horizontal="center" vertical="center"/>
    </xf>
    <xf numFmtId="14" fontId="0" fillId="0" borderId="2" xfId="0" applyNumberFormat="1" applyBorder="1"/>
    <xf numFmtId="17" fontId="0" fillId="0" borderId="2" xfId="0" applyNumberFormat="1" applyFill="1" applyBorder="1" applyAlignment="1">
      <alignment horizontal="center" vertical="center"/>
    </xf>
    <xf numFmtId="0" fontId="0" fillId="0" borderId="0" xfId="0" applyAlignment="1">
      <alignment horizontal="center"/>
    </xf>
    <xf numFmtId="9" fontId="0" fillId="0" borderId="0" xfId="0" applyNumberFormat="1"/>
    <xf numFmtId="9" fontId="0" fillId="5" borderId="0" xfId="0" applyNumberFormat="1" applyFill="1"/>
    <xf numFmtId="0" fontId="3" fillId="0" borderId="30" xfId="0" applyFont="1" applyFill="1" applyBorder="1" applyAlignment="1">
      <alignment horizontal="center" vertical="center" wrapText="1"/>
    </xf>
    <xf numFmtId="49" fontId="0" fillId="5" borderId="0" xfId="0" applyNumberFormat="1" applyFill="1" applyBorder="1" applyAlignment="1">
      <alignment horizontal="center"/>
    </xf>
    <xf numFmtId="0" fontId="0" fillId="5" borderId="0" xfId="0" applyFill="1" applyBorder="1" applyAlignment="1">
      <alignment horizontal="center"/>
    </xf>
    <xf numFmtId="17" fontId="0" fillId="0" borderId="0" xfId="0" applyNumberFormat="1" applyBorder="1" applyAlignment="1">
      <alignment horizontal="center" vertical="center"/>
    </xf>
    <xf numFmtId="166" fontId="0" fillId="5" borderId="0" xfId="0" applyNumberFormat="1" applyFill="1" applyBorder="1"/>
    <xf numFmtId="166" fontId="0" fillId="0" borderId="0" xfId="0" applyNumberFormat="1" applyBorder="1"/>
    <xf numFmtId="3" fontId="0" fillId="0" borderId="31" xfId="1" applyNumberFormat="1" applyFont="1" applyFill="1" applyBorder="1" applyAlignment="1">
      <alignment horizontal="center"/>
    </xf>
    <xf numFmtId="3" fontId="0" fillId="0" borderId="0" xfId="0" applyNumberFormat="1" applyBorder="1"/>
    <xf numFmtId="165" fontId="0" fillId="0" borderId="0" xfId="0" applyNumberFormat="1" applyBorder="1" applyAlignment="1">
      <alignment horizontal="center" vertical="center"/>
    </xf>
    <xf numFmtId="165" fontId="0" fillId="0" borderId="0" xfId="0" applyNumberFormat="1" applyBorder="1"/>
    <xf numFmtId="3" fontId="0" fillId="0" borderId="0" xfId="0" applyNumberFormat="1" applyFont="1" applyBorder="1" applyAlignment="1">
      <alignment horizontal="center" vertical="center"/>
    </xf>
    <xf numFmtId="165" fontId="0" fillId="0" borderId="0" xfId="0" applyNumberFormat="1" applyFont="1" applyBorder="1" applyAlignment="1">
      <alignment horizontal="center" vertical="center"/>
    </xf>
    <xf numFmtId="0" fontId="0" fillId="5" borderId="0" xfId="0" applyFill="1" applyAlignment="1">
      <alignment horizontal="center"/>
    </xf>
    <xf numFmtId="0" fontId="0" fillId="0" borderId="19" xfId="0" applyFill="1" applyBorder="1"/>
    <xf numFmtId="0" fontId="0" fillId="0" borderId="0" xfId="0" applyFill="1" applyBorder="1"/>
    <xf numFmtId="0" fontId="0" fillId="0" borderId="20" xfId="0" applyFill="1" applyBorder="1"/>
    <xf numFmtId="0" fontId="0" fillId="0" borderId="21" xfId="0" applyFill="1" applyBorder="1"/>
    <xf numFmtId="0" fontId="0" fillId="0" borderId="22" xfId="0" applyFill="1" applyBorder="1"/>
    <xf numFmtId="0" fontId="0" fillId="0" borderId="23" xfId="0" applyFill="1" applyBorder="1"/>
    <xf numFmtId="0" fontId="0" fillId="0" borderId="0" xfId="0" applyFill="1"/>
    <xf numFmtId="17" fontId="0" fillId="0" borderId="0" xfId="0" applyNumberFormat="1" applyFill="1" applyAlignment="1">
      <alignment horizontal="center" vertical="center"/>
    </xf>
    <xf numFmtId="166" fontId="0" fillId="0" borderId="0" xfId="0" applyNumberFormat="1" applyFill="1"/>
    <xf numFmtId="3" fontId="0" fillId="0" borderId="0" xfId="0" applyNumberFormat="1" applyFill="1"/>
    <xf numFmtId="165" fontId="0" fillId="0" borderId="0" xfId="0" applyNumberFormat="1" applyFill="1" applyAlignment="1">
      <alignment horizontal="center" vertical="center"/>
    </xf>
    <xf numFmtId="165" fontId="0" fillId="0" borderId="0" xfId="0" applyNumberFormat="1" applyFill="1"/>
    <xf numFmtId="3" fontId="0" fillId="0" borderId="0" xfId="0" applyNumberFormat="1" applyFont="1" applyFill="1" applyAlignment="1">
      <alignment horizontal="center" vertical="center"/>
    </xf>
    <xf numFmtId="3" fontId="3" fillId="0" borderId="0" xfId="0" applyNumberFormat="1" applyFont="1" applyFill="1" applyAlignment="1">
      <alignment vertical="top"/>
    </xf>
    <xf numFmtId="165" fontId="0" fillId="0" borderId="0" xfId="0" applyNumberFormat="1" applyFont="1" applyFill="1" applyAlignment="1">
      <alignment horizontal="center" vertical="center"/>
    </xf>
    <xf numFmtId="17" fontId="0" fillId="0" borderId="0" xfId="0" applyNumberFormat="1" applyFill="1" applyBorder="1" applyAlignment="1">
      <alignment horizontal="center" vertical="center"/>
    </xf>
    <xf numFmtId="166" fontId="0" fillId="0" borderId="0" xfId="0" applyNumberFormat="1" applyFill="1" applyBorder="1"/>
    <xf numFmtId="3" fontId="0" fillId="0" borderId="0" xfId="0" applyNumberFormat="1" applyFill="1" applyBorder="1"/>
    <xf numFmtId="165" fontId="0" fillId="0" borderId="0" xfId="0" applyNumberFormat="1" applyFill="1" applyBorder="1" applyAlignment="1">
      <alignment horizontal="center" vertical="center"/>
    </xf>
    <xf numFmtId="165" fontId="0" fillId="0" borderId="0" xfId="0" applyNumberFormat="1" applyFill="1" applyBorder="1"/>
    <xf numFmtId="3" fontId="0" fillId="0" borderId="0" xfId="0" applyNumberFormat="1" applyFont="1" applyFill="1" applyBorder="1" applyAlignment="1">
      <alignment horizontal="center" vertical="center"/>
    </xf>
    <xf numFmtId="165" fontId="0" fillId="0" borderId="0" xfId="0" applyNumberFormat="1" applyFont="1" applyFill="1" applyBorder="1" applyAlignment="1">
      <alignment horizontal="center" vertical="center"/>
    </xf>
    <xf numFmtId="0" fontId="3" fillId="0" borderId="0" xfId="0" applyFont="1" applyAlignment="1">
      <alignment horizontal="center"/>
    </xf>
    <xf numFmtId="0" fontId="9" fillId="8" borderId="16" xfId="0" applyFont="1" applyFill="1" applyBorder="1" applyAlignment="1">
      <alignment horizontal="left" vertical="center"/>
    </xf>
    <xf numFmtId="0" fontId="9" fillId="8" borderId="17" xfId="0" applyFont="1" applyFill="1" applyBorder="1" applyAlignment="1">
      <alignment horizontal="left" vertical="center"/>
    </xf>
    <xf numFmtId="0" fontId="9" fillId="8" borderId="18" xfId="0" applyFont="1" applyFill="1" applyBorder="1" applyAlignment="1">
      <alignment horizontal="left" vertical="center"/>
    </xf>
    <xf numFmtId="0" fontId="3" fillId="11" borderId="24" xfId="0" applyFont="1" applyFill="1" applyBorder="1" applyAlignment="1">
      <alignment horizontal="center" vertical="center"/>
    </xf>
    <xf numFmtId="0" fontId="3" fillId="11" borderId="25" xfId="0" applyFont="1" applyFill="1" applyBorder="1" applyAlignment="1">
      <alignment horizontal="center" vertical="center"/>
    </xf>
    <xf numFmtId="0" fontId="3" fillId="11" borderId="28" xfId="0" applyFont="1" applyFill="1" applyBorder="1" applyAlignment="1">
      <alignment horizontal="center" vertical="center"/>
    </xf>
    <xf numFmtId="0" fontId="3" fillId="11" borderId="27" xfId="0" applyFont="1" applyFill="1" applyBorder="1" applyAlignment="1">
      <alignment horizontal="center" vertical="center"/>
    </xf>
    <xf numFmtId="0" fontId="3" fillId="11" borderId="26" xfId="0" applyFont="1" applyFill="1" applyBorder="1" applyAlignment="1">
      <alignment horizontal="center" vertical="center"/>
    </xf>
    <xf numFmtId="0" fontId="3" fillId="11" borderId="29" xfId="0" applyFont="1" applyFill="1" applyBorder="1" applyAlignment="1">
      <alignment horizontal="center" vertical="center"/>
    </xf>
    <xf numFmtId="0" fontId="6" fillId="8" borderId="5" xfId="0" applyFont="1" applyFill="1" applyBorder="1" applyAlignment="1">
      <alignment horizontal="left" vertical="center"/>
    </xf>
    <xf numFmtId="0" fontId="6" fillId="8" borderId="6" xfId="0" applyFont="1" applyFill="1" applyBorder="1" applyAlignment="1">
      <alignment horizontal="left" vertical="center"/>
    </xf>
    <xf numFmtId="0" fontId="6" fillId="8" borderId="7" xfId="0" applyFont="1" applyFill="1" applyBorder="1" applyAlignment="1">
      <alignment horizontal="left" vertical="center"/>
    </xf>
    <xf numFmtId="0" fontId="6" fillId="8" borderId="8" xfId="0" applyFont="1" applyFill="1" applyBorder="1" applyAlignment="1">
      <alignment horizontal="left" vertical="center"/>
    </xf>
    <xf numFmtId="0" fontId="6" fillId="8" borderId="9" xfId="0" applyFont="1" applyFill="1" applyBorder="1" applyAlignment="1">
      <alignment horizontal="left" vertical="center"/>
    </xf>
    <xf numFmtId="0" fontId="6" fillId="8" borderId="10" xfId="0" applyFont="1" applyFill="1" applyBorder="1" applyAlignment="1">
      <alignment horizontal="left" vertical="center"/>
    </xf>
    <xf numFmtId="0" fontId="8" fillId="10" borderId="13" xfId="0" applyFont="1" applyFill="1" applyBorder="1" applyAlignment="1">
      <alignment horizontal="center" vertical="center"/>
    </xf>
    <xf numFmtId="0" fontId="8" fillId="10" borderId="14" xfId="0" applyFont="1" applyFill="1" applyBorder="1" applyAlignment="1">
      <alignment horizontal="center" vertical="center"/>
    </xf>
    <xf numFmtId="0" fontId="3" fillId="11" borderId="13" xfId="0" applyFont="1" applyFill="1" applyBorder="1" applyAlignment="1">
      <alignment horizontal="center" vertical="center"/>
    </xf>
    <xf numFmtId="0" fontId="5" fillId="12" borderId="13" xfId="4" applyFont="1" applyFill="1" applyBorder="1" applyAlignment="1">
      <alignment horizontal="center" vertical="center"/>
    </xf>
    <xf numFmtId="0" fontId="0" fillId="0" borderId="3" xfId="0" applyBorder="1" applyAlignment="1">
      <alignment horizontal="center"/>
    </xf>
    <xf numFmtId="167" fontId="3" fillId="6" borderId="2" xfId="0" applyNumberFormat="1" applyFont="1" applyFill="1" applyBorder="1" applyAlignment="1">
      <alignment horizontal="center"/>
    </xf>
    <xf numFmtId="167" fontId="0" fillId="0" borderId="3" xfId="0" applyNumberFormat="1" applyBorder="1" applyAlignment="1">
      <alignment horizontal="center"/>
    </xf>
    <xf numFmtId="3" fontId="0" fillId="0" borderId="0" xfId="0" applyNumberFormat="1" applyFill="1" applyAlignment="1">
      <alignment horizontal="center" vertical="center"/>
    </xf>
    <xf numFmtId="3" fontId="3" fillId="0" borderId="0" xfId="0" applyNumberFormat="1" applyFont="1" applyFill="1" applyAlignment="1">
      <alignment horizontal="center" vertical="center"/>
    </xf>
    <xf numFmtId="49" fontId="3" fillId="0" borderId="0" xfId="0" applyNumberFormat="1" applyFont="1" applyFill="1" applyAlignment="1">
      <alignment horizontal="center"/>
    </xf>
    <xf numFmtId="49" fontId="0" fillId="0" borderId="0" xfId="0" applyNumberFormat="1" applyFill="1" applyAlignment="1">
      <alignment horizontal="center"/>
    </xf>
    <xf numFmtId="0" fontId="3" fillId="0" borderId="0" xfId="0" applyFont="1"/>
    <xf numFmtId="0" fontId="3" fillId="10" borderId="32" xfId="0" applyFont="1" applyFill="1" applyBorder="1" applyAlignment="1">
      <alignment horizontal="center" vertical="center" wrapText="1"/>
    </xf>
    <xf numFmtId="0" fontId="3" fillId="10" borderId="33" xfId="0" applyFont="1" applyFill="1" applyBorder="1" applyAlignment="1">
      <alignment horizontal="center" vertical="center" wrapText="1"/>
    </xf>
    <xf numFmtId="0" fontId="3" fillId="10" borderId="34" xfId="0" applyFont="1" applyFill="1" applyBorder="1" applyAlignment="1">
      <alignment horizontal="center" vertical="center" wrapText="1"/>
    </xf>
    <xf numFmtId="0" fontId="3" fillId="10" borderId="35" xfId="0" applyFont="1" applyFill="1" applyBorder="1" applyAlignment="1">
      <alignment horizontal="center" vertical="center" wrapText="1"/>
    </xf>
    <xf numFmtId="0" fontId="3" fillId="10" borderId="36" xfId="0" applyFont="1" applyFill="1" applyBorder="1" applyAlignment="1">
      <alignment horizontal="center" vertical="center" wrapText="1"/>
    </xf>
    <xf numFmtId="0" fontId="3" fillId="10" borderId="37" xfId="0" applyFont="1" applyFill="1" applyBorder="1" applyAlignment="1">
      <alignment horizontal="center" vertical="center" wrapText="1"/>
    </xf>
    <xf numFmtId="167" fontId="0" fillId="0" borderId="39" xfId="0" applyNumberFormat="1" applyBorder="1" applyAlignment="1">
      <alignment horizontal="center" vertical="center"/>
    </xf>
    <xf numFmtId="167" fontId="0" fillId="0" borderId="40" xfId="0" applyNumberFormat="1" applyBorder="1" applyAlignment="1">
      <alignment horizontal="center" vertical="center"/>
    </xf>
    <xf numFmtId="167" fontId="3" fillId="10" borderId="41" xfId="0" applyNumberFormat="1" applyFont="1" applyFill="1" applyBorder="1" applyAlignment="1">
      <alignment horizontal="center" vertical="center"/>
    </xf>
    <xf numFmtId="167" fontId="3" fillId="10" borderId="42" xfId="0" applyNumberFormat="1" applyFont="1" applyFill="1" applyBorder="1" applyAlignment="1">
      <alignment horizontal="center" vertical="center"/>
    </xf>
    <xf numFmtId="167" fontId="0" fillId="0" borderId="44" xfId="0" applyNumberFormat="1" applyBorder="1" applyAlignment="1">
      <alignment horizontal="center" vertical="center"/>
    </xf>
    <xf numFmtId="167" fontId="0" fillId="0" borderId="45" xfId="0" applyNumberFormat="1" applyBorder="1" applyAlignment="1">
      <alignment horizontal="center" vertical="center"/>
    </xf>
    <xf numFmtId="167" fontId="3" fillId="10" borderId="46" xfId="0" applyNumberFormat="1" applyFont="1" applyFill="1" applyBorder="1" applyAlignment="1">
      <alignment horizontal="center" vertical="center"/>
    </xf>
    <xf numFmtId="167" fontId="3" fillId="10" borderId="43" xfId="0" applyNumberFormat="1" applyFont="1" applyFill="1" applyBorder="1" applyAlignment="1">
      <alignment horizontal="center" vertical="center"/>
    </xf>
    <xf numFmtId="167" fontId="0" fillId="0" borderId="48" xfId="0" applyNumberFormat="1" applyBorder="1" applyAlignment="1">
      <alignment horizontal="center" vertical="center"/>
    </xf>
    <xf numFmtId="167" fontId="0" fillId="0" borderId="49" xfId="0" applyNumberFormat="1" applyBorder="1" applyAlignment="1">
      <alignment horizontal="center" vertical="center"/>
    </xf>
    <xf numFmtId="167" fontId="3" fillId="10" borderId="50" xfId="0" applyNumberFormat="1" applyFont="1" applyFill="1" applyBorder="1" applyAlignment="1">
      <alignment horizontal="center" vertical="center"/>
    </xf>
    <xf numFmtId="167" fontId="3" fillId="10" borderId="47" xfId="0" applyNumberFormat="1" applyFont="1" applyFill="1" applyBorder="1" applyAlignment="1">
      <alignment horizontal="center" vertical="center"/>
    </xf>
    <xf numFmtId="167" fontId="0" fillId="0" borderId="52" xfId="0" applyNumberFormat="1" applyBorder="1" applyAlignment="1">
      <alignment horizontal="center" vertical="center"/>
    </xf>
    <xf numFmtId="167" fontId="0" fillId="0" borderId="53" xfId="0" applyNumberFormat="1" applyBorder="1" applyAlignment="1">
      <alignment horizontal="center" vertical="center"/>
    </xf>
    <xf numFmtId="167" fontId="3" fillId="10" borderId="54" xfId="0" applyNumberFormat="1" applyFont="1" applyFill="1" applyBorder="1" applyAlignment="1">
      <alignment horizontal="center" vertical="center"/>
    </xf>
    <xf numFmtId="167" fontId="3" fillId="10" borderId="51" xfId="0" applyNumberFormat="1" applyFont="1" applyFill="1" applyBorder="1" applyAlignment="1">
      <alignment horizontal="center" vertical="center"/>
    </xf>
    <xf numFmtId="0" fontId="13" fillId="10" borderId="38" xfId="0" applyFont="1" applyFill="1" applyBorder="1" applyAlignment="1">
      <alignment horizontal="center" vertical="center" wrapText="1"/>
    </xf>
    <xf numFmtId="0" fontId="13" fillId="10" borderId="43" xfId="0" applyFont="1" applyFill="1" applyBorder="1" applyAlignment="1">
      <alignment horizontal="center" vertical="center" wrapText="1"/>
    </xf>
    <xf numFmtId="0" fontId="13" fillId="10" borderId="47" xfId="0" applyFont="1" applyFill="1" applyBorder="1" applyAlignment="1">
      <alignment horizontal="center" vertical="center" wrapText="1"/>
    </xf>
    <xf numFmtId="0" fontId="13" fillId="10" borderId="51" xfId="0" applyFont="1" applyFill="1" applyBorder="1" applyAlignment="1">
      <alignment horizontal="center" vertical="center" wrapText="1"/>
    </xf>
    <xf numFmtId="0" fontId="0" fillId="0" borderId="11" xfId="0" applyFill="1" applyBorder="1"/>
    <xf numFmtId="0" fontId="0" fillId="0" borderId="8" xfId="0" applyFill="1" applyBorder="1"/>
    <xf numFmtId="0" fontId="0" fillId="0" borderId="12" xfId="0" applyFill="1" applyBorder="1"/>
    <xf numFmtId="0" fontId="0" fillId="0" borderId="9" xfId="0" applyFill="1" applyBorder="1"/>
    <xf numFmtId="0" fontId="0" fillId="0" borderId="10" xfId="0" applyFill="1" applyBorder="1"/>
    <xf numFmtId="0" fontId="3" fillId="10" borderId="55" xfId="0" applyFont="1" applyFill="1" applyBorder="1" applyAlignment="1">
      <alignment horizontal="center" vertical="center"/>
    </xf>
    <xf numFmtId="0" fontId="3" fillId="10" borderId="42" xfId="0" applyFont="1" applyFill="1" applyBorder="1" applyAlignment="1">
      <alignment horizontal="center" vertical="center"/>
    </xf>
    <xf numFmtId="0" fontId="3" fillId="10" borderId="56" xfId="0" applyFont="1" applyFill="1" applyBorder="1" applyAlignment="1">
      <alignment horizontal="center" vertical="center"/>
    </xf>
    <xf numFmtId="0" fontId="3" fillId="10" borderId="43" xfId="0" applyFont="1" applyFill="1" applyBorder="1" applyAlignment="1">
      <alignment horizontal="center" vertical="center"/>
    </xf>
    <xf numFmtId="0" fontId="3" fillId="10" borderId="15" xfId="0" applyFont="1" applyFill="1" applyBorder="1" applyAlignment="1">
      <alignment horizontal="center" vertical="center"/>
    </xf>
    <xf numFmtId="0" fontId="3" fillId="10" borderId="47" xfId="0" applyFont="1" applyFill="1" applyBorder="1" applyAlignment="1">
      <alignment horizontal="center" vertical="center"/>
    </xf>
    <xf numFmtId="175" fontId="0" fillId="0" borderId="0" xfId="0" applyNumberFormat="1"/>
  </cellXfs>
  <cellStyles count="5">
    <cellStyle name="Bad" xfId="2" builtinId="27"/>
    <cellStyle name="Currency" xfId="3" builtinId="4"/>
    <cellStyle name="Good" xfId="4" builtinId="26"/>
    <cellStyle name="Normal" xfId="0" builtinId="0"/>
    <cellStyle name="Percent" xfId="1" builtinId="5"/>
  </cellStyles>
  <dxfs count="115">
    <dxf>
      <numFmt numFmtId="165" formatCode="_-[$$-409]* #,##0.00_ ;_-[$$-409]* \-#,##0.00\ ;_-[$$-409]* &quot;-&quot;??_ ;_-@_ "/>
    </dxf>
    <dxf>
      <numFmt numFmtId="166" formatCode="_-[$$-409]* #,##0.000_ ;_-[$$-409]* \-#,##0.000\ ;_-[$$-409]* &quot;-&quot;??_ ;_-@_ "/>
    </dxf>
    <dxf>
      <numFmt numFmtId="165" formatCode="_-[$$-409]* #,##0.00_ ;_-[$$-409]* \-#,##0.00\ ;_-[$$-409]* &quot;-&quot;??_ ;_-@_ "/>
    </dxf>
    <dxf>
      <numFmt numFmtId="168" formatCode="_-[$$-409]* #,##0.0_ ;_-[$$-409]* \-#,##0.0\ ;_-[$$-409]* &quot;-&quot;??_ ;_-@_ "/>
    </dxf>
    <dxf>
      <numFmt numFmtId="167" formatCode="_-[$$-409]* #,##0_ ;_-[$$-409]* \-#,##0\ ;_-[$$-409]* &quot;-&quot;??_ ;_-@_ "/>
    </dxf>
    <dxf>
      <numFmt numFmtId="165" formatCode="_-[$$-409]* #,##0.00_ ;_-[$$-409]* \-#,##0.00\ ;_-[$$-409]* &quot;-&quot;??_ ;_-@_ "/>
    </dxf>
    <dxf>
      <numFmt numFmtId="166" formatCode="_-[$$-409]* #,##0.000_ ;_-[$$-409]* \-#,##0.000\ ;_-[$$-409]* &quot;-&quot;??_ ;_-@_ "/>
    </dxf>
    <dxf>
      <numFmt numFmtId="165" formatCode="_-[$$-409]* #,##0.00_ ;_-[$$-409]* \-#,##0.00\ ;_-[$$-409]* &quot;-&quot;??_ ;_-@_ "/>
    </dxf>
    <dxf>
      <numFmt numFmtId="168" formatCode="_-[$$-409]* #,##0.0_ ;_-[$$-409]* \-#,##0.0\ ;_-[$$-409]* &quot;-&quot;??_ ;_-@_ "/>
    </dxf>
    <dxf>
      <numFmt numFmtId="167" formatCode="_-[$$-409]* #,##0_ ;_-[$$-409]* \-#,##0\ ;_-[$$-409]* &quot;-&quot;??_ ;_-@_ "/>
    </dxf>
    <dxf>
      <numFmt numFmtId="165" formatCode="_-[$$-409]* #,##0.00_ ;_-[$$-409]* \-#,##0.00\ ;_-[$$-409]* &quot;-&quot;??_ ;_-@_ "/>
    </dxf>
    <dxf>
      <numFmt numFmtId="166" formatCode="_-[$$-409]* #,##0.000_ ;_-[$$-409]* \-#,##0.000\ ;_-[$$-409]* &quot;-&quot;??_ ;_-@_ "/>
    </dxf>
    <dxf>
      <numFmt numFmtId="165" formatCode="_-[$$-409]* #,##0.00_ ;_-[$$-409]* \-#,##0.00\ ;_-[$$-409]* &quot;-&quot;??_ ;_-@_ "/>
    </dxf>
    <dxf>
      <numFmt numFmtId="168" formatCode="_-[$$-409]* #,##0.0_ ;_-[$$-409]* \-#,##0.0\ ;_-[$$-409]* &quot;-&quot;??_ ;_-@_ "/>
    </dxf>
    <dxf>
      <numFmt numFmtId="167" formatCode="_-[$$-409]* #,##0_ ;_-[$$-409]* \-#,##0\ ;_-[$$-409]* &quot;-&quot;??_ ;_-@_ "/>
    </dxf>
    <dxf>
      <numFmt numFmtId="165" formatCode="_-[$$-409]* #,##0.00_ ;_-[$$-409]* \-#,##0.00\ ;_-[$$-409]* &quot;-&quot;??_ ;_-@_ "/>
    </dxf>
    <dxf>
      <numFmt numFmtId="166" formatCode="_-[$$-409]* #,##0.000_ ;_-[$$-409]* \-#,##0.000\ ;_-[$$-409]* &quot;-&quot;??_ ;_-@_ "/>
    </dxf>
    <dxf>
      <numFmt numFmtId="165" formatCode="_-[$$-409]* #,##0.00_ ;_-[$$-409]* \-#,##0.00\ ;_-[$$-409]* &quot;-&quot;??_ ;_-@_ "/>
    </dxf>
    <dxf>
      <numFmt numFmtId="168" formatCode="_-[$$-409]* #,##0.0_ ;_-[$$-409]* \-#,##0.0\ ;_-[$$-409]* &quot;-&quot;??_ ;_-@_ "/>
    </dxf>
    <dxf>
      <numFmt numFmtId="167" formatCode="_-[$$-409]* #,##0_ ;_-[$$-409]* \-#,##0\ ;_-[$$-409]* &quot;-&quot;??_ ;_-@_ "/>
    </dxf>
    <dxf>
      <numFmt numFmtId="165" formatCode="_-[$$-409]* #,##0.00_ ;_-[$$-409]* \-#,##0.00\ ;_-[$$-409]* &quot;-&quot;??_ ;_-@_ "/>
    </dxf>
    <dxf>
      <numFmt numFmtId="166" formatCode="_-[$$-409]* #,##0.000_ ;_-[$$-409]* \-#,##0.000\ ;_-[$$-409]* &quot;-&quot;??_ ;_-@_ "/>
    </dxf>
    <dxf>
      <numFmt numFmtId="165" formatCode="_-[$$-409]* #,##0.00_ ;_-[$$-409]* \-#,##0.00\ ;_-[$$-409]* &quot;-&quot;??_ ;_-@_ "/>
    </dxf>
    <dxf>
      <numFmt numFmtId="168" formatCode="_-[$$-409]* #,##0.0_ ;_-[$$-409]* \-#,##0.0\ ;_-[$$-409]* &quot;-&quot;??_ ;_-@_ "/>
    </dxf>
    <dxf>
      <numFmt numFmtId="167" formatCode="_-[$$-409]* #,##0_ ;_-[$$-409]* \-#,##0\ ;_-[$$-409]* &quot;-&quot;??_ ;_-@_ "/>
    </dxf>
    <dxf>
      <numFmt numFmtId="165" formatCode="_-[$$-409]* #,##0.00_ ;_-[$$-409]* \-#,##0.00\ ;_-[$$-409]* &quot;-&quot;??_ ;_-@_ "/>
    </dxf>
    <dxf>
      <numFmt numFmtId="166" formatCode="_-[$$-409]* #,##0.000_ ;_-[$$-409]* \-#,##0.000\ ;_-[$$-409]* &quot;-&quot;??_ ;_-@_ "/>
    </dxf>
    <dxf>
      <numFmt numFmtId="165" formatCode="_-[$$-409]* #,##0.00_ ;_-[$$-409]* \-#,##0.00\ ;_-[$$-409]* &quot;-&quot;??_ ;_-@_ "/>
    </dxf>
    <dxf>
      <numFmt numFmtId="168" formatCode="_-[$$-409]* #,##0.0_ ;_-[$$-409]* \-#,##0.0\ ;_-[$$-409]* &quot;-&quot;??_ ;_-@_ "/>
    </dxf>
    <dxf>
      <numFmt numFmtId="167" formatCode="_-[$$-409]* #,##0_ ;_-[$$-409]* \-#,##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font>
        <b val="0"/>
        <i val="0"/>
        <strike val="0"/>
        <condense val="0"/>
        <extend val="0"/>
        <outline val="0"/>
        <shadow val="0"/>
        <u val="none"/>
        <vertAlign val="baseline"/>
        <sz val="11"/>
        <color theme="1"/>
        <name val="Calibri"/>
        <scheme val="minor"/>
      </font>
      <numFmt numFmtId="165" formatCode="_-[$$-409]* #,##0.00_ ;_-[$$-409]* \-#,##0.00\ ;_-[$$-409]* &quot;-&quot;??_ ;_-@_ "/>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numFmt numFmtId="165" formatCode="_-[$$-409]* #,##0.00_ ;_-[$$-409]* \-#,##0.00\ ;_-[$$-409]* &quot;-&quot;??_ ;_-@_ "/>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numFmt numFmtId="165" formatCode="_-[$$-409]* #,##0.00_ ;_-[$$-409]* \-#,##0.00\ ;_-[$$-409]* &quot;-&quot;??_ ;_-@_ "/>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numFmt numFmtId="165" formatCode="_-[$$-409]* #,##0.00_ ;_-[$$-409]* \-#,##0.00\ ;_-[$$-409]* &quot;-&quot;??_ ;_-@_ "/>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numFmt numFmtId="165" formatCode="_-[$$-409]* #,##0.00_ ;_-[$$-409]* \-#,##0.00\ ;_-[$$-409]* &quot;-&quot;??_ ;_-@_ "/>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numFmt numFmtId="165" formatCode="_-[$$-409]* #,##0.00_ ;_-[$$-409]* \-#,##0.00\ ;_-[$$-409]* &quot;-&quot;??_ ;_-@_ "/>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numFmt numFmtId="165" formatCode="_-[$$-409]* #,##0.00_ ;_-[$$-409]* \-#,##0.00\ ;_-[$$-409]* &quot;-&quot;??_ ;_-@_ "/>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numFmt numFmtId="165" formatCode="_-[$$-409]* #,##0.00_ ;_-[$$-409]* \-#,##0.00\ ;_-[$$-409]* &quot;-&quot;??_ ;_-@_ "/>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numFmt numFmtId="165" formatCode="_-[$$-409]* #,##0.00_ ;_-[$$-409]* \-#,##0.00\ ;_-[$$-409]* &quot;-&quot;??_ ;_-@_ "/>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numFmt numFmtId="165" formatCode="_-[$$-409]* #,##0.00_ ;_-[$$-409]* \-#,##0.00\ ;_-[$$-409]* &quot;-&quot;??_ ;_-@_ "/>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numFmt numFmtId="165" formatCode="_-[$$-409]* #,##0.00_ ;_-[$$-409]* \-#,##0.00\ ;_-[$$-409]* &quot;-&quot;??_ ;_-@_ "/>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numFmt numFmtId="165" formatCode="_-[$$-409]* #,##0.00_ ;_-[$$-409]* \-#,##0.00\ ;_-[$$-409]* &quot;-&quot;??_ ;_-@_ "/>
      <alignment horizontal="center" vertical="center" textRotation="0" wrapText="0" indent="0" justifyLastLine="0" shrinkToFit="0" readingOrder="0"/>
    </dxf>
    <dxf>
      <font>
        <b/>
        <i val="0"/>
        <strike val="0"/>
        <condense val="0"/>
        <extend val="0"/>
        <outline val="0"/>
        <shadow val="0"/>
        <u val="none"/>
        <vertAlign val="baseline"/>
        <sz val="11"/>
        <color theme="1"/>
        <name val="Calibri"/>
        <scheme val="minor"/>
      </font>
      <numFmt numFmtId="0" formatCode="General"/>
      <alignment horizontal="general" vertical="top" textRotation="90" wrapText="0" indent="0" justifyLastLine="0" shrinkToFit="0" readingOrder="0"/>
    </dxf>
    <dxf>
      <font>
        <b val="0"/>
        <i val="0"/>
        <strike val="0"/>
        <condense val="0"/>
        <extend val="0"/>
        <outline val="0"/>
        <shadow val="0"/>
        <u val="none"/>
        <vertAlign val="baseline"/>
        <sz val="11"/>
        <color theme="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numFmt numFmtId="3" formatCode="#,##0"/>
      <alignment horizontal="center" vertical="center" textRotation="0" wrapText="0" indent="0" justifyLastLine="0" shrinkToFit="0" readingOrder="0"/>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alignment horizontal="center" vertical="center" textRotation="0" wrapText="0" indent="0" justifyLastLine="0" shrinkToFit="0" readingOrder="0"/>
    </dxf>
    <dxf>
      <numFmt numFmtId="165" formatCode="_-[$$-409]* #,##0.00_ ;_-[$$-409]* \-#,##0.00\ ;_-[$$-409]* &quot;-&quot;??_ ;_-@_ "/>
      <alignment horizontal="center" vertical="center" textRotation="0" wrapText="0" indent="0" justifyLastLine="0" shrinkToFit="0" readingOrder="0"/>
    </dxf>
    <dxf>
      <numFmt numFmtId="165" formatCode="_-[$$-409]* #,##0.00_ ;_-[$$-409]* \-#,##0.00\ ;_-[$$-409]* &quot;-&quot;??_ ;_-@_ "/>
      <alignment horizontal="center" vertical="center" textRotation="0" wrapText="0" indent="0" justifyLastLine="0" shrinkToFit="0" readingOrder="0"/>
    </dxf>
    <dxf>
      <numFmt numFmtId="165" formatCode="_-[$$-409]* #,##0.00_ ;_-[$$-409]* \-#,##0.00\ ;_-[$$-409]* &quot;-&quot;??_ ;_-@_ "/>
      <alignment horizontal="center" vertical="center" textRotation="0" wrapText="0" indent="0" justifyLastLine="0" shrinkToFit="0" readingOrder="0"/>
    </dxf>
    <dxf>
      <numFmt numFmtId="165" formatCode="_-[$$-409]* #,##0.00_ ;_-[$$-409]* \-#,##0.00\ ;_-[$$-409]* &quot;-&quot;??_ ;_-@_ "/>
      <alignment horizontal="center" vertical="center" textRotation="0" wrapText="0" indent="0" justifyLastLine="0" shrinkToFit="0" readingOrder="0"/>
    </dxf>
    <dxf>
      <numFmt numFmtId="165" formatCode="_-[$$-409]* #,##0.00_ ;_-[$$-409]* \-#,##0.00\ ;_-[$$-409]* &quot;-&quot;??_ ;_-@_ "/>
      <alignment horizontal="center" vertical="center" textRotation="0" wrapText="0" indent="0" justifyLastLine="0" shrinkToFit="0" readingOrder="0"/>
    </dxf>
    <dxf>
      <numFmt numFmtId="165" formatCode="_-[$$-409]* #,##0.00_ ;_-[$$-409]* \-#,##0.00\ ;_-[$$-409]* &quot;-&quot;??_ ;_-@_ "/>
      <alignment horizontal="center" vertical="center" textRotation="0" wrapText="0" indent="0" justifyLastLine="0" shrinkToFit="0" readingOrder="0"/>
    </dxf>
    <dxf>
      <numFmt numFmtId="165" formatCode="_-[$$-409]* #,##0.00_ ;_-[$$-409]* \-#,##0.00\ ;_-[$$-409]* &quot;-&quot;??_ ;_-@_ "/>
      <alignment horizontal="center" vertical="center" textRotation="0" wrapText="0" indent="0" justifyLastLine="0" shrinkToFit="0" readingOrder="0"/>
    </dxf>
    <dxf>
      <numFmt numFmtId="165" formatCode="_-[$$-409]* #,##0.00_ ;_-[$$-409]* \-#,##0.00\ ;_-[$$-409]* &quot;-&quot;??_ ;_-@_ "/>
      <alignment horizontal="center" vertical="center" textRotation="0" wrapText="0" indent="0" justifyLastLine="0" shrinkToFit="0" readingOrder="0"/>
    </dxf>
    <dxf>
      <numFmt numFmtId="165" formatCode="_-[$$-409]* #,##0.00_ ;_-[$$-409]* \-#,##0.00\ ;_-[$$-409]* &quot;-&quot;??_ ;_-@_ "/>
      <alignment horizontal="center" vertical="center" textRotation="0" wrapText="0" indent="0" justifyLastLine="0" shrinkToFit="0" readingOrder="0"/>
    </dxf>
    <dxf>
      <numFmt numFmtId="165" formatCode="_-[$$-409]* #,##0.00_ ;_-[$$-409]* \-#,##0.00\ ;_-[$$-409]* &quot;-&quot;??_ ;_-@_ "/>
      <alignment horizontal="center" vertical="center" textRotation="0" wrapText="0" indent="0" justifyLastLine="0" shrinkToFit="0" readingOrder="0"/>
    </dxf>
    <dxf>
      <numFmt numFmtId="165" formatCode="_-[$$-409]* #,##0.00_ ;_-[$$-409]* \-#,##0.00\ ;_-[$$-409]* &quot;-&quot;??_ ;_-@_ "/>
      <alignment horizontal="center" vertical="center" textRotation="0" wrapText="0" indent="0" justifyLastLine="0" shrinkToFit="0" readingOrder="0"/>
    </dxf>
    <dxf>
      <numFmt numFmtId="3" formatCode="#,##0"/>
    </dxf>
    <dxf>
      <font>
        <b val="0"/>
        <i val="0"/>
        <strike val="0"/>
        <condense val="0"/>
        <extend val="0"/>
        <outline val="0"/>
        <shadow val="0"/>
        <u val="none"/>
        <vertAlign val="baseline"/>
        <sz val="11"/>
        <color theme="1"/>
        <name val="Calibri"/>
        <scheme val="minor"/>
      </font>
      <numFmt numFmtId="3" formatCode="#,##0"/>
      <fill>
        <patternFill patternType="none">
          <fgColor indexed="64"/>
          <bgColor indexed="65"/>
        </patternFill>
      </fill>
      <alignment horizontal="center" vertical="bottom"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11"/>
        <color theme="1"/>
        <name val="Calibri"/>
        <scheme val="minor"/>
      </font>
      <numFmt numFmtId="3" formatCode="#,##0"/>
      <fill>
        <patternFill patternType="none">
          <fgColor indexed="64"/>
          <bgColor indexed="65"/>
        </patternFill>
      </fill>
      <alignment horizontal="center" vertical="bottom"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11"/>
        <color theme="1"/>
        <name val="Calibri"/>
        <scheme val="minor"/>
      </font>
      <numFmt numFmtId="3" formatCode="#,##0"/>
      <fill>
        <patternFill patternType="none">
          <fgColor indexed="64"/>
          <bgColor indexed="65"/>
        </patternFill>
      </fill>
      <alignment horizontal="center" vertical="bottom"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11"/>
        <color theme="1"/>
        <name val="Calibri"/>
        <scheme val="minor"/>
      </font>
      <numFmt numFmtId="3" formatCode="#,##0"/>
      <fill>
        <patternFill patternType="none">
          <fgColor indexed="64"/>
          <bgColor indexed="65"/>
        </patternFill>
      </fill>
      <alignment horizontal="center" vertical="bottom"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11"/>
        <color theme="1"/>
        <name val="Calibri"/>
        <scheme val="minor"/>
      </font>
      <numFmt numFmtId="3" formatCode="#,##0"/>
      <fill>
        <patternFill patternType="none">
          <fgColor indexed="64"/>
          <bgColor indexed="65"/>
        </patternFill>
      </fill>
      <alignment horizontal="center" vertical="bottom"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11"/>
        <color theme="1"/>
        <name val="Calibri"/>
        <scheme val="minor"/>
      </font>
      <numFmt numFmtId="3" formatCode="#,##0"/>
      <fill>
        <patternFill patternType="none">
          <fgColor indexed="64"/>
          <bgColor indexed="65"/>
        </patternFill>
      </fill>
      <alignment horizontal="center" vertical="bottom"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11"/>
        <color theme="1"/>
        <name val="Calibri"/>
        <scheme val="minor"/>
      </font>
      <numFmt numFmtId="3" formatCode="#,##0"/>
      <fill>
        <patternFill patternType="none">
          <fgColor indexed="64"/>
          <bgColor indexed="65"/>
        </patternFill>
      </fill>
      <alignment horizontal="center" vertical="bottom"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11"/>
        <color theme="1"/>
        <name val="Calibri"/>
        <scheme val="minor"/>
      </font>
      <numFmt numFmtId="3" formatCode="#,##0"/>
      <fill>
        <patternFill patternType="none">
          <fgColor indexed="64"/>
          <bgColor indexed="65"/>
        </patternFill>
      </fill>
      <alignment horizontal="center" vertical="bottom"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11"/>
        <color theme="1"/>
        <name val="Calibri"/>
        <scheme val="minor"/>
      </font>
      <numFmt numFmtId="3" formatCode="#,##0"/>
      <fill>
        <patternFill patternType="none">
          <fgColor indexed="64"/>
          <bgColor indexed="65"/>
        </patternFill>
      </fill>
      <alignment horizontal="center" vertical="bottom"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11"/>
        <color theme="1"/>
        <name val="Calibri"/>
        <scheme val="minor"/>
      </font>
      <numFmt numFmtId="3" formatCode="#,##0"/>
      <fill>
        <patternFill patternType="none">
          <fgColor indexed="64"/>
          <bgColor indexed="65"/>
        </patternFill>
      </fill>
      <alignment horizontal="center" vertical="bottom"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11"/>
        <color theme="1"/>
        <name val="Calibri"/>
        <scheme val="minor"/>
      </font>
      <numFmt numFmtId="3" formatCode="#,##0"/>
      <fill>
        <patternFill patternType="none">
          <fgColor indexed="64"/>
          <bgColor indexed="65"/>
        </patternFill>
      </fill>
      <alignment horizontal="center" vertical="bottom"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11"/>
        <color theme="1"/>
        <name val="Calibri"/>
        <scheme val="minor"/>
      </font>
      <numFmt numFmtId="3" formatCode="#,##0"/>
      <fill>
        <patternFill patternType="none">
          <fgColor indexed="64"/>
          <bgColor indexed="65"/>
        </patternFill>
      </fill>
      <alignment horizontal="center" vertical="bottom"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numFmt numFmtId="166" formatCode="_-[$$-409]* #,##0.000_ ;_-[$$-409]* \-#,##0.000\ ;_-[$$-409]* &quot;-&quot;??_ ;_-@_ "/>
    </dxf>
    <dxf>
      <numFmt numFmtId="166" formatCode="_-[$$-409]* #,##0.000_ ;_-[$$-409]* \-#,##0.000\ ;_-[$$-409]* &quot;-&quot;??_ ;_-@_ "/>
      <fill>
        <patternFill patternType="solid">
          <fgColor indexed="64"/>
          <bgColor theme="7" tint="0.79998168889431442"/>
        </patternFill>
      </fill>
    </dxf>
    <dxf>
      <numFmt numFmtId="166" formatCode="_-[$$-409]* #,##0.000_ ;_-[$$-409]* \-#,##0.000\ ;_-[$$-409]* &quot;-&quot;??_ ;_-@_ "/>
      <fill>
        <patternFill patternType="solid">
          <fgColor indexed="64"/>
          <bgColor theme="7" tint="0.79998168889431442"/>
        </patternFill>
      </fill>
    </dxf>
    <dxf>
      <numFmt numFmtId="166" formatCode="_-[$$-409]* #,##0.000_ ;_-[$$-409]* \-#,##0.000\ ;_-[$$-409]* &quot;-&quot;??_ ;_-@_ "/>
      <fill>
        <patternFill patternType="solid">
          <fgColor indexed="64"/>
          <bgColor theme="7" tint="0.79998168889431442"/>
        </patternFill>
      </fill>
    </dxf>
    <dxf>
      <numFmt numFmtId="166" formatCode="_-[$$-409]* #,##0.000_ ;_-[$$-409]* \-#,##0.000\ ;_-[$$-409]* &quot;-&quot;??_ ;_-@_ "/>
      <fill>
        <patternFill patternType="solid">
          <fgColor indexed="64"/>
          <bgColor theme="7" tint="0.79998168889431442"/>
        </patternFill>
      </fill>
    </dxf>
    <dxf>
      <numFmt numFmtId="22" formatCode="mmm\-yy"/>
      <alignment horizontal="center" vertical="center" textRotation="0" wrapText="0" indent="0" justifyLastLine="0" shrinkToFit="0" readingOrder="0"/>
    </dxf>
    <dxf>
      <numFmt numFmtId="22" formatCode="mmm\-yy"/>
      <alignment horizontal="center" vertical="center" textRotation="0" wrapText="0" indent="0" justifyLastLine="0" shrinkToFit="0" readingOrder="0"/>
    </dxf>
    <dxf>
      <numFmt numFmtId="22" formatCode="mmm\-yy"/>
      <alignment horizontal="center" vertical="center" textRotation="0" wrapText="0" indent="0" justifyLastLine="0" shrinkToFit="0" readingOrder="0"/>
    </dxf>
    <dxf>
      <numFmt numFmtId="22" formatCode="mmm\-yy"/>
      <alignment horizontal="center" vertical="center" textRotation="0" wrapText="0" indent="0" justifyLastLine="0" shrinkToFit="0" readingOrder="0"/>
    </dxf>
    <dxf>
      <numFmt numFmtId="22" formatCode="mmm\-yy"/>
      <alignment horizontal="center" vertical="center" textRotation="0" wrapText="0" indent="0" justifyLastLine="0" shrinkToFit="0" readingOrder="0"/>
    </dxf>
    <dxf>
      <fill>
        <patternFill patternType="solid">
          <fgColor indexed="64"/>
          <bgColor theme="7" tint="0.79998168889431442"/>
        </patternFill>
      </fill>
      <alignment horizontal="center" vertical="bottom" textRotation="0" wrapText="0" indent="0" justifyLastLine="0" shrinkToFit="0" readingOrder="0"/>
    </dxf>
    <dxf>
      <numFmt numFmtId="30" formatCode="@"/>
      <fill>
        <patternFill patternType="solid">
          <fgColor indexed="64"/>
          <bgColor theme="7" tint="0.79998168889431442"/>
        </patternFill>
      </fill>
      <alignment horizontal="center" vertical="bottom" textRotation="0" wrapText="0" indent="0" justifyLastLine="0" shrinkToFit="0" readingOrder="0"/>
    </dxf>
    <dxf>
      <fill>
        <patternFill patternType="solid">
          <fgColor indexed="64"/>
          <bgColor theme="7" tint="0.79998168889431442"/>
        </patternFill>
      </fill>
    </dxf>
    <dxf>
      <font>
        <b/>
        <i val="0"/>
        <strike val="0"/>
        <condense val="0"/>
        <extend val="0"/>
        <outline val="0"/>
        <shadow val="0"/>
        <u val="none"/>
        <vertAlign val="baseline"/>
        <sz val="11"/>
        <color theme="1"/>
        <name val="Calibri"/>
        <scheme val="minor"/>
      </font>
      <alignment horizontal="general" vertical="center" textRotation="0" wrapText="1" indent="0" justifyLastLine="0" shrinkToFit="0" readingOrder="0"/>
    </dxf>
    <dxf>
      <font>
        <b/>
        <color theme="1"/>
      </font>
      <border>
        <bottom style="thin">
          <color rgb="FF4F81BD"/>
        </bottom>
        <vertical/>
        <horizontal/>
      </border>
    </dxf>
    <dxf>
      <font>
        <color theme="1"/>
      </font>
      <border>
        <left style="thin">
          <color rgb="FF002060"/>
        </left>
        <right style="thin">
          <color rgb="FF002060"/>
        </right>
        <top style="thin">
          <color rgb="FF002060"/>
        </top>
        <bottom style="thin">
          <color rgb="FF002060"/>
        </bottom>
        <vertical/>
        <horizontal/>
      </border>
    </dxf>
  </dxfs>
  <tableStyles count="1" defaultTableStyle="TableStyleMedium2" defaultPivotStyle="PivotStyleLight16">
    <tableStyle name="Dashboard" pivot="0" table="0" count="10">
      <tableStyleElement type="wholeTable" dxfId="114"/>
      <tableStyleElement type="headerRow" dxfId="113"/>
    </tableStyle>
  </tableStyles>
  <colors>
    <mruColors>
      <color rgb="FFF8B2B2"/>
    </mruColors>
  </colors>
  <extLst>
    <ext xmlns:x14="http://schemas.microsoft.com/office/spreadsheetml/2009/9/main" uri="{46F421CA-312F-682f-3DD2-61675219B42D}">
      <x14:dxfs count="8">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A3BBDF"/>
              </stop>
              <stop position="1">
                <color rgb="FFCADEF6"/>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Dashboard">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050" b="1" i="0" u="none" strike="noStrike" kern="1200" spc="0" baseline="0">
                <a:solidFill>
                  <a:schemeClr val="tx1">
                    <a:lumMod val="65000"/>
                    <a:lumOff val="35000"/>
                  </a:schemeClr>
                </a:solidFill>
                <a:latin typeface="+mn-lt"/>
                <a:ea typeface="+mn-ea"/>
                <a:cs typeface="+mn-cs"/>
              </a:defRPr>
            </a:pPr>
            <a:r>
              <a:rPr lang="en-PH" sz="1050" b="1"/>
              <a:t>COST</a:t>
            </a:r>
            <a:r>
              <a:rPr lang="en-PH" sz="1050" b="1" baseline="0"/>
              <a:t> SAVING PER Project</a:t>
            </a:r>
            <a:endParaRPr lang="en-PH" sz="1050" b="1"/>
          </a:p>
        </c:rich>
      </c:tx>
      <c:layout>
        <c:manualLayout>
          <c:xMode val="edge"/>
          <c:yMode val="edge"/>
          <c:x val="8.0361983482176699E-2"/>
          <c:y val="1.8558948774378713E-2"/>
        </c:manualLayout>
      </c:layout>
      <c:overlay val="0"/>
      <c:spPr>
        <a:noFill/>
        <a:ln>
          <a:noFill/>
        </a:ln>
        <a:effectLst/>
      </c:spPr>
      <c:txPr>
        <a:bodyPr rot="0" spcFirstLastPara="1" vertOverflow="ellipsis" vert="horz" wrap="square" anchor="ctr" anchorCtr="1"/>
        <a:lstStyle/>
        <a:p>
          <a:pPr>
            <a:defRPr sz="105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32121668056425823"/>
          <c:y val="9.1525582275726491E-2"/>
          <c:w val="0.61519320211064277"/>
          <c:h val="0.77998893737054165"/>
        </c:manualLayout>
      </c:layout>
      <c:barChart>
        <c:barDir val="bar"/>
        <c:grouping val="stacked"/>
        <c:varyColors val="0"/>
        <c:ser>
          <c:idx val="0"/>
          <c:order val="0"/>
          <c:tx>
            <c:strRef>
              <c:f>DataTrans!$J$14</c:f>
              <c:strCache>
                <c:ptCount val="1"/>
                <c:pt idx="0">
                  <c:v>Labor</c:v>
                </c:pt>
              </c:strCache>
            </c:strRef>
          </c:tx>
          <c:spPr>
            <a:solidFill>
              <a:schemeClr val="accent5">
                <a:shade val="58000"/>
              </a:schemeClr>
            </a:solidFill>
            <a:ln>
              <a:noFill/>
            </a:ln>
            <a:effectLst/>
          </c:spPr>
          <c:invertIfNegative val="0"/>
          <c:cat>
            <c:strRef>
              <c:f>DataTrans!$I$15:$I$24</c:f>
              <c:strCache>
                <c:ptCount val="10"/>
                <c:pt idx="0">
                  <c:v>Diamond blade Supplier D</c:v>
                </c:pt>
                <c:pt idx="1">
                  <c:v>TiW etching increase Frequency usage</c:v>
                </c:pt>
                <c:pt idx="2">
                  <c:v>Pt Target Supplier X</c:v>
                </c:pt>
                <c:pt idx="3">
                  <c:v>Chip Cleaning Solvent 1</c:v>
                </c:pt>
                <c:pt idx="4">
                  <c:v>Sampling Size Reduction</c:v>
                </c:pt>
                <c:pt idx="5">
                  <c:v>New Etching Chemical Diammonium Cerium</c:v>
                </c:pt>
                <c:pt idx="6">
                  <c:v>New Etching Chemical Iodine</c:v>
                </c:pt>
                <c:pt idx="7">
                  <c:v>Diamond blade Supplier X</c:v>
                </c:pt>
                <c:pt idx="8">
                  <c:v>New Etching Chemical Potassium Iodide</c:v>
                </c:pt>
                <c:pt idx="9">
                  <c:v>Aut Visual 2</c:v>
                </c:pt>
              </c:strCache>
            </c:strRef>
          </c:cat>
          <c:val>
            <c:numRef>
              <c:f>DataTrans!$J$15:$J$24</c:f>
              <c:numCache>
                <c:formatCode>_-[$$-409]* #,##0_ ;_-[$$-409]* \-#,##0\ ;_-[$$-409]* "-"??_ ;_-@_ </c:formatCode>
                <c:ptCount val="10"/>
                <c:pt idx="0">
                  <c:v>113037.61885632001</c:v>
                </c:pt>
                <c:pt idx="1">
                  <c:v>7607.5620297951591</c:v>
                </c:pt>
                <c:pt idx="2">
                  <c:v>92892.078310689438</c:v>
                </c:pt>
                <c:pt idx="3">
                  <c:v>62659.887638505599</c:v>
                </c:pt>
                <c:pt idx="4">
                  <c:v>0</c:v>
                </c:pt>
                <c:pt idx="5">
                  <c:v>43275.073628312879</c:v>
                </c:pt>
                <c:pt idx="6">
                  <c:v>203284.76699999999</c:v>
                </c:pt>
                <c:pt idx="7">
                  <c:v>142724.30946412962</c:v>
                </c:pt>
                <c:pt idx="8">
                  <c:v>466323.49940569093</c:v>
                </c:pt>
                <c:pt idx="9">
                  <c:v>1601.7785023385584</c:v>
                </c:pt>
              </c:numCache>
            </c:numRef>
          </c:val>
          <c:extLst>
            <c:ext xmlns:c16="http://schemas.microsoft.com/office/drawing/2014/chart" uri="{C3380CC4-5D6E-409C-BE32-E72D297353CC}">
              <c16:uniqueId val="{00000000-E041-4A97-9F0E-8E24EBAF0EAF}"/>
            </c:ext>
          </c:extLst>
        </c:ser>
        <c:ser>
          <c:idx val="1"/>
          <c:order val="1"/>
          <c:tx>
            <c:strRef>
              <c:f>DataTrans!$K$14</c:f>
              <c:strCache>
                <c:ptCount val="1"/>
                <c:pt idx="0">
                  <c:v>Yield</c:v>
                </c:pt>
              </c:strCache>
            </c:strRef>
          </c:tx>
          <c:spPr>
            <a:solidFill>
              <a:schemeClr val="accent5">
                <a:shade val="86000"/>
              </a:schemeClr>
            </a:solidFill>
            <a:ln>
              <a:noFill/>
            </a:ln>
            <a:effectLst/>
          </c:spPr>
          <c:invertIfNegative val="0"/>
          <c:cat>
            <c:strRef>
              <c:f>DataTrans!$I$15:$I$24</c:f>
              <c:strCache>
                <c:ptCount val="10"/>
                <c:pt idx="0">
                  <c:v>Diamond blade Supplier D</c:v>
                </c:pt>
                <c:pt idx="1">
                  <c:v>TiW etching increase Frequency usage</c:v>
                </c:pt>
                <c:pt idx="2">
                  <c:v>Pt Target Supplier X</c:v>
                </c:pt>
                <c:pt idx="3">
                  <c:v>Chip Cleaning Solvent 1</c:v>
                </c:pt>
                <c:pt idx="4">
                  <c:v>Sampling Size Reduction</c:v>
                </c:pt>
                <c:pt idx="5">
                  <c:v>New Etching Chemical Diammonium Cerium</c:v>
                </c:pt>
                <c:pt idx="6">
                  <c:v>New Etching Chemical Iodine</c:v>
                </c:pt>
                <c:pt idx="7">
                  <c:v>Diamond blade Supplier X</c:v>
                </c:pt>
                <c:pt idx="8">
                  <c:v>New Etching Chemical Potassium Iodide</c:v>
                </c:pt>
                <c:pt idx="9">
                  <c:v>Aut Visual 2</c:v>
                </c:pt>
              </c:strCache>
            </c:strRef>
          </c:cat>
          <c:val>
            <c:numRef>
              <c:f>DataTrans!$K$15:$K$24</c:f>
              <c:numCache>
                <c:formatCode>_-[$$-409]* #,##0_ ;_-[$$-409]* \-#,##0\ ;_-[$$-409]* "-"??_ ;_-@_ </c:formatCode>
                <c:ptCount val="10"/>
                <c:pt idx="0">
                  <c:v>0</c:v>
                </c:pt>
                <c:pt idx="1">
                  <c:v>121230.93000000001</c:v>
                </c:pt>
                <c:pt idx="2">
                  <c:v>0</c:v>
                </c:pt>
                <c:pt idx="3">
                  <c:v>0</c:v>
                </c:pt>
                <c:pt idx="4">
                  <c:v>0</c:v>
                </c:pt>
                <c:pt idx="5">
                  <c:v>137338.39531146368</c:v>
                </c:pt>
                <c:pt idx="6">
                  <c:v>0</c:v>
                </c:pt>
                <c:pt idx="7">
                  <c:v>0</c:v>
                </c:pt>
                <c:pt idx="8">
                  <c:v>0</c:v>
                </c:pt>
                <c:pt idx="9">
                  <c:v>0</c:v>
                </c:pt>
              </c:numCache>
            </c:numRef>
          </c:val>
          <c:extLst>
            <c:ext xmlns:c16="http://schemas.microsoft.com/office/drawing/2014/chart" uri="{C3380CC4-5D6E-409C-BE32-E72D297353CC}">
              <c16:uniqueId val="{00000001-E041-4A97-9F0E-8E24EBAF0EAF}"/>
            </c:ext>
          </c:extLst>
        </c:ser>
        <c:ser>
          <c:idx val="2"/>
          <c:order val="2"/>
          <c:tx>
            <c:strRef>
              <c:f>DataTrans!$L$14</c:f>
              <c:strCache>
                <c:ptCount val="1"/>
                <c:pt idx="0">
                  <c:v>Material</c:v>
                </c:pt>
              </c:strCache>
            </c:strRef>
          </c:tx>
          <c:spPr>
            <a:solidFill>
              <a:schemeClr val="accent5">
                <a:tint val="86000"/>
              </a:schemeClr>
            </a:solidFill>
            <a:ln>
              <a:noFill/>
            </a:ln>
            <a:effectLst/>
          </c:spPr>
          <c:invertIfNegative val="0"/>
          <c:cat>
            <c:strRef>
              <c:f>DataTrans!$I$15:$I$24</c:f>
              <c:strCache>
                <c:ptCount val="10"/>
                <c:pt idx="0">
                  <c:v>Diamond blade Supplier D</c:v>
                </c:pt>
                <c:pt idx="1">
                  <c:v>TiW etching increase Frequency usage</c:v>
                </c:pt>
                <c:pt idx="2">
                  <c:v>Pt Target Supplier X</c:v>
                </c:pt>
                <c:pt idx="3">
                  <c:v>Chip Cleaning Solvent 1</c:v>
                </c:pt>
                <c:pt idx="4">
                  <c:v>Sampling Size Reduction</c:v>
                </c:pt>
                <c:pt idx="5">
                  <c:v>New Etching Chemical Diammonium Cerium</c:v>
                </c:pt>
                <c:pt idx="6">
                  <c:v>New Etching Chemical Iodine</c:v>
                </c:pt>
                <c:pt idx="7">
                  <c:v>Diamond blade Supplier X</c:v>
                </c:pt>
                <c:pt idx="8">
                  <c:v>New Etching Chemical Potassium Iodide</c:v>
                </c:pt>
                <c:pt idx="9">
                  <c:v>Aut Visual 2</c:v>
                </c:pt>
              </c:strCache>
            </c:strRef>
          </c:cat>
          <c:val>
            <c:numRef>
              <c:f>DataTrans!$L$15:$L$24</c:f>
              <c:numCache>
                <c:formatCode>_-[$$-409]* #,##0_ ;_-[$$-409]* \-#,##0\ ;_-[$$-409]* "-"??_ ;_-@_ </c:formatCode>
                <c:ptCount val="10"/>
                <c:pt idx="0">
                  <c:v>-3390.3375068623777</c:v>
                </c:pt>
                <c:pt idx="1">
                  <c:v>0</c:v>
                </c:pt>
                <c:pt idx="2">
                  <c:v>38820.749914610715</c:v>
                </c:pt>
                <c:pt idx="3">
                  <c:v>76255.19009528929</c:v>
                </c:pt>
                <c:pt idx="4">
                  <c:v>172527.20264600893</c:v>
                </c:pt>
                <c:pt idx="5">
                  <c:v>19756.95763104186</c:v>
                </c:pt>
                <c:pt idx="6">
                  <c:v>0</c:v>
                </c:pt>
                <c:pt idx="7">
                  <c:v>138102.62000000002</c:v>
                </c:pt>
                <c:pt idx="8">
                  <c:v>542395.07000000007</c:v>
                </c:pt>
                <c:pt idx="9">
                  <c:v>1242071.3414970986</c:v>
                </c:pt>
              </c:numCache>
            </c:numRef>
          </c:val>
          <c:extLst>
            <c:ext xmlns:c16="http://schemas.microsoft.com/office/drawing/2014/chart" uri="{C3380CC4-5D6E-409C-BE32-E72D297353CC}">
              <c16:uniqueId val="{00000002-E041-4A97-9F0E-8E24EBAF0EAF}"/>
            </c:ext>
          </c:extLst>
        </c:ser>
        <c:ser>
          <c:idx val="3"/>
          <c:order val="3"/>
          <c:tx>
            <c:strRef>
              <c:f>DataTrans!$M$14</c:f>
              <c:strCache>
                <c:ptCount val="1"/>
                <c:pt idx="0">
                  <c:v>Others</c:v>
                </c:pt>
              </c:strCache>
            </c:strRef>
          </c:tx>
          <c:spPr>
            <a:solidFill>
              <a:schemeClr val="accent5">
                <a:tint val="58000"/>
              </a:schemeClr>
            </a:solidFill>
            <a:ln>
              <a:noFill/>
            </a:ln>
            <a:effectLst/>
          </c:spPr>
          <c:invertIfNegative val="0"/>
          <c:cat>
            <c:strRef>
              <c:f>DataTrans!$I$15:$I$24</c:f>
              <c:strCache>
                <c:ptCount val="10"/>
                <c:pt idx="0">
                  <c:v>Diamond blade Supplier D</c:v>
                </c:pt>
                <c:pt idx="1">
                  <c:v>TiW etching increase Frequency usage</c:v>
                </c:pt>
                <c:pt idx="2">
                  <c:v>Pt Target Supplier X</c:v>
                </c:pt>
                <c:pt idx="3">
                  <c:v>Chip Cleaning Solvent 1</c:v>
                </c:pt>
                <c:pt idx="4">
                  <c:v>Sampling Size Reduction</c:v>
                </c:pt>
                <c:pt idx="5">
                  <c:v>New Etching Chemical Diammonium Cerium</c:v>
                </c:pt>
                <c:pt idx="6">
                  <c:v>New Etching Chemical Iodine</c:v>
                </c:pt>
                <c:pt idx="7">
                  <c:v>Diamond blade Supplier X</c:v>
                </c:pt>
                <c:pt idx="8">
                  <c:v>New Etching Chemical Potassium Iodide</c:v>
                </c:pt>
                <c:pt idx="9">
                  <c:v>Aut Visual 2</c:v>
                </c:pt>
              </c:strCache>
            </c:strRef>
          </c:cat>
          <c:val>
            <c:numRef>
              <c:f>DataTrans!$M$15:$M$24</c:f>
              <c:numCache>
                <c:formatCode>_-[$$-409]* #,##0_ ;_-[$$-409]* \-#,##0\ ;_-[$$-409]* "-"??_ ;_-@_ </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0-C55D-4FF2-818C-FF8221BCA436}"/>
            </c:ext>
          </c:extLst>
        </c:ser>
        <c:dLbls>
          <c:showLegendKey val="0"/>
          <c:showVal val="0"/>
          <c:showCatName val="0"/>
          <c:showSerName val="0"/>
          <c:showPercent val="0"/>
          <c:showBubbleSize val="0"/>
        </c:dLbls>
        <c:gapWidth val="150"/>
        <c:overlap val="100"/>
        <c:axId val="1521239952"/>
        <c:axId val="1521251600"/>
      </c:barChart>
      <c:catAx>
        <c:axId val="15212399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1251600"/>
        <c:crosses val="autoZero"/>
        <c:auto val="1"/>
        <c:lblAlgn val="ctr"/>
        <c:lblOffset val="100"/>
        <c:noMultiLvlLbl val="0"/>
      </c:catAx>
      <c:valAx>
        <c:axId val="1521251600"/>
        <c:scaling>
          <c:orientation val="minMax"/>
          <c:min val="0"/>
        </c:scaling>
        <c:delete val="0"/>
        <c:axPos val="b"/>
        <c:majorGridlines>
          <c:spPr>
            <a:ln w="9525" cap="flat" cmpd="sng" algn="ctr">
              <a:solidFill>
                <a:schemeClr val="tx1">
                  <a:lumMod val="15000"/>
                  <a:lumOff val="85000"/>
                </a:schemeClr>
              </a:solidFill>
              <a:round/>
            </a:ln>
            <a:effectLst/>
          </c:spPr>
        </c:majorGridlines>
        <c:numFmt formatCode="\$#,##0.0,&quot;K&quot;" sourceLinked="0"/>
        <c:majorTickMark val="none"/>
        <c:minorTickMark val="none"/>
        <c:tickLblPos val="nextTo"/>
        <c:spPr>
          <a:noFill/>
          <a:ln>
            <a:solidFill>
              <a:schemeClr val="bg1">
                <a:lumMod val="85000"/>
              </a:schemeClr>
            </a:solid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1239952"/>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rgbClr val="002060"/>
      </a:solidFill>
      <a:round/>
    </a:ln>
    <a:effectLst/>
  </c:spPr>
  <c:txPr>
    <a:bodyPr/>
    <a:lstStyle/>
    <a:p>
      <a:pPr>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050" b="1" i="0" u="none" strike="noStrike" kern="1200" spc="0" baseline="0">
                <a:solidFill>
                  <a:schemeClr val="tx1">
                    <a:lumMod val="65000"/>
                    <a:lumOff val="35000"/>
                  </a:schemeClr>
                </a:solidFill>
                <a:latin typeface="+mn-lt"/>
                <a:ea typeface="+mn-ea"/>
                <a:cs typeface="+mn-cs"/>
              </a:defRPr>
            </a:pPr>
            <a:r>
              <a:rPr lang="en-PH" sz="1050" b="1"/>
              <a:t>COST</a:t>
            </a:r>
            <a:r>
              <a:rPr lang="en-PH" sz="1050" b="1" baseline="0"/>
              <a:t> SAVING PER CATEGORY</a:t>
            </a:r>
            <a:endParaRPr lang="en-PH" sz="1050" b="1"/>
          </a:p>
        </c:rich>
      </c:tx>
      <c:layout>
        <c:manualLayout>
          <c:xMode val="edge"/>
          <c:yMode val="edge"/>
          <c:x val="4.6948682195975505E-2"/>
          <c:y val="3.6016942142705552E-2"/>
        </c:manualLayout>
      </c:layout>
      <c:overlay val="0"/>
      <c:spPr>
        <a:noFill/>
        <a:ln>
          <a:noFill/>
        </a:ln>
        <a:effectLst/>
      </c:spPr>
      <c:txPr>
        <a:bodyPr rot="0" spcFirstLastPara="1" vertOverflow="ellipsis" vert="horz" wrap="square" anchor="ctr" anchorCtr="1"/>
        <a:lstStyle/>
        <a:p>
          <a:pPr>
            <a:defRPr sz="105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2160159667541555E-2"/>
          <c:y val="0.2690465578060105"/>
          <c:w val="0.79678655402449694"/>
          <c:h val="0.52575707659650295"/>
        </c:manualLayout>
      </c:layout>
      <c:barChart>
        <c:barDir val="col"/>
        <c:grouping val="stacked"/>
        <c:varyColors val="0"/>
        <c:ser>
          <c:idx val="0"/>
          <c:order val="0"/>
          <c:tx>
            <c:strRef>
              <c:f>DataTrans!$Y$2</c:f>
              <c:strCache>
                <c:ptCount val="1"/>
                <c:pt idx="0">
                  <c:v>Labor</c:v>
                </c:pt>
              </c:strCache>
            </c:strRef>
          </c:tx>
          <c:spPr>
            <a:solidFill>
              <a:schemeClr val="accent5">
                <a:shade val="53000"/>
              </a:schemeClr>
            </a:solidFill>
            <a:ln>
              <a:noFill/>
            </a:ln>
            <a:effectLst/>
          </c:spPr>
          <c:invertIfNegative val="0"/>
          <c:cat>
            <c:strRef>
              <c:f>DataTrans!$X$3:$X$6</c:f>
              <c:strCache>
                <c:ptCount val="4"/>
                <c:pt idx="0">
                  <c:v>Wet Etching</c:v>
                </c:pt>
                <c:pt idx="1">
                  <c:v>Visual Inspection</c:v>
                </c:pt>
                <c:pt idx="2">
                  <c:v>Wafer Saw Dicing</c:v>
                </c:pt>
                <c:pt idx="3">
                  <c:v>Sputtering</c:v>
                </c:pt>
              </c:strCache>
            </c:strRef>
          </c:cat>
          <c:val>
            <c:numRef>
              <c:f>DataTrans!$Y$3:$Y$6</c:f>
              <c:numCache>
                <c:formatCode>_-[$$-409]* #,##0_ ;_-[$$-409]* \-#,##0\ ;_-[$$-409]* "-"??_ ;_-@_ </c:formatCode>
                <c:ptCount val="4"/>
                <c:pt idx="0">
                  <c:v>759984.27567153925</c:v>
                </c:pt>
                <c:pt idx="1">
                  <c:v>22230.307465986556</c:v>
                </c:pt>
                <c:pt idx="2">
                  <c:v>532462.12272930285</c:v>
                </c:pt>
                <c:pt idx="3">
                  <c:v>433844.17141843803</c:v>
                </c:pt>
              </c:numCache>
            </c:numRef>
          </c:val>
          <c:extLst>
            <c:ext xmlns:c16="http://schemas.microsoft.com/office/drawing/2014/chart" uri="{C3380CC4-5D6E-409C-BE32-E72D297353CC}">
              <c16:uniqueId val="{00000000-7A45-4BAD-9005-DA66BC3A191B}"/>
            </c:ext>
          </c:extLst>
        </c:ser>
        <c:ser>
          <c:idx val="1"/>
          <c:order val="1"/>
          <c:tx>
            <c:strRef>
              <c:f>DataTrans!$Z$2</c:f>
              <c:strCache>
                <c:ptCount val="1"/>
                <c:pt idx="0">
                  <c:v>Yield</c:v>
                </c:pt>
              </c:strCache>
            </c:strRef>
          </c:tx>
          <c:spPr>
            <a:solidFill>
              <a:schemeClr val="accent5">
                <a:shade val="76000"/>
              </a:schemeClr>
            </a:solidFill>
            <a:ln>
              <a:noFill/>
            </a:ln>
            <a:effectLst/>
          </c:spPr>
          <c:invertIfNegative val="0"/>
          <c:cat>
            <c:strRef>
              <c:f>DataTrans!$X$3:$X$6</c:f>
              <c:strCache>
                <c:ptCount val="4"/>
                <c:pt idx="0">
                  <c:v>Wet Etching</c:v>
                </c:pt>
                <c:pt idx="1">
                  <c:v>Visual Inspection</c:v>
                </c:pt>
                <c:pt idx="2">
                  <c:v>Wafer Saw Dicing</c:v>
                </c:pt>
                <c:pt idx="3">
                  <c:v>Sputtering</c:v>
                </c:pt>
              </c:strCache>
            </c:strRef>
          </c:cat>
          <c:val>
            <c:numRef>
              <c:f>DataTrans!$Z$3:$Z$6</c:f>
              <c:numCache>
                <c:formatCode>_-[$$-409]* #,##0_ ;_-[$$-409]* \-#,##0\ ;_-[$$-409]* "-"??_ ;_-@_ </c:formatCode>
                <c:ptCount val="4"/>
                <c:pt idx="0">
                  <c:v>366413.2181987564</c:v>
                </c:pt>
                <c:pt idx="1">
                  <c:v>0</c:v>
                </c:pt>
                <c:pt idx="2">
                  <c:v>0</c:v>
                </c:pt>
                <c:pt idx="3">
                  <c:v>3564.5020922842482</c:v>
                </c:pt>
              </c:numCache>
            </c:numRef>
          </c:val>
          <c:extLst>
            <c:ext xmlns:c16="http://schemas.microsoft.com/office/drawing/2014/chart" uri="{C3380CC4-5D6E-409C-BE32-E72D297353CC}">
              <c16:uniqueId val="{00000001-7A45-4BAD-9005-DA66BC3A191B}"/>
            </c:ext>
          </c:extLst>
        </c:ser>
        <c:ser>
          <c:idx val="2"/>
          <c:order val="2"/>
          <c:tx>
            <c:strRef>
              <c:f>DataTrans!$AA$2</c:f>
              <c:strCache>
                <c:ptCount val="1"/>
                <c:pt idx="0">
                  <c:v>Material</c:v>
                </c:pt>
              </c:strCache>
            </c:strRef>
          </c:tx>
          <c:spPr>
            <a:solidFill>
              <a:schemeClr val="accent5"/>
            </a:solidFill>
            <a:ln>
              <a:noFill/>
            </a:ln>
            <a:effectLst/>
          </c:spPr>
          <c:invertIfNegative val="0"/>
          <c:cat>
            <c:strRef>
              <c:f>DataTrans!$X$3:$X$6</c:f>
              <c:strCache>
                <c:ptCount val="4"/>
                <c:pt idx="0">
                  <c:v>Wet Etching</c:v>
                </c:pt>
                <c:pt idx="1">
                  <c:v>Visual Inspection</c:v>
                </c:pt>
                <c:pt idx="2">
                  <c:v>Wafer Saw Dicing</c:v>
                </c:pt>
                <c:pt idx="3">
                  <c:v>Sputtering</c:v>
                </c:pt>
              </c:strCache>
            </c:strRef>
          </c:cat>
          <c:val>
            <c:numRef>
              <c:f>DataTrans!$AA$3:$AA$6</c:f>
              <c:numCache>
                <c:formatCode>_-[$$-409]* #,##0_ ;_-[$$-409]* \-#,##0\ ;_-[$$-409]* "-"??_ ;_-@_ </c:formatCode>
                <c:ptCount val="4"/>
                <c:pt idx="0">
                  <c:v>565280.38598297909</c:v>
                </c:pt>
                <c:pt idx="1">
                  <c:v>1414598.5441431075</c:v>
                </c:pt>
                <c:pt idx="2">
                  <c:v>428214.81257342751</c:v>
                </c:pt>
                <c:pt idx="3">
                  <c:v>192365.76674425649</c:v>
                </c:pt>
              </c:numCache>
            </c:numRef>
          </c:val>
          <c:extLst>
            <c:ext xmlns:c16="http://schemas.microsoft.com/office/drawing/2014/chart" uri="{C3380CC4-5D6E-409C-BE32-E72D297353CC}">
              <c16:uniqueId val="{00000002-7A45-4BAD-9005-DA66BC3A191B}"/>
            </c:ext>
          </c:extLst>
        </c:ser>
        <c:ser>
          <c:idx val="3"/>
          <c:order val="3"/>
          <c:tx>
            <c:strRef>
              <c:f>DataTrans!$AB$2</c:f>
              <c:strCache>
                <c:ptCount val="1"/>
                <c:pt idx="0">
                  <c:v>Others</c:v>
                </c:pt>
              </c:strCache>
            </c:strRef>
          </c:tx>
          <c:spPr>
            <a:solidFill>
              <a:schemeClr val="accent5">
                <a:tint val="77000"/>
              </a:schemeClr>
            </a:solidFill>
            <a:ln>
              <a:noFill/>
            </a:ln>
            <a:effectLst/>
          </c:spPr>
          <c:invertIfNegative val="0"/>
          <c:cat>
            <c:strRef>
              <c:f>DataTrans!$X$3:$X$6</c:f>
              <c:strCache>
                <c:ptCount val="4"/>
                <c:pt idx="0">
                  <c:v>Wet Etching</c:v>
                </c:pt>
                <c:pt idx="1">
                  <c:v>Visual Inspection</c:v>
                </c:pt>
                <c:pt idx="2">
                  <c:v>Wafer Saw Dicing</c:v>
                </c:pt>
                <c:pt idx="3">
                  <c:v>Sputtering</c:v>
                </c:pt>
              </c:strCache>
            </c:strRef>
          </c:cat>
          <c:val>
            <c:numRef>
              <c:f>DataTrans!$AB$3:$AB$6</c:f>
              <c:numCache>
                <c:formatCode>_-[$$-409]* #,##0_ ;_-[$$-409]* \-#,##0\ ;_-[$$-409]* "-"??_ ;_-@_ </c:formatCode>
                <c:ptCount val="4"/>
                <c:pt idx="0">
                  <c:v>0</c:v>
                </c:pt>
                <c:pt idx="1">
                  <c:v>0</c:v>
                </c:pt>
                <c:pt idx="2">
                  <c:v>0</c:v>
                </c:pt>
                <c:pt idx="3">
                  <c:v>0</c:v>
                </c:pt>
              </c:numCache>
            </c:numRef>
          </c:val>
          <c:extLst xmlns:c15="http://schemas.microsoft.com/office/drawing/2012/chart">
            <c:ext xmlns:c16="http://schemas.microsoft.com/office/drawing/2014/chart" uri="{C3380CC4-5D6E-409C-BE32-E72D297353CC}">
              <c16:uniqueId val="{00000004-7A45-4BAD-9005-DA66BC3A191B}"/>
            </c:ext>
          </c:extLst>
        </c:ser>
        <c:dLbls>
          <c:showLegendKey val="0"/>
          <c:showVal val="0"/>
          <c:showCatName val="0"/>
          <c:showSerName val="0"/>
          <c:showPercent val="0"/>
          <c:showBubbleSize val="0"/>
        </c:dLbls>
        <c:gapWidth val="150"/>
        <c:overlap val="100"/>
        <c:axId val="1521239952"/>
        <c:axId val="1521251600"/>
        <c:extLst/>
      </c:barChart>
      <c:lineChart>
        <c:grouping val="standard"/>
        <c:varyColors val="0"/>
        <c:ser>
          <c:idx val="4"/>
          <c:order val="4"/>
          <c:tx>
            <c:strRef>
              <c:f>DataTrans!$AC$2</c:f>
              <c:strCache>
                <c:ptCount val="1"/>
                <c:pt idx="0">
                  <c:v>Total</c:v>
                </c:pt>
              </c:strCache>
            </c:strRef>
          </c:tx>
          <c:spPr>
            <a:ln w="28575" cap="rnd">
              <a:no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DataTrans!$X$3:$X$6</c:f>
              <c:strCache>
                <c:ptCount val="4"/>
                <c:pt idx="0">
                  <c:v>Wet Etching</c:v>
                </c:pt>
                <c:pt idx="1">
                  <c:v>Visual Inspection</c:v>
                </c:pt>
                <c:pt idx="2">
                  <c:v>Wafer Saw Dicing</c:v>
                </c:pt>
                <c:pt idx="3">
                  <c:v>Sputtering</c:v>
                </c:pt>
              </c:strCache>
            </c:strRef>
          </c:cat>
          <c:val>
            <c:numRef>
              <c:f>DataTrans!$AC$3:$AC$6</c:f>
              <c:numCache>
                <c:formatCode>_-[$$-409]* #,##0_ ;_-[$$-409]* \-#,##0\ ;_-[$$-409]* "-"??_ ;_-@_ </c:formatCode>
                <c:ptCount val="4"/>
                <c:pt idx="0">
                  <c:v>1691677.8798532735</c:v>
                </c:pt>
                <c:pt idx="1">
                  <c:v>1436828.8516090941</c:v>
                </c:pt>
                <c:pt idx="2">
                  <c:v>960676.93530273042</c:v>
                </c:pt>
                <c:pt idx="3">
                  <c:v>629774.44025497872</c:v>
                </c:pt>
              </c:numCache>
            </c:numRef>
          </c:val>
          <c:smooth val="0"/>
          <c:extLst>
            <c:ext xmlns:c16="http://schemas.microsoft.com/office/drawing/2014/chart" uri="{C3380CC4-5D6E-409C-BE32-E72D297353CC}">
              <c16:uniqueId val="{00000003-7A45-4BAD-9005-DA66BC3A191B}"/>
            </c:ext>
          </c:extLst>
        </c:ser>
        <c:dLbls>
          <c:showLegendKey val="0"/>
          <c:showVal val="0"/>
          <c:showCatName val="0"/>
          <c:showSerName val="0"/>
          <c:showPercent val="0"/>
          <c:showBubbleSize val="0"/>
        </c:dLbls>
        <c:marker val="1"/>
        <c:smooth val="0"/>
        <c:axId val="1521239952"/>
        <c:axId val="1521251600"/>
      </c:lineChart>
      <c:catAx>
        <c:axId val="1521239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1251600"/>
        <c:crosses val="autoZero"/>
        <c:auto val="1"/>
        <c:lblAlgn val="ctr"/>
        <c:lblOffset val="100"/>
        <c:noMultiLvlLbl val="0"/>
      </c:catAx>
      <c:valAx>
        <c:axId val="1521251600"/>
        <c:scaling>
          <c:orientation val="minMax"/>
        </c:scaling>
        <c:delete val="0"/>
        <c:axPos val="l"/>
        <c:numFmt formatCode="\$\ #,##0.00,,&quot; 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1239952"/>
        <c:crosses val="autoZero"/>
        <c:crossBetween val="between"/>
      </c:valAx>
      <c:spPr>
        <a:noFill/>
        <a:ln>
          <a:noFill/>
        </a:ln>
        <a:effectLst/>
      </c:spPr>
    </c:plotArea>
    <c:legend>
      <c:legendPos val="r"/>
      <c:legendEntry>
        <c:idx val="4"/>
        <c:delete val="1"/>
      </c:legendEntry>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rgbClr val="002060"/>
      </a:solidFill>
      <a:round/>
    </a:ln>
    <a:effectLst/>
  </c:spPr>
  <c:txPr>
    <a:bodyPr/>
    <a:lstStyle/>
    <a:p>
      <a:pPr>
        <a:defRPr/>
      </a:pPr>
      <a:endParaRPr lang="en-US"/>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PH" b="1"/>
              <a:t>Quarterly</a:t>
            </a:r>
            <a:r>
              <a:rPr lang="en-PH" b="1" baseline="0"/>
              <a:t> Saving Summary</a:t>
            </a:r>
            <a:endParaRPr lang="en-PH" b="1"/>
          </a:p>
        </c:rich>
      </c:tx>
      <c:layout>
        <c:manualLayout>
          <c:xMode val="edge"/>
          <c:yMode val="edge"/>
          <c:x val="7.0747248910399976E-2"/>
          <c:y val="1.677852348993288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146072623949529"/>
          <c:y val="0.19625279642058166"/>
          <c:w val="0.87751480892870037"/>
          <c:h val="0.58061221793584517"/>
        </c:manualLayout>
      </c:layout>
      <c:barChart>
        <c:barDir val="col"/>
        <c:grouping val="clustered"/>
        <c:varyColors val="0"/>
        <c:ser>
          <c:idx val="0"/>
          <c:order val="0"/>
          <c:spPr>
            <a:solidFill>
              <a:srgbClr val="002060"/>
            </a:solidFill>
            <a:ln>
              <a:noFill/>
            </a:ln>
            <a:effectLst/>
          </c:spPr>
          <c:invertIfNegative val="0"/>
          <c:dPt>
            <c:idx val="4"/>
            <c:invertIfNegative val="0"/>
            <c:bubble3D val="0"/>
            <c:spPr>
              <a:solidFill>
                <a:srgbClr val="00B050"/>
              </a:solidFill>
              <a:ln>
                <a:noFill/>
              </a:ln>
              <a:effectLst/>
            </c:spPr>
            <c:extLst>
              <c:ext xmlns:c16="http://schemas.microsoft.com/office/drawing/2014/chart" uri="{C3380CC4-5D6E-409C-BE32-E72D297353CC}">
                <c16:uniqueId val="{00000001-B423-42AF-A52F-503311EA0CD5}"/>
              </c:ext>
            </c:extLst>
          </c:dPt>
          <c:dPt>
            <c:idx val="5"/>
            <c:invertIfNegative val="0"/>
            <c:bubble3D val="0"/>
            <c:spPr>
              <a:solidFill>
                <a:srgbClr val="00B050"/>
              </a:solidFill>
              <a:ln>
                <a:noFill/>
              </a:ln>
              <a:effectLst/>
            </c:spPr>
            <c:extLst>
              <c:ext xmlns:c16="http://schemas.microsoft.com/office/drawing/2014/chart" uri="{C3380CC4-5D6E-409C-BE32-E72D297353CC}">
                <c16:uniqueId val="{00000003-B423-42AF-A52F-503311EA0CD5}"/>
              </c:ext>
            </c:extLst>
          </c:dPt>
          <c:dPt>
            <c:idx val="6"/>
            <c:invertIfNegative val="0"/>
            <c:bubble3D val="0"/>
            <c:spPr>
              <a:solidFill>
                <a:srgbClr val="00B050"/>
              </a:solidFill>
              <a:ln>
                <a:noFill/>
              </a:ln>
              <a:effectLst/>
            </c:spPr>
            <c:extLst>
              <c:ext xmlns:c16="http://schemas.microsoft.com/office/drawing/2014/chart" uri="{C3380CC4-5D6E-409C-BE32-E72D297353CC}">
                <c16:uniqueId val="{00000005-B423-42AF-A52F-503311EA0CD5}"/>
              </c:ext>
            </c:extLst>
          </c:dPt>
          <c:dPt>
            <c:idx val="7"/>
            <c:invertIfNegative val="0"/>
            <c:bubble3D val="0"/>
            <c:spPr>
              <a:solidFill>
                <a:srgbClr val="00B050"/>
              </a:solidFill>
              <a:ln>
                <a:noFill/>
              </a:ln>
              <a:effectLst/>
            </c:spPr>
            <c:extLst>
              <c:ext xmlns:c16="http://schemas.microsoft.com/office/drawing/2014/chart" uri="{C3380CC4-5D6E-409C-BE32-E72D297353CC}">
                <c16:uniqueId val="{00000007-B423-42AF-A52F-503311EA0CD5}"/>
              </c:ext>
            </c:extLst>
          </c:dPt>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DataTrans!$AX$12:$BE$13</c:f>
              <c:multiLvlStrCache>
                <c:ptCount val="8"/>
                <c:lvl>
                  <c:pt idx="0">
                    <c:v>Q1</c:v>
                  </c:pt>
                  <c:pt idx="1">
                    <c:v>Q2</c:v>
                  </c:pt>
                  <c:pt idx="2">
                    <c:v>Q3</c:v>
                  </c:pt>
                  <c:pt idx="3">
                    <c:v>Q4</c:v>
                  </c:pt>
                  <c:pt idx="4">
                    <c:v>Q1</c:v>
                  </c:pt>
                  <c:pt idx="5">
                    <c:v>Q2</c:v>
                  </c:pt>
                  <c:pt idx="6">
                    <c:v>Q3</c:v>
                  </c:pt>
                  <c:pt idx="7">
                    <c:v>Q4</c:v>
                  </c:pt>
                </c:lvl>
                <c:lvl>
                  <c:pt idx="0">
                    <c:v>Calendar Savings</c:v>
                  </c:pt>
                  <c:pt idx="4">
                    <c:v>Annual Savings</c:v>
                  </c:pt>
                </c:lvl>
              </c:multiLvlStrCache>
            </c:multiLvlStrRef>
          </c:cat>
          <c:val>
            <c:numRef>
              <c:f>DataTrans!$AX$17:$BE$17</c:f>
              <c:numCache>
                <c:formatCode>_-[$$-409]* #,##0_ ;_-[$$-409]* \-#,##0\ ;_-[$$-409]* "-"??_ ;_-@_ </c:formatCode>
                <c:ptCount val="8"/>
                <c:pt idx="0">
                  <c:v>338850.82401239488</c:v>
                </c:pt>
                <c:pt idx="1">
                  <c:v>647548.47695480031</c:v>
                </c:pt>
                <c:pt idx="2">
                  <c:v>1530737.1034503055</c:v>
                </c:pt>
                <c:pt idx="3">
                  <c:v>2201823.950602578</c:v>
                </c:pt>
                <c:pt idx="4">
                  <c:v>3288284.339883327</c:v>
                </c:pt>
                <c:pt idx="5">
                  <c:v>3125655.3578702877</c:v>
                </c:pt>
                <c:pt idx="6">
                  <c:v>2957655.5966038429</c:v>
                </c:pt>
                <c:pt idx="7">
                  <c:v>2526724.4663808914</c:v>
                </c:pt>
              </c:numCache>
            </c:numRef>
          </c:val>
          <c:extLst>
            <c:ext xmlns:c16="http://schemas.microsoft.com/office/drawing/2014/chart" uri="{C3380CC4-5D6E-409C-BE32-E72D297353CC}">
              <c16:uniqueId val="{00000008-B423-42AF-A52F-503311EA0CD5}"/>
            </c:ext>
          </c:extLst>
        </c:ser>
        <c:dLbls>
          <c:showLegendKey val="0"/>
          <c:showVal val="0"/>
          <c:showCatName val="0"/>
          <c:showSerName val="0"/>
          <c:showPercent val="0"/>
          <c:showBubbleSize val="0"/>
        </c:dLbls>
        <c:gapWidth val="64"/>
        <c:overlap val="20"/>
        <c:axId val="1257360656"/>
        <c:axId val="1257359824"/>
      </c:barChart>
      <c:catAx>
        <c:axId val="1257360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359824"/>
        <c:crosses val="autoZero"/>
        <c:auto val="1"/>
        <c:lblAlgn val="ctr"/>
        <c:lblOffset val="100"/>
        <c:noMultiLvlLbl val="0"/>
      </c:catAx>
      <c:valAx>
        <c:axId val="1257359824"/>
        <c:scaling>
          <c:orientation val="minMax"/>
        </c:scaling>
        <c:delete val="0"/>
        <c:axPos val="l"/>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360656"/>
        <c:crosses val="autoZero"/>
        <c:crossBetween val="between"/>
      </c:valAx>
      <c:spPr>
        <a:noFill/>
        <a:ln>
          <a:noFill/>
        </a:ln>
        <a:effectLst/>
      </c:spPr>
    </c:plotArea>
    <c:plotVisOnly val="1"/>
    <c:dispBlanksAs val="gap"/>
    <c:showDLblsOverMax val="0"/>
  </c:chart>
  <c:spPr>
    <a:solidFill>
      <a:schemeClr val="bg1"/>
    </a:solidFill>
    <a:ln w="9525" cap="flat" cmpd="sng" algn="ctr">
      <a:solidFill>
        <a:srgbClr val="002060"/>
      </a:solidFill>
      <a:round/>
    </a:ln>
    <a:effectLst/>
  </c:spPr>
  <c:txPr>
    <a:bodyPr/>
    <a:lstStyle/>
    <a:p>
      <a:pPr>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Scroll" dx="26" fmlaLink="DataTrans!$I$1" max="55" page="10" val="0"/>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chart" Target="../charts/chart2.xml"/><Relationship Id="rId1" Type="http://schemas.openxmlformats.org/officeDocument/2006/relationships/chart" Target="../charts/chart1.xml"/><Relationship Id="rId9" Type="http://schemas.openxmlformats.org/officeDocument/2006/relationships/image" Target="../../ppt/media/image8.sv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5" Type="http://schemas.openxmlformats.org/officeDocument/2006/relationships/image" Target="../../ppt/media/image4.svg"/></Relationships>
</file>

<file path=xl/drawings/_rels/drawing3.xml.rels><?xml version="1.0" encoding="UTF-8" standalone="yes"?>
<Relationships xmlns="http://schemas.openxmlformats.org/package/2006/relationships"><Relationship Id="rId7" Type="http://schemas.openxmlformats.org/officeDocument/2006/relationships/image" Target="../../ppt/media/image6.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chart" Target="../charts/chart3.xml"/><Relationship Id="rId11" Type="http://schemas.openxmlformats.org/officeDocument/2006/relationships/image" Target="../../ppt/media/image10.svg"/><Relationship Id="rId10" Type="http://schemas.openxmlformats.org/officeDocument/2006/relationships/image" Target="../media/image5.png"/><Relationship Id="rId9" Type="http://schemas.openxmlformats.org/officeDocument/2006/relationships/image" Target="../../ppt/media/image8.svg"/></Relationships>
</file>

<file path=xl/drawings/_rels/drawing5.xml.rels><?xml version="1.0" encoding="UTF-8" standalone="yes"?>
<Relationships xmlns="http://schemas.openxmlformats.org/package/2006/relationships"><Relationship Id="rId13" Type="http://schemas.openxmlformats.org/officeDocument/2006/relationships/image" Target="../../ppt/media/image12.sv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19</xdr:col>
      <xdr:colOff>1407</xdr:colOff>
      <xdr:row>28</xdr:row>
      <xdr:rowOff>26895</xdr:rowOff>
    </xdr:from>
    <xdr:to>
      <xdr:col>21</xdr:col>
      <xdr:colOff>165851</xdr:colOff>
      <xdr:row>32</xdr:row>
      <xdr:rowOff>179294</xdr:rowOff>
    </xdr:to>
    <xdr:grpSp>
      <xdr:nvGrpSpPr>
        <xdr:cNvPr id="22" name="Group 21"/>
        <xdr:cNvGrpSpPr/>
      </xdr:nvGrpSpPr>
      <xdr:grpSpPr>
        <a:xfrm>
          <a:off x="9853619" y="5289177"/>
          <a:ext cx="1383644" cy="869576"/>
          <a:chOff x="11001102" y="5289177"/>
          <a:chExt cx="1383644" cy="869576"/>
        </a:xfrm>
      </xdr:grpSpPr>
      <xdr:sp macro="" textlink="">
        <xdr:nvSpPr>
          <xdr:cNvPr id="12" name="Rounded Rectangle 11"/>
          <xdr:cNvSpPr/>
        </xdr:nvSpPr>
        <xdr:spPr>
          <a:xfrm>
            <a:off x="11001102" y="5359793"/>
            <a:ext cx="1320893" cy="615722"/>
          </a:xfrm>
          <a:prstGeom prst="roundRect">
            <a:avLst>
              <a:gd name="adj" fmla="val 0"/>
            </a:avLst>
          </a:prstGeom>
          <a:solidFill>
            <a:schemeClr val="accent5">
              <a:lumMod val="20000"/>
              <a:lumOff val="80000"/>
            </a:schemeClr>
          </a:solidFill>
          <a:ln>
            <a:solidFill>
              <a:srgbClr val="0070C0"/>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PH" sz="900" b="1">
                <a:solidFill>
                  <a:srgbClr val="002060"/>
                </a:solidFill>
              </a:rPr>
              <a:t>Labor Cost Savings</a:t>
            </a:r>
          </a:p>
        </xdr:txBody>
      </xdr:sp>
      <xdr:sp macro="" textlink="DataTrans!AO30">
        <xdr:nvSpPr>
          <xdr:cNvPr id="13" name="Rectangle 12"/>
          <xdr:cNvSpPr/>
        </xdr:nvSpPr>
        <xdr:spPr>
          <a:xfrm>
            <a:off x="11002021" y="5289177"/>
            <a:ext cx="1382725" cy="86957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B2D2DD1E-AAE4-4961-A021-5895DEF507B5}" type="TxLink">
              <a:rPr lang="en-US" sz="2000" b="1" i="0" u="none" strike="noStrike">
                <a:solidFill>
                  <a:srgbClr val="002060"/>
                </a:solidFill>
                <a:latin typeface="Calibri"/>
                <a:ea typeface="Calibri"/>
                <a:cs typeface="Calibri"/>
              </a:rPr>
              <a:pPr algn="ctr"/>
              <a:t>$ 4.78M</a:t>
            </a:fld>
            <a:endParaRPr lang="en-PH" sz="2000" b="1">
              <a:solidFill>
                <a:srgbClr val="002060"/>
              </a:solidFill>
            </a:endParaRPr>
          </a:p>
        </xdr:txBody>
      </xdr:sp>
    </xdr:grpSp>
    <xdr:clientData/>
  </xdr:twoCellAnchor>
  <xdr:twoCellAnchor>
    <xdr:from>
      <xdr:col>21</xdr:col>
      <xdr:colOff>183860</xdr:colOff>
      <xdr:row>28</xdr:row>
      <xdr:rowOff>71718</xdr:rowOff>
    </xdr:from>
    <xdr:to>
      <xdr:col>23</xdr:col>
      <xdr:colOff>347385</xdr:colOff>
      <xdr:row>33</xdr:row>
      <xdr:rowOff>35858</xdr:rowOff>
    </xdr:to>
    <xdr:grpSp>
      <xdr:nvGrpSpPr>
        <xdr:cNvPr id="21" name="Group 20"/>
        <xdr:cNvGrpSpPr/>
      </xdr:nvGrpSpPr>
      <xdr:grpSpPr>
        <a:xfrm>
          <a:off x="11255272" y="5334000"/>
          <a:ext cx="1382725" cy="869576"/>
          <a:chOff x="12398273" y="5334000"/>
          <a:chExt cx="1382725" cy="869576"/>
        </a:xfrm>
      </xdr:grpSpPr>
      <xdr:sp macro="" textlink="">
        <xdr:nvSpPr>
          <xdr:cNvPr id="10" name="Rounded Rectangle 9"/>
          <xdr:cNvSpPr/>
        </xdr:nvSpPr>
        <xdr:spPr>
          <a:xfrm>
            <a:off x="12424248" y="5359796"/>
            <a:ext cx="1320892" cy="615722"/>
          </a:xfrm>
          <a:prstGeom prst="roundRect">
            <a:avLst>
              <a:gd name="adj" fmla="val 0"/>
            </a:avLst>
          </a:prstGeom>
          <a:solidFill>
            <a:schemeClr val="accent5">
              <a:lumMod val="20000"/>
              <a:lumOff val="80000"/>
            </a:schemeClr>
          </a:solidFill>
          <a:ln>
            <a:solidFill>
              <a:srgbClr val="0070C0"/>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marL="0" indent="0" algn="l"/>
            <a:r>
              <a:rPr lang="en-PH" sz="900" b="1">
                <a:solidFill>
                  <a:srgbClr val="002060"/>
                </a:solidFill>
                <a:latin typeface="+mn-lt"/>
                <a:ea typeface="+mn-ea"/>
                <a:cs typeface="+mn-cs"/>
              </a:rPr>
              <a:t>Yield Cost Saving</a:t>
            </a:r>
          </a:p>
        </xdr:txBody>
      </xdr:sp>
      <xdr:sp macro="" textlink="DataTrans!AP30">
        <xdr:nvSpPr>
          <xdr:cNvPr id="11" name="Rectangle 10"/>
          <xdr:cNvSpPr/>
        </xdr:nvSpPr>
        <xdr:spPr>
          <a:xfrm>
            <a:off x="12398273" y="5334000"/>
            <a:ext cx="1382725" cy="86957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532DF573-C432-4D44-A406-EE9AE1CA538A}" type="TxLink">
              <a:rPr lang="en-US" sz="2000" b="1" i="0" u="none" strike="noStrike">
                <a:solidFill>
                  <a:srgbClr val="002060"/>
                </a:solidFill>
                <a:latin typeface="Calibri"/>
                <a:ea typeface="Calibri"/>
                <a:cs typeface="Calibri"/>
              </a:rPr>
              <a:pPr algn="ctr"/>
              <a:t>$ 1.12M</a:t>
            </a:fld>
            <a:endParaRPr lang="en-PH" sz="2000" b="1">
              <a:solidFill>
                <a:srgbClr val="002060"/>
              </a:solidFill>
            </a:endParaRPr>
          </a:p>
        </xdr:txBody>
      </xdr:sp>
    </xdr:grpSp>
    <xdr:clientData/>
  </xdr:twoCellAnchor>
  <xdr:twoCellAnchor>
    <xdr:from>
      <xdr:col>23</xdr:col>
      <xdr:colOff>365395</xdr:colOff>
      <xdr:row>28</xdr:row>
      <xdr:rowOff>62753</xdr:rowOff>
    </xdr:from>
    <xdr:to>
      <xdr:col>25</xdr:col>
      <xdr:colOff>528920</xdr:colOff>
      <xdr:row>33</xdr:row>
      <xdr:rowOff>26893</xdr:rowOff>
    </xdr:to>
    <xdr:grpSp>
      <xdr:nvGrpSpPr>
        <xdr:cNvPr id="2" name="Group 1"/>
        <xdr:cNvGrpSpPr/>
      </xdr:nvGrpSpPr>
      <xdr:grpSpPr>
        <a:xfrm>
          <a:off x="12656007" y="5325035"/>
          <a:ext cx="1382725" cy="869576"/>
          <a:chOff x="13830384" y="5504329"/>
          <a:chExt cx="1382725" cy="869576"/>
        </a:xfrm>
      </xdr:grpSpPr>
      <xdr:sp macro="" textlink="">
        <xdr:nvSpPr>
          <xdr:cNvPr id="8" name="Rounded Rectangle 7"/>
          <xdr:cNvSpPr/>
        </xdr:nvSpPr>
        <xdr:spPr>
          <a:xfrm>
            <a:off x="13865324" y="5539091"/>
            <a:ext cx="1320892" cy="615722"/>
          </a:xfrm>
          <a:prstGeom prst="roundRect">
            <a:avLst>
              <a:gd name="adj" fmla="val 0"/>
            </a:avLst>
          </a:prstGeom>
          <a:solidFill>
            <a:schemeClr val="accent5">
              <a:lumMod val="20000"/>
              <a:lumOff val="80000"/>
            </a:schemeClr>
          </a:solidFill>
          <a:ln>
            <a:solidFill>
              <a:srgbClr val="0070C0"/>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marL="0" indent="0" algn="l"/>
            <a:r>
              <a:rPr lang="en-PH" sz="900" b="1">
                <a:solidFill>
                  <a:srgbClr val="002060"/>
                </a:solidFill>
                <a:latin typeface="+mn-lt"/>
                <a:ea typeface="+mn-ea"/>
                <a:cs typeface="+mn-cs"/>
              </a:rPr>
              <a:t>Material Cost Saving</a:t>
            </a:r>
          </a:p>
        </xdr:txBody>
      </xdr:sp>
      <xdr:sp macro="" textlink="DataTrans!AQ30">
        <xdr:nvSpPr>
          <xdr:cNvPr id="9" name="Rectangle 8"/>
          <xdr:cNvSpPr/>
        </xdr:nvSpPr>
        <xdr:spPr>
          <a:xfrm>
            <a:off x="13830384" y="5504329"/>
            <a:ext cx="1382725" cy="86957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D7B33784-E3D9-4D19-BDD7-AF29C1EB96D2}" type="TxLink">
              <a:rPr lang="en-US" sz="2000" b="1" i="0" u="none" strike="noStrike">
                <a:solidFill>
                  <a:srgbClr val="002060"/>
                </a:solidFill>
                <a:latin typeface="Calibri"/>
                <a:ea typeface="Calibri"/>
                <a:cs typeface="Calibri"/>
              </a:rPr>
              <a:pPr algn="ctr"/>
              <a:t>$ 6.00M</a:t>
            </a:fld>
            <a:endParaRPr lang="en-PH" sz="2000" b="1">
              <a:solidFill>
                <a:srgbClr val="002060"/>
              </a:solidFill>
            </a:endParaRPr>
          </a:p>
        </xdr:txBody>
      </xdr:sp>
    </xdr:grpSp>
    <xdr:clientData/>
  </xdr:twoCellAnchor>
  <xdr:twoCellAnchor>
    <xdr:from>
      <xdr:col>18</xdr:col>
      <xdr:colOff>591674</xdr:colOff>
      <xdr:row>2</xdr:row>
      <xdr:rowOff>89646</xdr:rowOff>
    </xdr:from>
    <xdr:to>
      <xdr:col>25</xdr:col>
      <xdr:colOff>493062</xdr:colOff>
      <xdr:row>27</xdr:row>
      <xdr:rowOff>143435</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18</xdr:col>
          <xdr:colOff>91440</xdr:colOff>
          <xdr:row>2</xdr:row>
          <xdr:rowOff>83820</xdr:rowOff>
        </xdr:from>
        <xdr:to>
          <xdr:col>18</xdr:col>
          <xdr:colOff>525780</xdr:colOff>
          <xdr:row>27</xdr:row>
          <xdr:rowOff>137160</xdr:rowOff>
        </xdr:to>
        <xdr:sp macro="" textlink="">
          <xdr:nvSpPr>
            <xdr:cNvPr id="11265" name="Scroll Bar 1" hidden="1">
              <a:extLst>
                <a:ext uri="{63B3BB69-23CF-44E3-9099-C40C66FF867C}">
                  <a14:compatExt spid="_x0000_s11265"/>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15</xdr:col>
      <xdr:colOff>71717</xdr:colOff>
      <xdr:row>2</xdr:row>
      <xdr:rowOff>98611</xdr:rowOff>
    </xdr:from>
    <xdr:to>
      <xdr:col>17</xdr:col>
      <xdr:colOff>565410</xdr:colOff>
      <xdr:row>10</xdr:row>
      <xdr:rowOff>98612</xdr:rowOff>
    </xdr:to>
    <mc:AlternateContent xmlns:mc="http://schemas.openxmlformats.org/markup-compatibility/2006">
      <mc:Choice xmlns:a14="http://schemas.microsoft.com/office/drawing/2010/main" Requires="a14">
        <xdr:graphicFrame macro="">
          <xdr:nvGraphicFramePr>
            <xdr:cNvPr id="15" name="VC Project 1"/>
            <xdr:cNvGraphicFramePr/>
          </xdr:nvGraphicFramePr>
          <xdr:xfrm>
            <a:off x="0" y="0"/>
            <a:ext cx="0" cy="0"/>
          </xdr:xfrm>
          <a:graphic>
            <a:graphicData uri="http://schemas.microsoft.com/office/drawing/2010/slicer">
              <sle:slicer xmlns:sle="http://schemas.microsoft.com/office/drawing/2010/slicer" name="VC Project 1"/>
            </a:graphicData>
          </a:graphic>
        </xdr:graphicFrame>
      </mc:Choice>
      <mc:Fallback>
        <xdr:sp macro="" textlink="">
          <xdr:nvSpPr>
            <xdr:cNvPr id="0" name=""/>
            <xdr:cNvSpPr>
              <a:spLocks noTextEdit="1"/>
            </xdr:cNvSpPr>
          </xdr:nvSpPr>
          <xdr:spPr>
            <a:xfrm>
              <a:off x="7485529" y="681317"/>
              <a:ext cx="1712893" cy="1434354"/>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62752</xdr:colOff>
      <xdr:row>11</xdr:row>
      <xdr:rowOff>1</xdr:rowOff>
    </xdr:from>
    <xdr:to>
      <xdr:col>17</xdr:col>
      <xdr:colOff>555812</xdr:colOff>
      <xdr:row>17</xdr:row>
      <xdr:rowOff>89647</xdr:rowOff>
    </xdr:to>
    <mc:AlternateContent xmlns:mc="http://schemas.openxmlformats.org/markup-compatibility/2006">
      <mc:Choice xmlns:a14="http://schemas.microsoft.com/office/drawing/2010/main" Requires="a14">
        <xdr:graphicFrame macro="">
          <xdr:nvGraphicFramePr>
            <xdr:cNvPr id="16" name="Category 1"/>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7476564" y="2196354"/>
              <a:ext cx="1712260" cy="1165411"/>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xdr:colOff>
      <xdr:row>2</xdr:row>
      <xdr:rowOff>80681</xdr:rowOff>
    </xdr:from>
    <xdr:to>
      <xdr:col>14</xdr:col>
      <xdr:colOff>0</xdr:colOff>
      <xdr:row>17</xdr:row>
      <xdr:rowOff>71717</xdr:rowOff>
    </xdr:to>
    <xdr:graphicFrame macro="">
      <xdr:nvGraphicFramePr>
        <xdr:cNvPr id="17" name="Chart 1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31</xdr:col>
      <xdr:colOff>382496</xdr:colOff>
      <xdr:row>46</xdr:row>
      <xdr:rowOff>28710</xdr:rowOff>
    </xdr:from>
    <xdr:to>
      <xdr:col>39</xdr:col>
      <xdr:colOff>58271</xdr:colOff>
      <xdr:row>52</xdr:row>
      <xdr:rowOff>44822</xdr:rowOff>
    </xdr:to>
    <xdr:grpSp>
      <xdr:nvGrpSpPr>
        <xdr:cNvPr id="27" name="Group 26"/>
        <xdr:cNvGrpSpPr/>
      </xdr:nvGrpSpPr>
      <xdr:grpSpPr>
        <a:xfrm>
          <a:off x="19656614" y="8527251"/>
          <a:ext cx="4911163" cy="1091877"/>
          <a:chOff x="9011027" y="4968265"/>
          <a:chExt cx="4444998" cy="1091876"/>
        </a:xfrm>
      </xdr:grpSpPr>
      <xdr:grpSp>
        <xdr:nvGrpSpPr>
          <xdr:cNvPr id="28" name="Group 27"/>
          <xdr:cNvGrpSpPr/>
        </xdr:nvGrpSpPr>
        <xdr:grpSpPr>
          <a:xfrm>
            <a:off x="9011027" y="4968265"/>
            <a:ext cx="1408951" cy="537112"/>
            <a:chOff x="304802" y="855132"/>
            <a:chExt cx="1600199" cy="584201"/>
          </a:xfrm>
        </xdr:grpSpPr>
        <xdr:sp macro="" textlink="">
          <xdr:nvSpPr>
            <xdr:cNvPr id="38" name="Rounded Rectangle 37"/>
            <xdr:cNvSpPr/>
          </xdr:nvSpPr>
          <xdr:spPr>
            <a:xfrm>
              <a:off x="304802" y="855132"/>
              <a:ext cx="1600199" cy="584201"/>
            </a:xfrm>
            <a:prstGeom prst="roundRect">
              <a:avLst>
                <a:gd name="adj" fmla="val 0"/>
              </a:avLst>
            </a:prstGeom>
            <a:solidFill>
              <a:schemeClr val="accent5">
                <a:lumMod val="20000"/>
                <a:lumOff val="80000"/>
              </a:schemeClr>
            </a:solidFill>
            <a:ln>
              <a:solidFill>
                <a:srgbClr val="0070C0"/>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PH" sz="900" b="1">
                  <a:solidFill>
                    <a:srgbClr val="002060"/>
                  </a:solidFill>
                </a:rPr>
                <a:t>Labor Cost Saving</a:t>
              </a:r>
            </a:p>
          </xdr:txBody>
        </xdr:sp>
        <xdr:sp macro="" textlink="DataTrans!AO30">
          <xdr:nvSpPr>
            <xdr:cNvPr id="39" name="Rectangle 38"/>
            <xdr:cNvSpPr/>
          </xdr:nvSpPr>
          <xdr:spPr>
            <a:xfrm>
              <a:off x="533400" y="1049867"/>
              <a:ext cx="1193800" cy="3556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B2D2DD1E-AAE4-4961-A021-5895DEF507B5}" type="TxLink">
                <a:rPr lang="en-US" sz="1600" b="1" i="0" u="none" strike="noStrike">
                  <a:solidFill>
                    <a:srgbClr val="002060"/>
                  </a:solidFill>
                  <a:latin typeface="Calibri"/>
                  <a:ea typeface="Calibri"/>
                  <a:cs typeface="Calibri"/>
                </a:rPr>
                <a:pPr algn="l"/>
                <a:t>$ 4.78M</a:t>
              </a:fld>
              <a:endParaRPr lang="en-PH" sz="1600" b="1">
                <a:solidFill>
                  <a:srgbClr val="002060"/>
                </a:solidFill>
              </a:endParaRPr>
            </a:p>
          </xdr:txBody>
        </xdr:sp>
      </xdr:grpSp>
      <xdr:grpSp>
        <xdr:nvGrpSpPr>
          <xdr:cNvPr id="29" name="Group 28"/>
          <xdr:cNvGrpSpPr/>
        </xdr:nvGrpSpPr>
        <xdr:grpSpPr>
          <a:xfrm>
            <a:off x="10529049" y="4968265"/>
            <a:ext cx="1408951" cy="537112"/>
            <a:chOff x="304802" y="855132"/>
            <a:chExt cx="1600199" cy="584201"/>
          </a:xfrm>
        </xdr:grpSpPr>
        <xdr:sp macro="" textlink="">
          <xdr:nvSpPr>
            <xdr:cNvPr id="36" name="Rounded Rectangle 35"/>
            <xdr:cNvSpPr/>
          </xdr:nvSpPr>
          <xdr:spPr>
            <a:xfrm>
              <a:off x="304802" y="855132"/>
              <a:ext cx="1600199" cy="584201"/>
            </a:xfrm>
            <a:prstGeom prst="roundRect">
              <a:avLst>
                <a:gd name="adj" fmla="val 0"/>
              </a:avLst>
            </a:prstGeom>
            <a:solidFill>
              <a:schemeClr val="accent5">
                <a:lumMod val="20000"/>
                <a:lumOff val="80000"/>
              </a:schemeClr>
            </a:solidFill>
            <a:ln>
              <a:solidFill>
                <a:srgbClr val="0070C0"/>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marL="0" indent="0" algn="l"/>
              <a:r>
                <a:rPr lang="en-PH" sz="900" b="1">
                  <a:solidFill>
                    <a:srgbClr val="002060"/>
                  </a:solidFill>
                  <a:latin typeface="+mn-lt"/>
                  <a:ea typeface="+mn-ea"/>
                  <a:cs typeface="+mn-cs"/>
                </a:rPr>
                <a:t>Yield Cost Saving</a:t>
              </a:r>
            </a:p>
          </xdr:txBody>
        </xdr:sp>
        <xdr:sp macro="" textlink="DataTrans!AP30">
          <xdr:nvSpPr>
            <xdr:cNvPr id="37" name="Rectangle 36"/>
            <xdr:cNvSpPr/>
          </xdr:nvSpPr>
          <xdr:spPr>
            <a:xfrm>
              <a:off x="533400" y="1049867"/>
              <a:ext cx="1193800" cy="3556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532DF573-C432-4D44-A406-EE9AE1CA538A}" type="TxLink">
                <a:rPr lang="en-US" sz="1600" b="1" i="0" u="none" strike="noStrike">
                  <a:solidFill>
                    <a:srgbClr val="002060"/>
                  </a:solidFill>
                  <a:latin typeface="Calibri"/>
                  <a:ea typeface="Calibri"/>
                  <a:cs typeface="Calibri"/>
                </a:rPr>
                <a:pPr algn="l"/>
                <a:t>$ 1.12M</a:t>
              </a:fld>
              <a:endParaRPr lang="en-PH" sz="1600" b="1">
                <a:solidFill>
                  <a:srgbClr val="002060"/>
                </a:solidFill>
              </a:endParaRPr>
            </a:p>
          </xdr:txBody>
        </xdr:sp>
      </xdr:grpSp>
      <xdr:grpSp>
        <xdr:nvGrpSpPr>
          <xdr:cNvPr id="30" name="Group 29"/>
          <xdr:cNvGrpSpPr/>
        </xdr:nvGrpSpPr>
        <xdr:grpSpPr>
          <a:xfrm>
            <a:off x="12047072" y="4968265"/>
            <a:ext cx="1408951" cy="537112"/>
            <a:chOff x="304802" y="855132"/>
            <a:chExt cx="1600199" cy="584201"/>
          </a:xfrm>
        </xdr:grpSpPr>
        <xdr:sp macro="" textlink="">
          <xdr:nvSpPr>
            <xdr:cNvPr id="34" name="Rounded Rectangle 33"/>
            <xdr:cNvSpPr/>
          </xdr:nvSpPr>
          <xdr:spPr>
            <a:xfrm>
              <a:off x="304802" y="855132"/>
              <a:ext cx="1600199" cy="584201"/>
            </a:xfrm>
            <a:prstGeom prst="roundRect">
              <a:avLst>
                <a:gd name="adj" fmla="val 0"/>
              </a:avLst>
            </a:prstGeom>
            <a:solidFill>
              <a:schemeClr val="accent5">
                <a:lumMod val="20000"/>
                <a:lumOff val="80000"/>
              </a:schemeClr>
            </a:solidFill>
            <a:ln>
              <a:solidFill>
                <a:srgbClr val="0070C0"/>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marL="0" indent="0" algn="l"/>
              <a:r>
                <a:rPr lang="en-PH" sz="900" b="1">
                  <a:solidFill>
                    <a:srgbClr val="002060"/>
                  </a:solidFill>
                  <a:latin typeface="+mn-lt"/>
                  <a:ea typeface="+mn-ea"/>
                  <a:cs typeface="+mn-cs"/>
                </a:rPr>
                <a:t>Material Cost Saving</a:t>
              </a:r>
            </a:p>
          </xdr:txBody>
        </xdr:sp>
        <xdr:sp macro="" textlink="DataTrans!AQ30">
          <xdr:nvSpPr>
            <xdr:cNvPr id="35" name="Rectangle 34"/>
            <xdr:cNvSpPr/>
          </xdr:nvSpPr>
          <xdr:spPr>
            <a:xfrm>
              <a:off x="533400" y="1049867"/>
              <a:ext cx="1193800" cy="3556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D7B33784-E3D9-4D19-BDD7-AF29C1EB96D2}" type="TxLink">
                <a:rPr lang="en-US" sz="1600" b="1" i="0" u="none" strike="noStrike">
                  <a:solidFill>
                    <a:srgbClr val="002060"/>
                  </a:solidFill>
                  <a:latin typeface="Calibri"/>
                  <a:ea typeface="Calibri"/>
                  <a:cs typeface="Calibri"/>
                </a:rPr>
                <a:pPr algn="l"/>
                <a:t>$ 6.00M</a:t>
              </a:fld>
              <a:endParaRPr lang="en-PH" sz="1600" b="1">
                <a:solidFill>
                  <a:srgbClr val="002060"/>
                </a:solidFill>
              </a:endParaRPr>
            </a:p>
          </xdr:txBody>
        </xdr:sp>
      </xdr:grpSp>
      <xdr:grpSp>
        <xdr:nvGrpSpPr>
          <xdr:cNvPr id="31" name="Group 30"/>
          <xdr:cNvGrpSpPr/>
        </xdr:nvGrpSpPr>
        <xdr:grpSpPr>
          <a:xfrm>
            <a:off x="9018495" y="5568899"/>
            <a:ext cx="4437530" cy="491242"/>
            <a:chOff x="304802" y="855132"/>
            <a:chExt cx="1600199" cy="584201"/>
          </a:xfrm>
        </xdr:grpSpPr>
        <xdr:sp macro="" textlink="">
          <xdr:nvSpPr>
            <xdr:cNvPr id="32" name="Rounded Rectangle 31"/>
            <xdr:cNvSpPr/>
          </xdr:nvSpPr>
          <xdr:spPr>
            <a:xfrm>
              <a:off x="304802" y="855132"/>
              <a:ext cx="1600199" cy="584201"/>
            </a:xfrm>
            <a:prstGeom prst="roundRect">
              <a:avLst>
                <a:gd name="adj" fmla="val 0"/>
              </a:avLst>
            </a:prstGeom>
            <a:solidFill>
              <a:srgbClr val="002060"/>
            </a:solidFill>
            <a:ln>
              <a:solidFill>
                <a:srgbClr val="0070C0"/>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r>
                <a:rPr lang="en-PH" sz="900" b="1">
                  <a:solidFill>
                    <a:schemeClr val="bg1"/>
                  </a:solidFill>
                </a:rPr>
                <a:t>TOTAL</a:t>
              </a:r>
              <a:r>
                <a:rPr lang="en-PH" sz="900" b="1" baseline="0">
                  <a:solidFill>
                    <a:schemeClr val="bg1"/>
                  </a:solidFill>
                </a:rPr>
                <a:t> COST SAVINGS</a:t>
              </a:r>
              <a:endParaRPr lang="en-PH" sz="900" b="1">
                <a:solidFill>
                  <a:schemeClr val="bg1"/>
                </a:solidFill>
              </a:endParaRPr>
            </a:p>
          </xdr:txBody>
        </xdr:sp>
        <xdr:sp macro="" textlink="DataTrans!AS30">
          <xdr:nvSpPr>
            <xdr:cNvPr id="33" name="Rectangle 32"/>
            <xdr:cNvSpPr/>
          </xdr:nvSpPr>
          <xdr:spPr>
            <a:xfrm>
              <a:off x="909351" y="1017882"/>
              <a:ext cx="426905" cy="3556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0F8B4FDA-5A19-4B3E-8C07-75F778E654CD}" type="TxLink">
                <a:rPr lang="en-US" sz="1600" b="1" i="0" u="none" strike="noStrike">
                  <a:solidFill>
                    <a:schemeClr val="bg1"/>
                  </a:solidFill>
                  <a:latin typeface="Calibri"/>
                  <a:ea typeface="Calibri"/>
                  <a:cs typeface="Calibri"/>
                </a:rPr>
                <a:pPr algn="l"/>
                <a:t>$ 11.90M</a:t>
              </a:fld>
              <a:endParaRPr lang="en-US" sz="2800" b="1" i="0" u="none" strike="noStrike">
                <a:solidFill>
                  <a:schemeClr val="bg1"/>
                </a:solidFill>
                <a:latin typeface="Calibri"/>
                <a:ea typeface="Calibri"/>
                <a:cs typeface="Calibri"/>
              </a:endParaRPr>
            </a:p>
          </xdr:txBody>
        </xdr:sp>
      </xdr:grpSp>
    </xdr:grpSp>
    <xdr:clientData/>
  </xdr:twoCellAnchor>
  <xdr:twoCellAnchor>
    <xdr:from>
      <xdr:col>14</xdr:col>
      <xdr:colOff>11649</xdr:colOff>
      <xdr:row>25</xdr:row>
      <xdr:rowOff>116541</xdr:rowOff>
    </xdr:from>
    <xdr:to>
      <xdr:col>17</xdr:col>
      <xdr:colOff>596151</xdr:colOff>
      <xdr:row>32</xdr:row>
      <xdr:rowOff>98612</xdr:rowOff>
    </xdr:to>
    <xdr:grpSp>
      <xdr:nvGrpSpPr>
        <xdr:cNvPr id="50" name="Group 49"/>
        <xdr:cNvGrpSpPr/>
      </xdr:nvGrpSpPr>
      <xdr:grpSpPr>
        <a:xfrm>
          <a:off x="7371673" y="4840941"/>
          <a:ext cx="1857490" cy="1237130"/>
          <a:chOff x="7598357" y="2886635"/>
          <a:chExt cx="2155116" cy="808113"/>
        </a:xfrm>
      </xdr:grpSpPr>
      <xdr:sp macro="" textlink="">
        <xdr:nvSpPr>
          <xdr:cNvPr id="51" name="Rounded Rectangle 50"/>
          <xdr:cNvSpPr/>
        </xdr:nvSpPr>
        <xdr:spPr>
          <a:xfrm>
            <a:off x="7709646" y="2886635"/>
            <a:ext cx="1999130" cy="744071"/>
          </a:xfrm>
          <a:prstGeom prst="roundRect">
            <a:avLst>
              <a:gd name="adj" fmla="val 0"/>
            </a:avLst>
          </a:prstGeom>
          <a:solidFill>
            <a:srgbClr val="002060"/>
          </a:solidFill>
          <a:ln>
            <a:solidFill>
              <a:srgbClr val="0070C0"/>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r>
              <a:rPr lang="en-PH" sz="1400" b="1">
                <a:solidFill>
                  <a:schemeClr val="bg1"/>
                </a:solidFill>
              </a:rPr>
              <a:t>ANNUAL COST SAVINGS</a:t>
            </a:r>
          </a:p>
        </xdr:txBody>
      </xdr:sp>
      <xdr:sp macro="" textlink="DataTrans!AC19">
        <xdr:nvSpPr>
          <xdr:cNvPr id="52" name="Rectangle 51"/>
          <xdr:cNvSpPr/>
        </xdr:nvSpPr>
        <xdr:spPr>
          <a:xfrm>
            <a:off x="7598357" y="3013430"/>
            <a:ext cx="2155116" cy="68131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13FDD36F-1B84-43CC-9834-7BCA9EADBF39}" type="TxLink">
              <a:rPr lang="en-US" sz="2000" b="1" i="0" u="none" strike="noStrike">
                <a:solidFill>
                  <a:schemeClr val="bg1"/>
                </a:solidFill>
                <a:latin typeface="Calibri"/>
                <a:ea typeface="Calibri"/>
                <a:cs typeface="Calibri"/>
              </a:rPr>
              <a:pPr algn="ctr"/>
              <a:t>$ 11.90M</a:t>
            </a:fld>
            <a:endParaRPr lang="en-US" sz="2000" b="1" i="0" u="none" strike="noStrike">
              <a:solidFill>
                <a:schemeClr val="bg1"/>
              </a:solidFill>
              <a:latin typeface="Calibri"/>
              <a:ea typeface="Calibri"/>
              <a:cs typeface="Calibri"/>
            </a:endParaRPr>
          </a:p>
        </xdr:txBody>
      </xdr:sp>
    </xdr:grpSp>
    <xdr:clientData/>
  </xdr:twoCellAnchor>
  <xdr:twoCellAnchor editAs="oneCell">
    <xdr:from>
      <xdr:col>1</xdr:col>
      <xdr:colOff>107577</xdr:colOff>
      <xdr:row>0</xdr:row>
      <xdr:rowOff>62753</xdr:rowOff>
    </xdr:from>
    <xdr:to>
      <xdr:col>3</xdr:col>
      <xdr:colOff>71719</xdr:colOff>
      <xdr:row>2</xdr:row>
      <xdr:rowOff>0</xdr:rowOff>
    </xdr:to>
    <xdr:pic>
      <xdr:nvPicPr>
        <xdr:cNvPr id="44" name="Graphic 6" descr="Daily calendar with solid fill">
          <a:extLst>
            <a:ext uri="{FF2B5EF4-FFF2-40B4-BE49-F238E27FC236}">
              <a16:creationId xmlns:a16="http://schemas.microsoft.com/office/drawing/2014/main" id="{B5685DEE-B2F7-131A-646C-E06CC80358EF}"/>
            </a:ext>
          </a:extLst>
        </xdr:cNvPr>
        <xdr:cNvPicPr>
          <a:picLocks noChangeAspect="1"/>
        </xdr:cNvPicPr>
      </xdr:nvPicPr>
      <xdr:blipFill>
        <a:blip xmlns:r="http://schemas.openxmlformats.org/officeDocument/2006/relationships" r:embed="rId3">
          <a:extLst>
            <a:ext uri="{96DAC541-7B7A-43D3-8B79-37D633B846F1}">
              <asvg:svgBlip xmlns:lc="http://schemas.openxmlformats.org/drawingml/2006/lockedCanvas" xmlns:asvg="http://schemas.microsoft.com/office/drawing/2016/SVG/main" xmlns:p="http://schemas.openxmlformats.org/presentationml/2006/main" xmlns="" r:embed="rId9"/>
            </a:ext>
          </a:extLst>
        </a:blip>
        <a:stretch>
          <a:fillRect/>
        </a:stretch>
      </xdr:blipFill>
      <xdr:spPr>
        <a:xfrm>
          <a:off x="268942" y="62753"/>
          <a:ext cx="519953" cy="519953"/>
        </a:xfrm>
        <a:prstGeom prst="rect">
          <a:avLst/>
        </a:prstGeom>
      </xdr:spPr>
    </xdr:pic>
    <xdr:clientData/>
  </xdr:twoCellAnchor>
  <xdr:twoCellAnchor>
    <xdr:from>
      <xdr:col>14</xdr:col>
      <xdr:colOff>11649</xdr:colOff>
      <xdr:row>17</xdr:row>
      <xdr:rowOff>170327</xdr:rowOff>
    </xdr:from>
    <xdr:to>
      <xdr:col>17</xdr:col>
      <xdr:colOff>596151</xdr:colOff>
      <xdr:row>25</xdr:row>
      <xdr:rowOff>80682</xdr:rowOff>
    </xdr:to>
    <xdr:grpSp>
      <xdr:nvGrpSpPr>
        <xdr:cNvPr id="53" name="Group 52"/>
        <xdr:cNvGrpSpPr/>
      </xdr:nvGrpSpPr>
      <xdr:grpSpPr>
        <a:xfrm>
          <a:off x="7371673" y="3442445"/>
          <a:ext cx="1857490" cy="1362637"/>
          <a:chOff x="7598357" y="2886635"/>
          <a:chExt cx="2155116" cy="808113"/>
        </a:xfrm>
      </xdr:grpSpPr>
      <xdr:sp macro="" textlink="">
        <xdr:nvSpPr>
          <xdr:cNvPr id="54" name="Rounded Rectangle 53"/>
          <xdr:cNvSpPr/>
        </xdr:nvSpPr>
        <xdr:spPr>
          <a:xfrm>
            <a:off x="7709646" y="2886635"/>
            <a:ext cx="1999130" cy="744071"/>
          </a:xfrm>
          <a:prstGeom prst="roundRect">
            <a:avLst>
              <a:gd name="adj" fmla="val 0"/>
            </a:avLst>
          </a:prstGeom>
          <a:solidFill>
            <a:srgbClr val="002060"/>
          </a:solidFill>
          <a:ln>
            <a:solidFill>
              <a:srgbClr val="0070C0"/>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r>
              <a:rPr lang="en-PH" sz="1400" b="1">
                <a:solidFill>
                  <a:schemeClr val="bg1"/>
                </a:solidFill>
              </a:rPr>
              <a:t>CALENDAR</a:t>
            </a:r>
            <a:r>
              <a:rPr lang="en-PH" sz="1400" b="1" baseline="0">
                <a:solidFill>
                  <a:schemeClr val="bg1"/>
                </a:solidFill>
              </a:rPr>
              <a:t> COST SAVINGS</a:t>
            </a:r>
            <a:endParaRPr lang="en-PH" sz="900" b="1">
              <a:solidFill>
                <a:schemeClr val="bg1"/>
              </a:solidFill>
            </a:endParaRPr>
          </a:p>
        </xdr:txBody>
      </xdr:sp>
      <xdr:sp macro="" textlink="DataTrans!AC9">
        <xdr:nvSpPr>
          <xdr:cNvPr id="55" name="Rectangle 54"/>
          <xdr:cNvSpPr/>
        </xdr:nvSpPr>
        <xdr:spPr>
          <a:xfrm>
            <a:off x="7598357" y="3013430"/>
            <a:ext cx="2155116" cy="68131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9C5FD53A-A56E-45A9-8167-3D8A6A80B24D}" type="TxLink">
              <a:rPr lang="en-US" sz="2000" b="1" i="0" u="none" strike="noStrike">
                <a:solidFill>
                  <a:schemeClr val="bg1"/>
                </a:solidFill>
                <a:latin typeface="Calibri"/>
                <a:ea typeface="Calibri"/>
                <a:cs typeface="Calibri"/>
              </a:rPr>
              <a:t>$ 4.72M</a:t>
            </a:fld>
            <a:endParaRPr lang="en-US" sz="4000" b="1" i="0" u="none" strike="noStrike">
              <a:solidFill>
                <a:schemeClr val="bg1"/>
              </a:solidFill>
              <a:latin typeface="Calibri"/>
              <a:ea typeface="Calibri"/>
              <a:cs typeface="Calibri"/>
            </a:endParaRPr>
          </a:p>
        </xdr:txBody>
      </xdr:sp>
    </xdr:grpSp>
    <xdr:clientData/>
  </xdr:twoCellAnchor>
</xdr:wsDr>
</file>

<file path=xl/drawings/drawing2.xml><?xml version="1.0" encoding="utf-8"?>
<c:userShapes xmlns:c="http://schemas.openxmlformats.org/drawingml/2006/chart">
  <cdr:relSizeAnchor xmlns:cdr="http://schemas.openxmlformats.org/drawingml/2006/chartDrawing">
    <cdr:from>
      <cdr:x>0</cdr:x>
      <cdr:y>0</cdr:y>
    </cdr:from>
    <cdr:to>
      <cdr:x>0.09032</cdr:x>
      <cdr:y>0.0917</cdr:y>
    </cdr:to>
    <cdr:pic>
      <cdr:nvPicPr>
        <cdr:cNvPr id="2" name="Graphic 4" descr="Bar graph with upward trend with solid fill">
          <a:extLst xmlns:a="http://schemas.openxmlformats.org/drawingml/2006/main">
            <a:ext uri="{FF2B5EF4-FFF2-40B4-BE49-F238E27FC236}">
              <a16:creationId xmlns:a16="http://schemas.microsoft.com/office/drawing/2014/main" id="{107D8EAD-2CA8-9837-7899-E2F1B96689FD}"/>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lc="http://schemas.openxmlformats.org/drawingml/2006/lockedCanvas" xmlns:asvg="http://schemas.microsoft.com/office/drawing/2016/SVG/main" xmlns:p="http://schemas.openxmlformats.org/presentationml/2006/main" xmlns="" r:embed="rId5"/>
            </a:ext>
          </a:extLst>
        </a:blip>
        <a:stretch xmlns:a="http://schemas.openxmlformats.org/drawingml/2006/main">
          <a:fillRect/>
        </a:stretch>
      </cdr:blipFill>
      <cdr:spPr>
        <a:xfrm xmlns:a="http://schemas.openxmlformats.org/drawingml/2006/main">
          <a:off x="0" y="0"/>
          <a:ext cx="376518" cy="376518"/>
        </a:xfrm>
        <a:prstGeom xmlns:a="http://schemas.openxmlformats.org/drawingml/2006/main" prst="rect">
          <a:avLst/>
        </a:prstGeom>
      </cdr:spPr>
    </cdr:pic>
  </cdr:relSizeAnchor>
</c:userShapes>
</file>

<file path=xl/drawings/drawing3.xml><?xml version="1.0" encoding="utf-8"?>
<c:userShapes xmlns:c="http://schemas.openxmlformats.org/drawingml/2006/chart">
  <cdr:relSizeAnchor xmlns:cdr="http://schemas.openxmlformats.org/drawingml/2006/chartDrawing">
    <cdr:from>
      <cdr:x>0</cdr:x>
      <cdr:y>0</cdr:y>
    </cdr:from>
    <cdr:to>
      <cdr:x>0.05024</cdr:x>
      <cdr:y>0.17373</cdr:y>
    </cdr:to>
    <cdr:pic>
      <cdr:nvPicPr>
        <cdr:cNvPr id="3" name="Graphic 5" descr="Bullseye with solid fill">
          <a:extLst xmlns:a="http://schemas.openxmlformats.org/drawingml/2006/main">
            <a:ext uri="{FF2B5EF4-FFF2-40B4-BE49-F238E27FC236}">
              <a16:creationId xmlns:a16="http://schemas.microsoft.com/office/drawing/2014/main" id="{A885E4FD-77B3-5E36-A1EE-F4CF65021B76}"/>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lc="http://schemas.openxmlformats.org/drawingml/2006/lockedCanvas" xmlns="" xmlns:p="http://schemas.openxmlformats.org/presentationml/2006/main" xmlns:asvg="http://schemas.microsoft.com/office/drawing/2016/SVG/main" r:embed="rId7"/>
            </a:ext>
          </a:extLst>
        </a:blip>
        <a:stretch xmlns:a="http://schemas.openxmlformats.org/drawingml/2006/main">
          <a:fillRect/>
        </a:stretch>
      </cdr:blipFill>
      <cdr:spPr>
        <a:xfrm xmlns:a="http://schemas.openxmlformats.org/drawingml/2006/main">
          <a:off x="0" y="0"/>
          <a:ext cx="367516" cy="456330"/>
        </a:xfrm>
        <a:prstGeom xmlns:a="http://schemas.openxmlformats.org/drawingml/2006/main" prst="rect">
          <a:avLst/>
        </a:prstGeom>
      </cdr:spPr>
    </cdr:pic>
  </cdr:relSizeAnchor>
</c:userShapes>
</file>

<file path=xl/drawings/drawing4.xml><?xml version="1.0" encoding="utf-8"?>
<xdr:wsDr xmlns:xdr="http://schemas.openxmlformats.org/drawingml/2006/spreadsheetDrawing" xmlns:a="http://schemas.openxmlformats.org/drawingml/2006/main">
  <xdr:twoCellAnchor>
    <xdr:from>
      <xdr:col>3</xdr:col>
      <xdr:colOff>2157887</xdr:colOff>
      <xdr:row>9</xdr:row>
      <xdr:rowOff>115645</xdr:rowOff>
    </xdr:from>
    <xdr:to>
      <xdr:col>7</xdr:col>
      <xdr:colOff>66896</xdr:colOff>
      <xdr:row>31</xdr:row>
      <xdr:rowOff>161363</xdr:rowOff>
    </xdr:to>
    <xdr:grpSp>
      <xdr:nvGrpSpPr>
        <xdr:cNvPr id="30" name="Group 29"/>
        <xdr:cNvGrpSpPr/>
      </xdr:nvGrpSpPr>
      <xdr:grpSpPr>
        <a:xfrm>
          <a:off x="3583275" y="1944445"/>
          <a:ext cx="3063715" cy="3990189"/>
          <a:chOff x="2473868" y="3826759"/>
          <a:chExt cx="3072557" cy="2252183"/>
        </a:xfrm>
      </xdr:grpSpPr>
      <xdr:grpSp>
        <xdr:nvGrpSpPr>
          <xdr:cNvPr id="31" name="Group 30"/>
          <xdr:cNvGrpSpPr/>
        </xdr:nvGrpSpPr>
        <xdr:grpSpPr>
          <a:xfrm>
            <a:off x="2473868" y="4285520"/>
            <a:ext cx="1473333" cy="858661"/>
            <a:chOff x="2465293" y="4276165"/>
            <a:chExt cx="1470214" cy="833717"/>
          </a:xfrm>
        </xdr:grpSpPr>
        <xdr:sp macro="" textlink="">
          <xdr:nvSpPr>
            <xdr:cNvPr id="42" name="Rectangle 41"/>
            <xdr:cNvSpPr/>
          </xdr:nvSpPr>
          <xdr:spPr>
            <a:xfrm>
              <a:off x="2465293" y="4276165"/>
              <a:ext cx="1470214" cy="242047"/>
            </a:xfrm>
            <a:prstGeom prst="rect">
              <a:avLst/>
            </a:prstGeom>
            <a:solidFill>
              <a:srgbClr val="B1FDB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PH" sz="1100" b="1">
                  <a:solidFill>
                    <a:srgbClr val="002060"/>
                  </a:solidFill>
                </a:rPr>
                <a:t>Quarter 1</a:t>
              </a:r>
            </a:p>
          </xdr:txBody>
        </xdr:sp>
        <xdr:sp macro="" textlink="DataTrans!BB17">
          <xdr:nvSpPr>
            <xdr:cNvPr id="43" name="Rectangle 42"/>
            <xdr:cNvSpPr/>
          </xdr:nvSpPr>
          <xdr:spPr>
            <a:xfrm>
              <a:off x="2465293" y="4527176"/>
              <a:ext cx="1470214" cy="582706"/>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1C971CF9-E16A-4D11-9CB9-8BB4E6C811C8}" type="TxLink">
                <a:rPr lang="en-US" sz="1800" b="1" i="0" u="none" strike="noStrike">
                  <a:solidFill>
                    <a:srgbClr val="000000"/>
                  </a:solidFill>
                  <a:latin typeface="Times New Roman" panose="02020603050405020304" pitchFamily="18" charset="0"/>
                  <a:ea typeface="Calibri"/>
                  <a:cs typeface="Times New Roman" panose="02020603050405020304" pitchFamily="18" charset="0"/>
                </a:rPr>
                <a:pPr marL="0" indent="0" algn="ctr"/>
                <a:t> $3,288,284 </a:t>
              </a:fld>
              <a:endParaRPr lang="en-PH" sz="1800" b="1" i="0" u="none" strike="noStrike">
                <a:solidFill>
                  <a:srgbClr val="000000"/>
                </a:solidFill>
                <a:latin typeface="Times New Roman" panose="02020603050405020304" pitchFamily="18" charset="0"/>
                <a:ea typeface="Calibri"/>
                <a:cs typeface="Times New Roman" panose="02020603050405020304" pitchFamily="18" charset="0"/>
              </a:endParaRPr>
            </a:p>
          </xdr:txBody>
        </xdr:sp>
      </xdr:grpSp>
      <xdr:grpSp>
        <xdr:nvGrpSpPr>
          <xdr:cNvPr id="32" name="Group 31"/>
          <xdr:cNvGrpSpPr/>
        </xdr:nvGrpSpPr>
        <xdr:grpSpPr>
          <a:xfrm>
            <a:off x="2473868" y="5214047"/>
            <a:ext cx="1473333" cy="864893"/>
            <a:chOff x="2465293" y="4216517"/>
            <a:chExt cx="1470214" cy="833711"/>
          </a:xfrm>
        </xdr:grpSpPr>
        <xdr:sp macro="" textlink="">
          <xdr:nvSpPr>
            <xdr:cNvPr id="40" name="Rectangle 39"/>
            <xdr:cNvSpPr/>
          </xdr:nvSpPr>
          <xdr:spPr>
            <a:xfrm>
              <a:off x="2465293" y="4216517"/>
              <a:ext cx="1470214" cy="242047"/>
            </a:xfrm>
            <a:prstGeom prst="rect">
              <a:avLst/>
            </a:prstGeom>
            <a:solidFill>
              <a:srgbClr val="B1FDB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PH" sz="1100" b="1">
                  <a:solidFill>
                    <a:srgbClr val="002060"/>
                  </a:solidFill>
                </a:rPr>
                <a:t>Quarter 3</a:t>
              </a:r>
            </a:p>
          </xdr:txBody>
        </xdr:sp>
        <xdr:sp macro="" textlink="DataTrans!BD17">
          <xdr:nvSpPr>
            <xdr:cNvPr id="41" name="Rectangle 40"/>
            <xdr:cNvSpPr/>
          </xdr:nvSpPr>
          <xdr:spPr>
            <a:xfrm>
              <a:off x="2465293" y="4467522"/>
              <a:ext cx="1470214" cy="582706"/>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B5512607-3DDB-4309-A1E1-36FF9F59D751}" type="TxLink">
                <a:rPr lang="en-US" sz="1800" b="1" i="0" u="none" strike="noStrike">
                  <a:solidFill>
                    <a:srgbClr val="000000"/>
                  </a:solidFill>
                  <a:latin typeface="Times New Roman" panose="02020603050405020304" pitchFamily="18" charset="0"/>
                  <a:ea typeface="Calibri"/>
                  <a:cs typeface="Times New Roman" panose="02020603050405020304" pitchFamily="18" charset="0"/>
                </a:rPr>
                <a:pPr marL="0" indent="0" algn="ctr"/>
                <a:t> $2,957,656 </a:t>
              </a:fld>
              <a:endParaRPr lang="en-PH" sz="1800" b="1" i="0" u="none" strike="noStrike">
                <a:solidFill>
                  <a:srgbClr val="000000"/>
                </a:solidFill>
                <a:latin typeface="Times New Roman" panose="02020603050405020304" pitchFamily="18" charset="0"/>
                <a:ea typeface="Calibri"/>
                <a:cs typeface="Times New Roman" panose="02020603050405020304" pitchFamily="18" charset="0"/>
              </a:endParaRPr>
            </a:p>
          </xdr:txBody>
        </xdr:sp>
      </xdr:grpSp>
      <xdr:grpSp>
        <xdr:nvGrpSpPr>
          <xdr:cNvPr id="33" name="Group 32"/>
          <xdr:cNvGrpSpPr/>
        </xdr:nvGrpSpPr>
        <xdr:grpSpPr>
          <a:xfrm>
            <a:off x="4081669" y="4285520"/>
            <a:ext cx="1464756" cy="858661"/>
            <a:chOff x="2465293" y="4276165"/>
            <a:chExt cx="1470214" cy="833717"/>
          </a:xfrm>
        </xdr:grpSpPr>
        <xdr:sp macro="" textlink="">
          <xdr:nvSpPr>
            <xdr:cNvPr id="38" name="Rectangle 37"/>
            <xdr:cNvSpPr/>
          </xdr:nvSpPr>
          <xdr:spPr>
            <a:xfrm>
              <a:off x="2465293" y="4276165"/>
              <a:ext cx="1470214" cy="242047"/>
            </a:xfrm>
            <a:prstGeom prst="rect">
              <a:avLst/>
            </a:prstGeom>
            <a:solidFill>
              <a:srgbClr val="B1FDB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PH" sz="1100" b="1">
                  <a:solidFill>
                    <a:srgbClr val="002060"/>
                  </a:solidFill>
                </a:rPr>
                <a:t>Quarter 2</a:t>
              </a:r>
            </a:p>
          </xdr:txBody>
        </xdr:sp>
        <xdr:sp macro="" textlink="DataTrans!BC17">
          <xdr:nvSpPr>
            <xdr:cNvPr id="39" name="Rectangle 38"/>
            <xdr:cNvSpPr/>
          </xdr:nvSpPr>
          <xdr:spPr>
            <a:xfrm>
              <a:off x="2465293" y="4527176"/>
              <a:ext cx="1470214" cy="582706"/>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043422C4-605F-4BC1-A687-664CA4CF4874}" type="TxLink">
                <a:rPr lang="en-US" sz="1800" b="1" i="0" u="none" strike="noStrike">
                  <a:solidFill>
                    <a:srgbClr val="000000"/>
                  </a:solidFill>
                  <a:latin typeface="Times New Roman" panose="02020603050405020304" pitchFamily="18" charset="0"/>
                  <a:ea typeface="Calibri"/>
                  <a:cs typeface="Times New Roman" panose="02020603050405020304" pitchFamily="18" charset="0"/>
                </a:rPr>
                <a:pPr marL="0" indent="0" algn="ctr"/>
                <a:t> $3,125,655 </a:t>
              </a:fld>
              <a:endParaRPr lang="en-PH" sz="1800" b="1" i="0" u="none" strike="noStrike">
                <a:solidFill>
                  <a:srgbClr val="000000"/>
                </a:solidFill>
                <a:latin typeface="Times New Roman" panose="02020603050405020304" pitchFamily="18" charset="0"/>
                <a:ea typeface="Calibri"/>
                <a:cs typeface="Times New Roman" panose="02020603050405020304" pitchFamily="18" charset="0"/>
              </a:endParaRPr>
            </a:p>
          </xdr:txBody>
        </xdr:sp>
      </xdr:grpSp>
      <xdr:grpSp>
        <xdr:nvGrpSpPr>
          <xdr:cNvPr id="34" name="Group 33"/>
          <xdr:cNvGrpSpPr/>
        </xdr:nvGrpSpPr>
        <xdr:grpSpPr>
          <a:xfrm>
            <a:off x="4081669" y="5214040"/>
            <a:ext cx="1464756" cy="864902"/>
            <a:chOff x="2465293" y="4216517"/>
            <a:chExt cx="1470214" cy="833720"/>
          </a:xfrm>
        </xdr:grpSpPr>
        <xdr:sp macro="" textlink="">
          <xdr:nvSpPr>
            <xdr:cNvPr id="36" name="Rectangle 35"/>
            <xdr:cNvSpPr/>
          </xdr:nvSpPr>
          <xdr:spPr>
            <a:xfrm>
              <a:off x="2465293" y="4216517"/>
              <a:ext cx="1470214" cy="242047"/>
            </a:xfrm>
            <a:prstGeom prst="rect">
              <a:avLst/>
            </a:prstGeom>
            <a:solidFill>
              <a:srgbClr val="B1FDB1"/>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PH" sz="1100" b="1">
                  <a:solidFill>
                    <a:srgbClr val="002060"/>
                  </a:solidFill>
                  <a:latin typeface="+mn-lt"/>
                  <a:ea typeface="+mn-ea"/>
                  <a:cs typeface="+mn-cs"/>
                </a:rPr>
                <a:t>Quarter 4</a:t>
              </a:r>
            </a:p>
          </xdr:txBody>
        </xdr:sp>
        <xdr:sp macro="" textlink="DataTrans!BE17">
          <xdr:nvSpPr>
            <xdr:cNvPr id="37" name="Rectangle 36"/>
            <xdr:cNvSpPr/>
          </xdr:nvSpPr>
          <xdr:spPr>
            <a:xfrm>
              <a:off x="2465293" y="4467531"/>
              <a:ext cx="1470214" cy="582706"/>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A96FC3EE-96AA-48CF-A96A-358617801C84}" type="TxLink">
                <a:rPr lang="en-US" sz="1800" b="1" i="0" u="none" strike="noStrike">
                  <a:solidFill>
                    <a:srgbClr val="000000"/>
                  </a:solidFill>
                  <a:latin typeface="Times New Roman" panose="02020603050405020304" pitchFamily="18" charset="0"/>
                  <a:ea typeface="Calibri"/>
                  <a:cs typeface="Times New Roman" panose="02020603050405020304" pitchFamily="18" charset="0"/>
                </a:rPr>
                <a:pPr marL="0" indent="0" algn="ctr"/>
                <a:t> $2,526,724 </a:t>
              </a:fld>
              <a:endParaRPr lang="en-PH" sz="1800" b="1" i="0" u="none" strike="noStrike">
                <a:solidFill>
                  <a:srgbClr val="000000"/>
                </a:solidFill>
                <a:latin typeface="Times New Roman" panose="02020603050405020304" pitchFamily="18" charset="0"/>
                <a:ea typeface="Calibri"/>
                <a:cs typeface="Times New Roman" panose="02020603050405020304" pitchFamily="18" charset="0"/>
              </a:endParaRPr>
            </a:p>
          </xdr:txBody>
        </xdr:sp>
      </xdr:grpSp>
      <xdr:sp macro="" textlink="">
        <xdr:nvSpPr>
          <xdr:cNvPr id="35" name="Rectangle 34"/>
          <xdr:cNvSpPr/>
        </xdr:nvSpPr>
        <xdr:spPr>
          <a:xfrm>
            <a:off x="2473869" y="3826759"/>
            <a:ext cx="3072555" cy="388991"/>
          </a:xfrm>
          <a:prstGeom prst="rect">
            <a:avLst/>
          </a:prstGeom>
          <a:solidFill>
            <a:srgbClr val="00B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PH" sz="1400" b="1"/>
              <a:t>Annual Savings</a:t>
            </a:r>
          </a:p>
        </xdr:txBody>
      </xdr:sp>
    </xdr:grpSp>
    <xdr:clientData/>
  </xdr:twoCellAnchor>
  <xdr:twoCellAnchor>
    <xdr:from>
      <xdr:col>2</xdr:col>
      <xdr:colOff>7621</xdr:colOff>
      <xdr:row>9</xdr:row>
      <xdr:rowOff>115645</xdr:rowOff>
    </xdr:from>
    <xdr:to>
      <xdr:col>3</xdr:col>
      <xdr:colOff>2002854</xdr:colOff>
      <xdr:row>31</xdr:row>
      <xdr:rowOff>161363</xdr:rowOff>
    </xdr:to>
    <xdr:grpSp>
      <xdr:nvGrpSpPr>
        <xdr:cNvPr id="44" name="Group 43"/>
        <xdr:cNvGrpSpPr/>
      </xdr:nvGrpSpPr>
      <xdr:grpSpPr>
        <a:xfrm>
          <a:off x="357245" y="1944445"/>
          <a:ext cx="3070997" cy="3990189"/>
          <a:chOff x="2473868" y="3826759"/>
          <a:chExt cx="3072557" cy="2252183"/>
        </a:xfrm>
      </xdr:grpSpPr>
      <xdr:grpSp>
        <xdr:nvGrpSpPr>
          <xdr:cNvPr id="45" name="Group 44"/>
          <xdr:cNvGrpSpPr/>
        </xdr:nvGrpSpPr>
        <xdr:grpSpPr>
          <a:xfrm>
            <a:off x="2473868" y="4285520"/>
            <a:ext cx="1473333" cy="858661"/>
            <a:chOff x="2465293" y="4276165"/>
            <a:chExt cx="1470214" cy="833717"/>
          </a:xfrm>
        </xdr:grpSpPr>
        <xdr:sp macro="" textlink="">
          <xdr:nvSpPr>
            <xdr:cNvPr id="56" name="Rectangle 55"/>
            <xdr:cNvSpPr/>
          </xdr:nvSpPr>
          <xdr:spPr>
            <a:xfrm>
              <a:off x="2465293" y="4276165"/>
              <a:ext cx="1470214" cy="242047"/>
            </a:xfrm>
            <a:prstGeom prst="rect">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PH" sz="1100" b="1">
                  <a:solidFill>
                    <a:srgbClr val="002060"/>
                  </a:solidFill>
                </a:rPr>
                <a:t>Quarter 1</a:t>
              </a:r>
            </a:p>
          </xdr:txBody>
        </xdr:sp>
        <xdr:sp macro="" textlink="DataTrans!AX17">
          <xdr:nvSpPr>
            <xdr:cNvPr id="57" name="Rectangle 56"/>
            <xdr:cNvSpPr/>
          </xdr:nvSpPr>
          <xdr:spPr>
            <a:xfrm>
              <a:off x="2465293" y="4527176"/>
              <a:ext cx="1470214" cy="582706"/>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B2B89CCA-567B-4739-ADFE-C217CC6FCFF6}" type="TxLink">
                <a:rPr lang="en-US" sz="1800" b="1" i="0" u="none" strike="noStrike">
                  <a:solidFill>
                    <a:srgbClr val="000000"/>
                  </a:solidFill>
                  <a:latin typeface="Times New Roman" panose="02020603050405020304" pitchFamily="18" charset="0"/>
                  <a:ea typeface="Calibri"/>
                  <a:cs typeface="Times New Roman" panose="02020603050405020304" pitchFamily="18" charset="0"/>
                </a:rPr>
                <a:pPr marL="0" indent="0" algn="ctr"/>
                <a:t> $338,851 </a:t>
              </a:fld>
              <a:endParaRPr lang="en-PH" sz="1800" b="1" i="0" u="none" strike="noStrike">
                <a:solidFill>
                  <a:srgbClr val="000000"/>
                </a:solidFill>
                <a:latin typeface="Times New Roman" panose="02020603050405020304" pitchFamily="18" charset="0"/>
                <a:ea typeface="Calibri"/>
                <a:cs typeface="Times New Roman" panose="02020603050405020304" pitchFamily="18" charset="0"/>
              </a:endParaRPr>
            </a:p>
          </xdr:txBody>
        </xdr:sp>
      </xdr:grpSp>
      <xdr:grpSp>
        <xdr:nvGrpSpPr>
          <xdr:cNvPr id="46" name="Group 45"/>
          <xdr:cNvGrpSpPr/>
        </xdr:nvGrpSpPr>
        <xdr:grpSpPr>
          <a:xfrm>
            <a:off x="2473868" y="5214047"/>
            <a:ext cx="1473333" cy="864893"/>
            <a:chOff x="2465293" y="4216517"/>
            <a:chExt cx="1470214" cy="833711"/>
          </a:xfrm>
        </xdr:grpSpPr>
        <xdr:sp macro="" textlink="">
          <xdr:nvSpPr>
            <xdr:cNvPr id="54" name="Rectangle 53"/>
            <xdr:cNvSpPr/>
          </xdr:nvSpPr>
          <xdr:spPr>
            <a:xfrm>
              <a:off x="2465293" y="4216517"/>
              <a:ext cx="1470214" cy="242047"/>
            </a:xfrm>
            <a:prstGeom prst="rect">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PH" sz="1100" b="1">
                  <a:solidFill>
                    <a:srgbClr val="002060"/>
                  </a:solidFill>
                </a:rPr>
                <a:t>Quarter 3</a:t>
              </a:r>
            </a:p>
          </xdr:txBody>
        </xdr:sp>
        <xdr:sp macro="" textlink="DataTrans!AZ17">
          <xdr:nvSpPr>
            <xdr:cNvPr id="55" name="Rectangle 54"/>
            <xdr:cNvSpPr/>
          </xdr:nvSpPr>
          <xdr:spPr>
            <a:xfrm>
              <a:off x="2465293" y="4467522"/>
              <a:ext cx="1470214" cy="582706"/>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F754924B-F36B-4FBB-A2ED-BAD132859E4C}" type="TxLink">
                <a:rPr lang="en-US" sz="1800" b="1" i="0" u="none" strike="noStrike">
                  <a:solidFill>
                    <a:srgbClr val="000000"/>
                  </a:solidFill>
                  <a:latin typeface="Times New Roman" panose="02020603050405020304" pitchFamily="18" charset="0"/>
                  <a:ea typeface="Calibri"/>
                  <a:cs typeface="Times New Roman" panose="02020603050405020304" pitchFamily="18" charset="0"/>
                </a:rPr>
                <a:pPr marL="0" indent="0" algn="ctr"/>
                <a:t> $1,530,737 </a:t>
              </a:fld>
              <a:endParaRPr lang="en-PH" sz="1800" b="1" i="0" u="none" strike="noStrike">
                <a:solidFill>
                  <a:srgbClr val="000000"/>
                </a:solidFill>
                <a:latin typeface="Times New Roman" panose="02020603050405020304" pitchFamily="18" charset="0"/>
                <a:ea typeface="Calibri"/>
                <a:cs typeface="Times New Roman" panose="02020603050405020304" pitchFamily="18" charset="0"/>
              </a:endParaRPr>
            </a:p>
          </xdr:txBody>
        </xdr:sp>
      </xdr:grpSp>
      <xdr:grpSp>
        <xdr:nvGrpSpPr>
          <xdr:cNvPr id="47" name="Group 46"/>
          <xdr:cNvGrpSpPr/>
        </xdr:nvGrpSpPr>
        <xdr:grpSpPr>
          <a:xfrm>
            <a:off x="4081669" y="4285520"/>
            <a:ext cx="1464756" cy="858661"/>
            <a:chOff x="2465293" y="4276165"/>
            <a:chExt cx="1470214" cy="833717"/>
          </a:xfrm>
        </xdr:grpSpPr>
        <xdr:sp macro="" textlink="">
          <xdr:nvSpPr>
            <xdr:cNvPr id="52" name="Rectangle 51"/>
            <xdr:cNvSpPr/>
          </xdr:nvSpPr>
          <xdr:spPr>
            <a:xfrm>
              <a:off x="2465293" y="4276165"/>
              <a:ext cx="1470214" cy="242047"/>
            </a:xfrm>
            <a:prstGeom prst="rect">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PH" sz="1100" b="1">
                  <a:solidFill>
                    <a:srgbClr val="002060"/>
                  </a:solidFill>
                </a:rPr>
                <a:t>Quarter 2</a:t>
              </a:r>
            </a:p>
          </xdr:txBody>
        </xdr:sp>
        <xdr:sp macro="" textlink="DataTrans!AY17">
          <xdr:nvSpPr>
            <xdr:cNvPr id="53" name="Rectangle 52"/>
            <xdr:cNvSpPr/>
          </xdr:nvSpPr>
          <xdr:spPr>
            <a:xfrm>
              <a:off x="2465293" y="4527176"/>
              <a:ext cx="1470214" cy="582706"/>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D6AC7D98-F43E-402D-BCE3-614CA2999F98}" type="TxLink">
                <a:rPr lang="en-US" sz="1800" b="1" i="0" u="none" strike="noStrike">
                  <a:solidFill>
                    <a:srgbClr val="000000"/>
                  </a:solidFill>
                  <a:latin typeface="Times New Roman" panose="02020603050405020304" pitchFamily="18" charset="0"/>
                  <a:ea typeface="Calibri"/>
                  <a:cs typeface="Times New Roman" panose="02020603050405020304" pitchFamily="18" charset="0"/>
                </a:rPr>
                <a:pPr marL="0" indent="0" algn="ctr"/>
                <a:t> $647,548 </a:t>
              </a:fld>
              <a:endParaRPr lang="en-PH" sz="1800" b="1" i="0" u="none" strike="noStrike">
                <a:solidFill>
                  <a:srgbClr val="000000"/>
                </a:solidFill>
                <a:latin typeface="Times New Roman" panose="02020603050405020304" pitchFamily="18" charset="0"/>
                <a:ea typeface="Calibri"/>
                <a:cs typeface="Times New Roman" panose="02020603050405020304" pitchFamily="18" charset="0"/>
              </a:endParaRPr>
            </a:p>
          </xdr:txBody>
        </xdr:sp>
      </xdr:grpSp>
      <xdr:grpSp>
        <xdr:nvGrpSpPr>
          <xdr:cNvPr id="48" name="Group 47"/>
          <xdr:cNvGrpSpPr/>
        </xdr:nvGrpSpPr>
        <xdr:grpSpPr>
          <a:xfrm>
            <a:off x="4081669" y="5214040"/>
            <a:ext cx="1464756" cy="864902"/>
            <a:chOff x="2465293" y="4216517"/>
            <a:chExt cx="1470214" cy="833720"/>
          </a:xfrm>
        </xdr:grpSpPr>
        <xdr:sp macro="" textlink="">
          <xdr:nvSpPr>
            <xdr:cNvPr id="50" name="Rectangle 49"/>
            <xdr:cNvSpPr/>
          </xdr:nvSpPr>
          <xdr:spPr>
            <a:xfrm>
              <a:off x="2465293" y="4216517"/>
              <a:ext cx="1470214" cy="242047"/>
            </a:xfrm>
            <a:prstGeom prst="rect">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PH" sz="1100" b="1">
                  <a:solidFill>
                    <a:srgbClr val="002060"/>
                  </a:solidFill>
                  <a:latin typeface="+mn-lt"/>
                  <a:ea typeface="+mn-ea"/>
                  <a:cs typeface="+mn-cs"/>
                </a:rPr>
                <a:t>Quarter 4</a:t>
              </a:r>
            </a:p>
          </xdr:txBody>
        </xdr:sp>
        <xdr:sp macro="" textlink="DataTrans!BA17">
          <xdr:nvSpPr>
            <xdr:cNvPr id="51" name="Rectangle 50"/>
            <xdr:cNvSpPr/>
          </xdr:nvSpPr>
          <xdr:spPr>
            <a:xfrm>
              <a:off x="2465293" y="4467531"/>
              <a:ext cx="1470214" cy="582706"/>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5D42DEB5-272C-4FE0-AAA4-C7F87D083220}" type="TxLink">
                <a:rPr lang="en-US" sz="1800" b="1" i="0" u="none" strike="noStrike">
                  <a:solidFill>
                    <a:srgbClr val="000000"/>
                  </a:solidFill>
                  <a:latin typeface="Times New Roman" panose="02020603050405020304" pitchFamily="18" charset="0"/>
                  <a:ea typeface="Calibri"/>
                  <a:cs typeface="Times New Roman" panose="02020603050405020304" pitchFamily="18" charset="0"/>
                </a:rPr>
                <a:pPr marL="0" indent="0" algn="ctr"/>
                <a:t> $2,201,824 </a:t>
              </a:fld>
              <a:endParaRPr lang="en-US" sz="1800" b="1" i="0" u="none" strike="noStrike">
                <a:solidFill>
                  <a:srgbClr val="000000"/>
                </a:solidFill>
                <a:latin typeface="Times New Roman" panose="02020603050405020304" pitchFamily="18" charset="0"/>
                <a:ea typeface="Calibri"/>
                <a:cs typeface="Times New Roman" panose="02020603050405020304" pitchFamily="18" charset="0"/>
              </a:endParaRPr>
            </a:p>
          </xdr:txBody>
        </xdr:sp>
      </xdr:grpSp>
      <xdr:sp macro="" textlink="">
        <xdr:nvSpPr>
          <xdr:cNvPr id="49" name="Rectangle 48"/>
          <xdr:cNvSpPr/>
        </xdr:nvSpPr>
        <xdr:spPr>
          <a:xfrm>
            <a:off x="2473869" y="3826759"/>
            <a:ext cx="3072555" cy="388991"/>
          </a:xfrm>
          <a:prstGeom prst="rect">
            <a:avLst/>
          </a:prstGeom>
          <a:solidFill>
            <a:schemeClr val="accent5">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PH" sz="1400" b="1">
                <a:solidFill>
                  <a:schemeClr val="tx1"/>
                </a:solidFill>
              </a:rPr>
              <a:t>Calendar Savings</a:t>
            </a:r>
          </a:p>
        </xdr:txBody>
      </xdr:sp>
    </xdr:grpSp>
    <xdr:clientData/>
  </xdr:twoCellAnchor>
  <xdr:twoCellAnchor>
    <xdr:from>
      <xdr:col>7</xdr:col>
      <xdr:colOff>182880</xdr:colOff>
      <xdr:row>9</xdr:row>
      <xdr:rowOff>106681</xdr:rowOff>
    </xdr:from>
    <xdr:to>
      <xdr:col>14</xdr:col>
      <xdr:colOff>0</xdr:colOff>
      <xdr:row>31</xdr:row>
      <xdr:rowOff>161364</xdr:rowOff>
    </xdr:to>
    <xdr:graphicFrame macro="">
      <xdr:nvGraphicFramePr>
        <xdr:cNvPr id="59" name="Chart 5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45721</xdr:colOff>
      <xdr:row>0</xdr:row>
      <xdr:rowOff>175261</xdr:rowOff>
    </xdr:from>
    <xdr:to>
      <xdr:col>2</xdr:col>
      <xdr:colOff>220981</xdr:colOff>
      <xdr:row>3</xdr:row>
      <xdr:rowOff>7621</xdr:rowOff>
    </xdr:to>
    <xdr:pic>
      <xdr:nvPicPr>
        <xdr:cNvPr id="58" name="Graphic 6" descr="Daily calendar with solid fill">
          <a:extLst>
            <a:ext uri="{FF2B5EF4-FFF2-40B4-BE49-F238E27FC236}">
              <a16:creationId xmlns:a16="http://schemas.microsoft.com/office/drawing/2014/main" id="{B5685DEE-B2F7-131A-646C-E06CC80358EF}"/>
            </a:ext>
          </a:extLst>
        </xdr:cNvPr>
        <xdr:cNvPicPr>
          <a:picLocks noChangeAspect="1"/>
        </xdr:cNvPicPr>
      </xdr:nvPicPr>
      <xdr:blipFill>
        <a:blip xmlns:r="http://schemas.openxmlformats.org/officeDocument/2006/relationships" r:embed="rId2">
          <a:extLst>
            <a:ext uri="{96DAC541-7B7A-43D3-8B79-37D633B846F1}">
              <asvg:svgBlip xmlns:lc="http://schemas.openxmlformats.org/drawingml/2006/lockedCanvas" xmlns:asvg="http://schemas.microsoft.com/office/drawing/2016/SVG/main" xmlns:p="http://schemas.openxmlformats.org/presentationml/2006/main" xmlns="" r:embed="rId9"/>
            </a:ext>
          </a:extLst>
        </a:blip>
        <a:stretch>
          <a:fillRect/>
        </a:stretch>
      </xdr:blipFill>
      <xdr:spPr>
        <a:xfrm>
          <a:off x="175261" y="175261"/>
          <a:ext cx="396240" cy="396240"/>
        </a:xfrm>
        <a:prstGeom prst="rect">
          <a:avLst/>
        </a:prstGeom>
      </xdr:spPr>
    </xdr:pic>
    <xdr:clientData/>
  </xdr:twoCellAnchor>
  <xdr:twoCellAnchor editAs="oneCell">
    <xdr:from>
      <xdr:col>1</xdr:col>
      <xdr:colOff>213360</xdr:colOff>
      <xdr:row>4</xdr:row>
      <xdr:rowOff>15240</xdr:rowOff>
    </xdr:from>
    <xdr:to>
      <xdr:col>2</xdr:col>
      <xdr:colOff>335280</xdr:colOff>
      <xdr:row>5</xdr:row>
      <xdr:rowOff>175260</xdr:rowOff>
    </xdr:to>
    <xdr:pic>
      <xdr:nvPicPr>
        <xdr:cNvPr id="60" name="Graphic 7" descr="Checklist with solid fill">
          <a:extLst>
            <a:ext uri="{FF2B5EF4-FFF2-40B4-BE49-F238E27FC236}">
              <a16:creationId xmlns:a16="http://schemas.microsoft.com/office/drawing/2014/main" id="{E19A4324-DEFA-4A07-69A1-B08FBB23C819}"/>
            </a:ext>
          </a:extLst>
        </xdr:cNvPr>
        <xdr:cNvPicPr>
          <a:picLocks noChangeAspect="1"/>
        </xdr:cNvPicPr>
      </xdr:nvPicPr>
      <xdr:blipFill>
        <a:blip xmlns:r="http://schemas.openxmlformats.org/officeDocument/2006/relationships" r:embed="rId10">
          <a:extLst>
            <a:ext uri="{96DAC541-7B7A-43D3-8B79-37D633B846F1}">
              <asvg:svgBlip xmlns:lc="http://schemas.openxmlformats.org/drawingml/2006/lockedCanvas" xmlns:asvg="http://schemas.microsoft.com/office/drawing/2016/SVG/main" xmlns:p="http://schemas.openxmlformats.org/presentationml/2006/main" xmlns="" r:embed="rId11"/>
            </a:ext>
          </a:extLst>
        </a:blip>
        <a:stretch>
          <a:fillRect/>
        </a:stretch>
      </xdr:blipFill>
      <xdr:spPr>
        <a:xfrm>
          <a:off x="342900" y="731520"/>
          <a:ext cx="342900" cy="342900"/>
        </a:xfrm>
        <a:prstGeom prst="rect">
          <a:avLst/>
        </a:prstGeom>
      </xdr:spPr>
    </xdr:pic>
    <xdr:clientData/>
  </xdr:twoCellAnchor>
</xdr:wsDr>
</file>

<file path=xl/drawings/drawing5.xml><?xml version="1.0" encoding="utf-8"?>
<c:userShapes xmlns:c="http://schemas.openxmlformats.org/drawingml/2006/chart">
  <cdr:relSizeAnchor xmlns:cdr="http://schemas.openxmlformats.org/drawingml/2006/chartDrawing">
    <cdr:from>
      <cdr:x>0.01835</cdr:x>
      <cdr:y>0.02013</cdr:y>
    </cdr:from>
    <cdr:to>
      <cdr:x>0.06766</cdr:x>
      <cdr:y>0.16443</cdr:y>
    </cdr:to>
    <cdr:pic>
      <cdr:nvPicPr>
        <cdr:cNvPr id="2" name="Graphic 8" descr="Presentation with bar chart with solid fill">
          <a:extLst xmlns:a="http://schemas.openxmlformats.org/drawingml/2006/main">
            <a:ext uri="{FF2B5EF4-FFF2-40B4-BE49-F238E27FC236}">
              <a16:creationId xmlns:a16="http://schemas.microsoft.com/office/drawing/2014/main" id="{2663A4BD-0876-D590-17F8-750D785B9550}"/>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lc="http://schemas.openxmlformats.org/drawingml/2006/lockedCanvas" xmlns:asvg="http://schemas.microsoft.com/office/drawing/2016/SVG/main" xmlns:p="http://schemas.openxmlformats.org/presentationml/2006/main" xmlns="" r:embed="rId13"/>
            </a:ext>
          </a:extLst>
        </a:blip>
        <a:stretch xmlns:a="http://schemas.openxmlformats.org/drawingml/2006/main">
          <a:fillRect/>
        </a:stretch>
      </cdr:blipFill>
      <cdr:spPr>
        <a:xfrm xmlns:a="http://schemas.openxmlformats.org/drawingml/2006/main">
          <a:off x="121920" y="45720"/>
          <a:ext cx="327659" cy="327659"/>
        </a:xfrm>
        <a:prstGeom xmlns:a="http://schemas.openxmlformats.org/drawingml/2006/main" prst="rect">
          <a:avLst/>
        </a:prstGeom>
      </cdr:spPr>
    </cdr:pic>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Mewo" refreshedDate="46072.830008449077" createdVersion="6" refreshedVersion="6" minRefreshableVersion="3" recordCount="317">
  <cacheSource type="worksheet">
    <worksheetSource name="Table1"/>
  </cacheSource>
  <cacheFields count="83">
    <cacheField name="Project Number" numFmtId="0">
      <sharedItems/>
    </cacheField>
    <cacheField name="Part Number" numFmtId="49">
      <sharedItems/>
    </cacheField>
    <cacheField name="VAM-REC" numFmtId="0">
      <sharedItems/>
    </cacheField>
    <cacheField name="Start Date" numFmtId="17">
      <sharedItems containsDate="1" containsMixedTypes="1" minDate="2025-03-01T00:00:00" maxDate="2027-01-02T00:00:00"/>
    </cacheField>
    <cacheField name="End Date" numFmtId="17">
      <sharedItems containsDate="1" containsMixedTypes="1" minDate="2026-02-01T00:00:00" maxDate="2027-12-02T00:00:00"/>
    </cacheField>
    <cacheField name="VC Project" numFmtId="17">
      <sharedItems containsDate="1" containsMixedTypes="1" minDate="1899-12-31T00:00:00" maxDate="1899-12-31T00:00:00" count="15">
        <s v="Sputtering"/>
        <s v="Visual Inspection"/>
        <s v="Wafer Saw Dicing"/>
        <s v="Wet Etching"/>
        <n v="0" u="1"/>
        <s v="" u="1"/>
        <s v="OPD" u="1"/>
        <s v="GAMMA Cable VC" u="1"/>
        <s v="SFY" u="1"/>
        <s v="Thermobond" u="1"/>
        <s v="EngTest Reduction YOY" u="1"/>
        <s v="NTI Breakthrough" u="1"/>
        <e v="#N/A" u="1"/>
        <d v="1899-12-30T00:00:00" u="1"/>
        <s v="Visual Inspecition" u="1"/>
      </sharedItems>
    </cacheField>
    <cacheField name="Category" numFmtId="17">
      <sharedItems containsDate="1" containsMixedTypes="1" minDate="1899-12-31T00:00:00" maxDate="1899-12-31T00:00:00" count="14">
        <s v="XWP"/>
        <s v="XCI"/>
        <s v="XCD"/>
        <n v="0" u="1"/>
        <s v="" u="1"/>
        <s v="Classic VC - Carryover" u="1"/>
        <s v="GAMMA Cable VC" u="1"/>
        <s v="DEP 63NPI EngTest Reduction YOY" u="1"/>
        <s v="TDE VC Initiative " u="1"/>
        <s v="New Industrialization " u="1"/>
        <e v="#N/A" u="1"/>
        <s v="Classic VC - New" u="1"/>
        <d v="1899-12-30T00:00:00" u="1"/>
        <s v="NTI Breakthrough - Carryover" u="1"/>
      </sharedItems>
    </cacheField>
    <cacheField name="Project Name" numFmtId="17">
      <sharedItems count="129">
        <s v="TiW Target Supplier Y"/>
        <s v="TiW Target Supplier X"/>
        <s v="Aut Visual 2"/>
        <s v="TiW Target Supplier Z"/>
        <s v="Au Target Supplier Y"/>
        <s v="Au Target Supplier X"/>
        <s v="Au Target Supplier Z"/>
        <s v="Pt Target Supplier Y"/>
        <s v="Pt Target Supplier X"/>
        <s v="Pt Target Supplier Z"/>
        <s v="NiCr Target Supplier Y"/>
        <s v="NiCr Target Supplier X"/>
        <s v="Ti Target Supplier X"/>
        <s v="Ti Target Supplier Z"/>
        <s v="Au Target Thickness 0.1um"/>
        <s v="Au Target Thickness 0.5um"/>
        <s v="Au Target Thickness 3.5um"/>
        <s v="Diamond blade Supplier B"/>
        <s v="Diamond blade Supplier D"/>
        <s v="Diamond blade Supplier E"/>
        <s v="Diamond blade Supplier X"/>
        <s v="Diamond blade Supplier Z"/>
        <s v="Thermal Release Tape 1"/>
        <s v="Tape Dicing 5"/>
        <s v="Thermal Release Tape 3"/>
        <s v="Tape Dicing 1"/>
        <s v="Tape Dicing 3"/>
        <s v="Oven time time Reduction 25%"/>
        <s v="Tape Dicing 7"/>
        <s v="Oven time time Reduction 50%"/>
        <s v="Oven time time Reduction 75%"/>
        <s v="Chip Cleaning Solvent 1"/>
        <s v="Chip Cleaning Solvent 2"/>
        <s v="Chip Cleaning Solvent 4"/>
        <s v="Chip Cleaning Solvent 5"/>
        <s v="Chip Cleaning Solvent 6"/>
        <s v="Chip Cleaning Solvent 7"/>
        <s v="Auto Visual Inspection"/>
        <s v="Sampling Size Reduction"/>
        <s v="Au etching increase Frequency usage"/>
        <s v="TiW etching increase Frequency usage"/>
        <s v="Pt etching increase Frequency usage"/>
        <s v="ERU5G Auto cut and strip"/>
        <s v="Diamond blade Supplier A"/>
        <s v="Ti Target Supplier Y"/>
        <s v="Tape Dicing 4"/>
        <s v="Thermal Release Tape 2"/>
        <s v="New Etching Chemical Potassium Iodide"/>
        <s v="New Etching Chemical Hydroflauric Acid"/>
        <s v="New Etching Chemical Iodine"/>
        <s v="New Etching Chemical Nitric Acid"/>
        <s v="New Etching Chemical H2O2"/>
        <s v="New Etching Chemical Diammonium Cerium"/>
        <s v="New Etching Chemical Agua Regia"/>
        <s v="Au Eching Time Reduction"/>
        <s v="TiW Eching Time Reduction"/>
        <s v="NiCr Eching Time Reduction"/>
        <s v="Ti Eching Time Reduction"/>
        <s v="Pt Eching Time Reduction"/>
        <s v="Plasma Etching Au"/>
        <s v="Plasma Dry Etching TiW"/>
        <s v="Plasma Dry Etching Pt"/>
        <s v="Plasma Dry Etching Au"/>
        <s v="Plasma Dry Etching TaN"/>
        <s v="NiCr Target Supplier Z"/>
        <s v="Pt Target Thickness Reduction"/>
        <s v="Chip Cleaning Solvent 3"/>
        <s v="NiCr Target Thickness Reduction"/>
        <s v="Diamond Blade 10%"/>
        <s v="Sputtering time Reduction"/>
        <s v="Tape Dicing 6"/>
        <s v="Ti Target Thickness Reduction"/>
        <s v="TiW Target Thickness Reduction"/>
        <s v="Auto Visual Adjustment"/>
        <s v="BK" u="1"/>
        <s v="GE OPD Phase 1.1" u="1"/>
        <s v="GAMMA Cable VC" u="1"/>
        <s v="RAB TB" u="1"/>
        <s v="ED Bifillar" u="1"/>
        <s v="Housing Assembly" u="1"/>
        <s v="RAI THORIUM" u="1"/>
        <s v="D11SP" u="1"/>
        <s v="M+120 Z OPD" u="1"/>
        <s v="DEP 63NPI EngTest Reduction YOY" u="1"/>
        <s v="RAI IPANEMA PRIO1" u="1"/>
        <s v="RAL Widex" u="1"/>
        <s v="ERU5G 125 Z OPD" u="1"/>
        <s v="AMCEN - Shape Bending" u="1"/>
        <s v="CI-BIFILLAR" u="1"/>
        <s v="GE OPD Phase 1.2" u="1"/>
        <s v="Starkey 50 Gain Shape Bending" u="1"/>
        <s v="Starkey 60 Gain Shape Bending" u="1"/>
        <s v="GS" u="1"/>
        <s v="ERU5G 110  Z OPD" u="1"/>
        <s v="TEC" u="1"/>
        <s v="DANCAR RAI" u="1"/>
        <s v="TEC BATCH 2" u="1"/>
        <s v="RAL  (GNR)" u="1"/>
        <s v="Auto Visual 3" u="1"/>
        <s v="GE OPD Phase 1.3" u="1"/>
        <s v="RAL General Market" u="1"/>
        <s v="RAD" u="1"/>
        <s v="FK OPD (WW) Leveraging" u="1"/>
        <s v="FC" u="1"/>
        <s v="RAL GNR" u="1"/>
        <s v="RAL (WIDEX)" u="1"/>
        <s v="RAF" u="1"/>
        <s v="FK (GNR)" u="1"/>
        <s v="Auto Soldering, Lacquering and   Housing, Assembly" u="1"/>
        <e v="#N/A" u="1"/>
        <s v="Widex M+ Cable Insourcing" u="1"/>
        <s v="GS M-Reed Auto Phase 1" u="1"/>
        <s v="DAYTONA" u="1"/>
        <s v="EF" u="1"/>
        <s v="D10" u="1"/>
        <s v="GS M-Reed Auto Phase 2" u="1"/>
        <s v="DR   Blind Attach + Laser Seam" u="1"/>
        <s v="TEC (SONOVA)" u="1"/>
        <s v="M+ 125 Z OPD" u="1"/>
        <s v="D12SP RAI" u="1"/>
        <s v="RAL (GENMKT)" u="1"/>
        <s v="FK Phase 2" u="1"/>
        <s v="Shimless CYMA" u="1"/>
        <s v="Universal Fixture for Laser   Marking, Testing and AOI" u="1"/>
        <s v="RAI LASER Welding" u="1"/>
        <s v="DTEC" u="1"/>
        <s v="Cleo Piri" u="1"/>
        <s v="RAI IPANEMA PRIO2" u="1"/>
        <s v="GE OPD Phase 2.0" u="1"/>
      </sharedItems>
    </cacheField>
    <cacheField name="Labor_x000a_Saving" numFmtId="166">
      <sharedItems containsString="0" containsBlank="1" containsNumber="1" minValue="0" maxValue="4.7160607E-2"/>
    </cacheField>
    <cacheField name="Yield_x000a_Saving" numFmtId="166">
      <sharedItems containsString="0" containsBlank="1" containsNumber="1" minValue="0" maxValue="0.02"/>
    </cacheField>
    <cacheField name="Material_x000a_Saving" numFmtId="166">
      <sharedItems containsString="0" containsBlank="1" containsNumber="1" minValue="-1.0478671151700001E-3" maxValue="0.125"/>
    </cacheField>
    <cacheField name="OH_x000a_Saving" numFmtId="166">
      <sharedItems containsString="0" containsBlank="1" containsNumber="1" containsInteger="1" minValue="0" maxValue="0"/>
    </cacheField>
    <cacheField name="Total_x000a_Saving" numFmtId="166">
      <sharedItems containsSemiMixedTypes="0" containsString="0" containsNumber="1" minValue="0" maxValue="0.125"/>
    </cacheField>
    <cacheField name="Status" numFmtId="0">
      <sharedItems containsNonDate="0" containsString="0" containsBlank="1"/>
    </cacheField>
    <cacheField name="Jan" numFmtId="3">
      <sharedItems containsMixedTypes="1" containsNumber="1" minValue="0" maxValue="1421660"/>
    </cacheField>
    <cacheField name="Feb" numFmtId="3">
      <sharedItems containsMixedTypes="1" containsNumber="1" minValue="0" maxValue="1201487"/>
    </cacheField>
    <cacheField name="Mar" numFmtId="3">
      <sharedItems containsMixedTypes="1" containsNumber="1" minValue="0" maxValue="810000"/>
    </cacheField>
    <cacheField name="Apr" numFmtId="3">
      <sharedItems containsMixedTypes="1" containsNumber="1" minValue="0" maxValue="690000"/>
    </cacheField>
    <cacheField name="May" numFmtId="3">
      <sharedItems containsMixedTypes="1" containsNumber="1" minValue="0" maxValue="780000"/>
    </cacheField>
    <cacheField name="Jun" numFmtId="3">
      <sharedItems containsMixedTypes="1" containsNumber="1" minValue="0" maxValue="780000"/>
    </cacheField>
    <cacheField name="Jul" numFmtId="3">
      <sharedItems containsMixedTypes="1" containsNumber="1" minValue="0" maxValue="2353829.4"/>
    </cacheField>
    <cacheField name="Aug" numFmtId="3">
      <sharedItems containsMixedTypes="1" containsNumber="1" minValue="0" maxValue="8839034"/>
    </cacheField>
    <cacheField name="Sep" numFmtId="3">
      <sharedItems containsMixedTypes="1" containsNumber="1" minValue="0" maxValue="7814455"/>
    </cacheField>
    <cacheField name="Oct" numFmtId="3">
      <sharedItems containsMixedTypes="1" containsNumber="1" minValue="0" maxValue="8766266"/>
    </cacheField>
    <cacheField name="Nov" numFmtId="3">
      <sharedItems containsMixedTypes="1" containsNumber="1" minValue="0" maxValue="6795129"/>
    </cacheField>
    <cacheField name="Dec" numFmtId="3">
      <sharedItems containsMixedTypes="1" containsNumber="1" minValue="0" maxValue="6088240"/>
    </cacheField>
    <cacheField name="Calendar_x000a_Volume2" numFmtId="3">
      <sharedItems containsSemiMixedTypes="0" containsString="0" containsNumber="1" minValue="0" maxValue="40656953.399999999"/>
    </cacheField>
    <cacheField name="Jan_CSV" numFmtId="165">
      <sharedItems containsMixedTypes="1" containsNumber="1" minValue="0" maxValue="27071.142035154895"/>
    </cacheField>
    <cacheField name="Feb_CSV" numFmtId="165">
      <sharedItems containsMixedTypes="1" containsNumber="1" minValue="0" maxValue="22878.624446345926"/>
    </cacheField>
    <cacheField name="Mar_CSV" numFmtId="165">
      <sharedItems containsMixedTypes="1" containsNumber="1" minValue="0" maxValue="20053.785002308621"/>
    </cacheField>
    <cacheField name="Apr_CSV" numFmtId="165">
      <sharedItems containsMixedTypes="1" containsNumber="1" minValue="0" maxValue="17420.366960271473"/>
    </cacheField>
    <cacheField name="May_CSV" numFmtId="165">
      <sharedItems containsMixedTypes="1" containsNumber="1" minValue="0" maxValue="19317.383038910815"/>
    </cacheField>
    <cacheField name="Jun_CSV" numFmtId="165">
      <sharedItems containsMixedTypes="1" containsNumber="1" minValue="0" maxValue="30437.25"/>
    </cacheField>
    <cacheField name="Jul_CSV" numFmtId="165">
      <sharedItems containsMixedTypes="1" containsNumber="1" minValue="0" maxValue="105661.375"/>
    </cacheField>
    <cacheField name="Aug_CSV" numFmtId="165">
      <sharedItems containsMixedTypes="1" containsNumber="1" minValue="0" maxValue="97225.5"/>
    </cacheField>
    <cacheField name="Sep_CSV" numFmtId="165">
      <sharedItems containsMixedTypes="1" containsNumber="1" minValue="0" maxValue="203460.92407512496"/>
    </cacheField>
    <cacheField name="Oct_CSV" numFmtId="165">
      <sharedItems containsMixedTypes="1" containsNumber="1" minValue="0" maxValue="326061.04987457755"/>
    </cacheField>
    <cacheField name="Nov_CSV" numFmtId="165">
      <sharedItems containsMixedTypes="1" containsNumber="1" minValue="0" maxValue="252744.65727747575"/>
    </cacheField>
    <cacheField name="Dec_CSV" numFmtId="165">
      <sharedItems containsMixedTypes="1" containsNumber="1" minValue="0" maxValue="226451.9381785127"/>
    </cacheField>
    <cacheField name="Cal_Q1_x000a_Saving" numFmtId="165">
      <sharedItems containsSemiMixedTypes="0" containsString="0" containsNumber="1" minValue="0" maxValue="59483.361335080481"/>
    </cacheField>
    <cacheField name="Cal_Q2_x000a_Saving" numFmtId="165">
      <sharedItems containsSemiMixedTypes="0" containsString="0" containsNumber="1" minValue="0" maxValue="56031.788522424351"/>
    </cacheField>
    <cacheField name="Cal_Q3_x000a_Saving" numFmtId="165">
      <sharedItems containsSemiMixedTypes="0" containsString="0" containsNumber="1" minValue="0" maxValue="308558.875"/>
    </cacheField>
    <cacheField name="Cal_Q4_x000a_Saving" numFmtId="165">
      <sharedItems containsSemiMixedTypes="0" containsString="0" containsNumber="1" minValue="0" maxValue="805257.64533056598"/>
    </cacheField>
    <cacheField name="Column4" numFmtId="165">
      <sharedItems/>
    </cacheField>
    <cacheField name="Labor_CSV" numFmtId="165">
      <sharedItems containsSemiMixedTypes="0" containsString="0" containsNumber="1" minValue="0" maxValue="466323.49940569093"/>
    </cacheField>
    <cacheField name="Yield_CSV" numFmtId="165">
      <sharedItems containsSemiMixedTypes="0" containsString="0" containsNumber="1" minValue="0" maxValue="70278.8"/>
    </cacheField>
    <cacheField name="Material_CSV" numFmtId="165">
      <sharedItems containsSemiMixedTypes="0" containsString="0" containsNumber="1" minValue="-3390.3375068623777" maxValue="621439"/>
    </cacheField>
    <cacheField name="OH_CSV" numFmtId="165">
      <sharedItems containsSemiMixedTypes="0" containsString="0" containsNumber="1" containsInteger="1" minValue="0" maxValue="0"/>
    </cacheField>
    <cacheField name="Total__CSV" numFmtId="165">
      <sharedItems containsSemiMixedTypes="0" containsString="0" containsNumber="1" minValue="0" maxValue="1008718.569405691"/>
    </cacheField>
    <cacheField name="Jan_AVF" numFmtId="3">
      <sharedItems containsMixedTypes="1" containsNumber="1" containsInteger="1" minValue="0" maxValue="9245550"/>
    </cacheField>
    <cacheField name="Feb_AVF" numFmtId="3">
      <sharedItems containsMixedTypes="1" containsNumber="1" containsInteger="1" minValue="0" maxValue="9040100"/>
    </cacheField>
    <cacheField name="Mar_AVF" numFmtId="3">
      <sharedItems containsMixedTypes="1" containsNumber="1" containsInteger="1" minValue="0" maxValue="9994248"/>
    </cacheField>
    <cacheField name="Apr_AVF" numFmtId="3">
      <sharedItems containsMixedTypes="1" containsNumber="1" containsInteger="1" minValue="0" maxValue="8581988"/>
    </cacheField>
    <cacheField name="May_AVF" numFmtId="3">
      <sharedItems containsMixedTypes="1" containsNumber="1" containsInteger="1" minValue="0" maxValue="8383529"/>
    </cacheField>
    <cacheField name="Jun_AVF" numFmtId="3">
      <sharedItems containsMixedTypes="1" containsNumber="1" containsInteger="1" minValue="0" maxValue="7713898"/>
    </cacheField>
    <cacheField name="Jul_AVF" numFmtId="3">
      <sharedItems containsMixedTypes="1" containsNumber="1" containsInteger="1" minValue="0" maxValue="7846098"/>
    </cacheField>
    <cacheField name="Aug_AVF" numFmtId="3">
      <sharedItems containsMixedTypes="1" containsNumber="1" containsInteger="1" minValue="0" maxValue="8839034"/>
    </cacheField>
    <cacheField name="Sep_AVF" numFmtId="3">
      <sharedItems containsMixedTypes="1" containsNumber="1" containsInteger="1" minValue="0" maxValue="7814455"/>
    </cacheField>
    <cacheField name="Oct_AVF" numFmtId="3">
      <sharedItems containsMixedTypes="1" containsNumber="1" containsInteger="1" minValue="0" maxValue="8766266"/>
    </cacheField>
    <cacheField name="Nov_AVF" numFmtId="3">
      <sharedItems containsMixedTypes="1" containsNumber="1" containsInteger="1" minValue="0" maxValue="6795129"/>
    </cacheField>
    <cacheField name="Dec_AVF" numFmtId="3">
      <sharedItems containsMixedTypes="1" containsNumber="1" containsInteger="1" minValue="0" maxValue="6088240"/>
    </cacheField>
    <cacheField name="Annual Volume" numFmtId="3">
      <sharedItems containsSemiMixedTypes="0" containsString="0" containsNumber="1" containsInteger="1" minValue="0" maxValue="99108535"/>
    </cacheField>
    <cacheField name="Jan_ASV" numFmtId="165">
      <sharedItems containsMixedTypes="1" containsNumber="1" minValue="0" maxValue="343888.00655466085"/>
    </cacheField>
    <cacheField name="Feb_ASV" numFmtId="165">
      <sharedItems containsMixedTypes="1" containsNumber="1" minValue="0" maxValue="336246.29881995008"/>
    </cacheField>
    <cacheField name="Mar_ASV" numFmtId="165">
      <sharedItems containsMixedTypes="1" containsNumber="1" minValue="0" maxValue="371735.8103880143"/>
    </cacheField>
    <cacheField name="Apr_ASV" numFmtId="165">
      <sharedItems containsMixedTypes="1" containsNumber="1" minValue="0" maxValue="319206.83416303201"/>
    </cacheField>
    <cacheField name="May_ASV" numFmtId="165">
      <sharedItems containsMixedTypes="1" containsNumber="1" minValue="0" maxValue="311825.15650266228"/>
    </cacheField>
    <cacheField name="Jun_ASV" numFmtId="165">
      <sharedItems containsMixedTypes="1" containsNumber="1" minValue="0" maxValue="286918.24780418526"/>
    </cacheField>
    <cacheField name="Jul_ASV" numFmtId="165">
      <sharedItems containsMixedTypes="1" containsNumber="1" minValue="0" maxValue="291835.42357701936"/>
    </cacheField>
    <cacheField name="Aug_ASV" numFmtId="165">
      <sharedItems containsMixedTypes="1" containsNumber="1" minValue="0" maxValue="328767.65385822044"/>
    </cacheField>
    <cacheField name="Sep_ASV" numFmtId="165">
      <sharedItems containsMixedTypes="1" containsNumber="1" minValue="0" maxValue="290658.46296446421"/>
    </cacheField>
    <cacheField name="Oct_ASV" numFmtId="165">
      <sharedItems containsMixedTypes="1" containsNumber="1" minValue="0" maxValue="326061.04987457755"/>
    </cacheField>
    <cacheField name="Nov_ASV" numFmtId="165">
      <sharedItems containsMixedTypes="1" containsNumber="1" minValue="0" maxValue="252744.65727747575"/>
    </cacheField>
    <cacheField name="Dec_ASV" numFmtId="165">
      <sharedItems containsMixedTypes="1" containsNumber="1" minValue="0" maxValue="226451.9381785127"/>
    </cacheField>
    <cacheField name="Ann_Q1_x000a_Saving" numFmtId="165">
      <sharedItems containsMixedTypes="1" containsNumber="1" minValue="0" maxValue="1051870.1157626254"/>
    </cacheField>
    <cacheField name="Ann_Q2_x000a_Saving" numFmtId="165">
      <sharedItems containsMixedTypes="1" containsNumber="1" minValue="0" maxValue="917950.23846987949"/>
    </cacheField>
    <cacheField name="Ann_Q3_x000a_Saving" numFmtId="165">
      <sharedItems containsMixedTypes="1" containsNumber="1" minValue="0" maxValue="911261.54039970401"/>
    </cacheField>
    <cacheField name="Ann_Q4_x000a_Saving" numFmtId="165">
      <sharedItems containsMixedTypes="1" containsNumber="1" minValue="0" maxValue="805257.64533056598"/>
    </cacheField>
    <cacheField name="Labor_ASV" numFmtId="165">
      <sharedItems containsSemiMixedTypes="0" containsString="0" containsNumber="1" minValue="0" maxValue="1704168.8399627747"/>
    </cacheField>
    <cacheField name="Yield_ASV" numFmtId="165">
      <sharedItems containsSemiMixedTypes="0" containsString="0" containsNumber="1" minValue="0" maxValue="141249.4350240519"/>
    </cacheField>
    <cacheField name="Material_ASV" numFmtId="165">
      <sharedItems containsSemiMixedTypes="0" containsString="0" containsNumber="1" minValue="-4086.4694574449454" maxValue="1982170.7"/>
    </cacheField>
    <cacheField name="OH_ASV" numFmtId="165">
      <sharedItems containsSemiMixedTypes="0" containsString="0" containsNumber="1" containsInteger="1" minValue="0" maxValue="0"/>
    </cacheField>
    <cacheField name="Total_ASV" numFmtId="165">
      <sharedItems containsSemiMixedTypes="0" containsString="0" containsNumber="1" minValue="0" maxValue="3686339.5399627746"/>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317">
  <r>
    <s v="AME25-001"/>
    <s v="R54"/>
    <s v="REC"/>
    <d v="2025-03-01T00:00:00"/>
    <d v="2026-02-01T00:00:00"/>
    <x v="0"/>
    <x v="0"/>
    <x v="0"/>
    <n v="1.1639999999999999E-2"/>
    <n v="0"/>
    <n v="7.4019242541500056E-3"/>
    <n v="0"/>
    <n v="1.9041924254150005E-2"/>
    <m/>
    <n v="1421660"/>
    <n v="1201487"/>
    <n v="0"/>
    <n v="0"/>
    <n v="0"/>
    <n v="0"/>
    <n v="0"/>
    <n v="0"/>
    <n v="0"/>
    <n v="0"/>
    <n v="0"/>
    <n v="0"/>
    <n v="2623147"/>
    <n v="27071.142035154895"/>
    <n v="22878.624446345926"/>
    <n v="0"/>
    <n v="0"/>
    <n v="0"/>
    <n v="0"/>
    <n v="0"/>
    <n v="0"/>
    <n v="0"/>
    <n v="0"/>
    <n v="0"/>
    <n v="0"/>
    <n v="49949.766481500817"/>
    <n v="0"/>
    <n v="0"/>
    <n v="0"/>
    <b v="1"/>
    <n v="30533.431079999998"/>
    <n v="0"/>
    <n v="19416.335401500826"/>
    <n v="0"/>
    <n v="49949.766481500825"/>
    <n v="1421660"/>
    <n v="1201487"/>
    <n v="1261172"/>
    <n v="1290266"/>
    <n v="1531466"/>
    <n v="1259806"/>
    <n v="1418923"/>
    <n v="968297"/>
    <n v="1021859"/>
    <n v="960468"/>
    <n v="876790"/>
    <n v="704324"/>
    <n v="13916518"/>
    <n v="27071.142035154895"/>
    <n v="22878.624446345926"/>
    <n v="24015.141695454869"/>
    <n v="24569.14743970511"/>
    <n v="29162.05956980609"/>
    <n v="23989.130426923701"/>
    <n v="27019.024288471286"/>
    <n v="18438.238129520687"/>
    <n v="19458.16167642147"/>
    <n v="18289.158904534946"/>
    <n v="16695.768766796184"/>
    <n v="13411.684258379948"/>
    <n v="73964.90817695568"/>
    <n v="77720.3374364349"/>
    <n v="64915.424094413444"/>
    <n v="48396.611929711071"/>
    <n v="161988.26952"/>
    <n v="0"/>
    <n v="103009.01211751513"/>
    <n v="0"/>
    <n v="264997.28163751512"/>
  </r>
  <r>
    <s v="AME25-002"/>
    <s v="R52"/>
    <s v="REC"/>
    <d v="2025-05-01T00:00:00"/>
    <d v="2026-04-01T00:00:00"/>
    <x v="0"/>
    <x v="0"/>
    <x v="1"/>
    <n v="1.2390558088235297E-2"/>
    <n v="0"/>
    <n v="1.3319221623970002E-2"/>
    <n v="0"/>
    <n v="2.5709779712205297E-2"/>
    <m/>
    <n v="632256"/>
    <n v="734887"/>
    <n v="743478"/>
    <n v="625525"/>
    <n v="0"/>
    <n v="0"/>
    <n v="0"/>
    <n v="0"/>
    <n v="0"/>
    <n v="0"/>
    <n v="0"/>
    <n v="0"/>
    <n v="2736146"/>
    <n v="16255.162481720072"/>
    <n v="18893.782883363416"/>
    <n v="19114.65560087097"/>
    <n v="16082.109954477219"/>
    <n v="0"/>
    <n v="0"/>
    <n v="0"/>
    <n v="0"/>
    <n v="0"/>
    <n v="0"/>
    <n v="0"/>
    <n v="0"/>
    <n v="54263.600965954465"/>
    <n v="16082.109954477219"/>
    <n v="0"/>
    <n v="0"/>
    <b v="1"/>
    <n v="33902.375950892652"/>
    <n v="0"/>
    <n v="36443.334969539021"/>
    <n v="0"/>
    <n v="70345.71092043168"/>
    <n v="632256"/>
    <n v="734887"/>
    <n v="743478"/>
    <n v="625525"/>
    <n v="713514"/>
    <n v="727708"/>
    <n v="691684"/>
    <n v="534040"/>
    <n v="637583"/>
    <n v="584430"/>
    <n v="459465"/>
    <n v="454091"/>
    <n v="7538661"/>
    <n v="16255.162481720072"/>
    <n v="18893.782883363416"/>
    <n v="19114.65560087097"/>
    <n v="16082.109954477219"/>
    <n v="18344.287761574451"/>
    <n v="18709.212374809493"/>
    <n v="17783.043270457008"/>
    <n v="13730.050757506116"/>
    <n v="16392.11847824699"/>
    <n v="15025.566557204142"/>
    <n v="11812.743935468407"/>
    <n v="11674.579579295016"/>
    <n v="54263.600965954465"/>
    <n v="53135.610090861155"/>
    <n v="47905.212506210111"/>
    <n v="38512.890071967566"/>
    <n v="93408.217028013998"/>
    <n v="0"/>
    <n v="100409.09660697932"/>
    <n v="0"/>
    <n v="193817.31363499333"/>
  </r>
  <r>
    <s v="AME25-066"/>
    <s v="V3"/>
    <s v="VAM"/>
    <d v="2026-06-01T00:00:00"/>
    <d v="2027-05-01T00:00:00"/>
    <x v="1"/>
    <x v="1"/>
    <x v="2"/>
    <n v="0"/>
    <n v="0"/>
    <n v="0.125"/>
    <n v="0"/>
    <n v="0.125"/>
    <m/>
    <n v="0"/>
    <n v="0"/>
    <n v="0"/>
    <n v="0"/>
    <n v="0"/>
    <n v="243498"/>
    <n v="845291"/>
    <n v="777804"/>
    <n v="845376"/>
    <n v="879191"/>
    <n v="811677"/>
    <n v="568675"/>
    <n v="4971512"/>
    <n v="0"/>
    <n v="0"/>
    <n v="0"/>
    <n v="0"/>
    <n v="0"/>
    <n v="30437.25"/>
    <n v="105661.375"/>
    <n v="97225.5"/>
    <n v="105672"/>
    <n v="109898.875"/>
    <n v="101459.625"/>
    <n v="71084.375"/>
    <n v="0"/>
    <n v="30437.25"/>
    <n v="308558.875"/>
    <n v="282442.875"/>
    <b v="1"/>
    <n v="0"/>
    <n v="0"/>
    <n v="621439"/>
    <n v="0"/>
    <n v="621439"/>
    <n v="683202"/>
    <n v="667394"/>
    <n v="652384"/>
    <n v="743928"/>
    <n v="811604"/>
    <n v="811660"/>
    <n v="845291"/>
    <n v="777804"/>
    <n v="845376"/>
    <n v="879191"/>
    <n v="811677"/>
    <n v="568675"/>
    <n v="9098186"/>
    <n v="85400.25"/>
    <n v="83424.25"/>
    <n v="81548"/>
    <n v="92991"/>
    <n v="101450.5"/>
    <n v="101457.5"/>
    <n v="105661.375"/>
    <n v="97225.5"/>
    <n v="105672"/>
    <n v="109898.875"/>
    <n v="101459.625"/>
    <n v="71084.375"/>
    <n v="250372.5"/>
    <n v="295899"/>
    <n v="308558.875"/>
    <n v="282442.875"/>
    <n v="0"/>
    <n v="0"/>
    <n v="1137273.25"/>
    <n v="0"/>
    <n v="1137273.25"/>
  </r>
  <r>
    <s v="AME25-066"/>
    <s v="V4"/>
    <s v="VAM"/>
    <d v="2026-06-01T00:00:00"/>
    <d v="2027-05-01T00:00:00"/>
    <x v="1"/>
    <x v="1"/>
    <x v="2"/>
    <n v="0"/>
    <n v="0"/>
    <n v="0.125"/>
    <n v="0"/>
    <n v="0.125"/>
    <m/>
    <n v="0"/>
    <n v="0"/>
    <n v="0"/>
    <n v="0"/>
    <n v="0"/>
    <n v="242502"/>
    <n v="842209"/>
    <n v="774696"/>
    <n v="842124"/>
    <n v="875809"/>
    <n v="808323"/>
    <n v="566675"/>
    <n v="4952338"/>
    <n v="0"/>
    <n v="0"/>
    <n v="0"/>
    <n v="0"/>
    <n v="0"/>
    <n v="30312.75"/>
    <n v="105276.125"/>
    <n v="96837"/>
    <n v="105265.5"/>
    <n v="109476.125"/>
    <n v="101040.375"/>
    <n v="70834.375"/>
    <n v="0"/>
    <n v="30312.75"/>
    <n v="307378.625"/>
    <n v="281350.875"/>
    <b v="1"/>
    <n v="0"/>
    <n v="0"/>
    <n v="619042.25"/>
    <n v="0"/>
    <n v="619042.25"/>
    <n v="713167"/>
    <n v="603260"/>
    <n v="650377"/>
    <n v="741072"/>
    <n v="808396"/>
    <n v="808340"/>
    <n v="842209"/>
    <n v="774696"/>
    <n v="842124"/>
    <n v="875809"/>
    <n v="808323"/>
    <n v="566675"/>
    <n v="9034448"/>
    <n v="89145.875"/>
    <n v="75407.5"/>
    <n v="81297.125"/>
    <n v="92634"/>
    <n v="101049.5"/>
    <n v="101042.5"/>
    <n v="105276.125"/>
    <n v="96837"/>
    <n v="105265.5"/>
    <n v="109476.125"/>
    <n v="101040.375"/>
    <n v="70834.375"/>
    <n v="245850.5"/>
    <n v="294726"/>
    <n v="307378.625"/>
    <n v="281350.875"/>
    <n v="0"/>
    <n v="0"/>
    <n v="1129306"/>
    <n v="0"/>
    <n v="1129306"/>
  </r>
  <r>
    <s v="AME25-066"/>
    <s v="V1"/>
    <s v="VAM"/>
    <d v="2026-06-01T00:00:00"/>
    <d v="2027-05-01T00:00:00"/>
    <x v="1"/>
    <x v="1"/>
    <x v="2"/>
    <n v="0"/>
    <n v="0"/>
    <n v="8.3026776475400063E-2"/>
    <n v="0"/>
    <n v="8.3026776475400063E-2"/>
    <m/>
    <n v="0"/>
    <n v="0"/>
    <n v="0"/>
    <n v="0"/>
    <n v="0"/>
    <n v="0"/>
    <n v="0"/>
    <n v="0"/>
    <n v="0"/>
    <n v="0"/>
    <n v="0"/>
    <n v="0"/>
    <n v="0"/>
    <n v="0"/>
    <n v="0"/>
    <n v="0"/>
    <n v="0"/>
    <n v="0"/>
    <n v="0"/>
    <n v="0"/>
    <n v="0"/>
    <n v="0"/>
    <n v="0"/>
    <n v="0"/>
    <n v="0"/>
    <n v="0"/>
    <n v="0"/>
    <n v="0"/>
    <n v="0"/>
    <b v="1"/>
    <n v="0"/>
    <n v="0"/>
    <n v="0"/>
    <n v="0"/>
    <n v="0"/>
    <n v="149825"/>
    <n v="66806"/>
    <n v="66911"/>
    <n v="0"/>
    <n v="0"/>
    <n v="0"/>
    <n v="0"/>
    <n v="0"/>
    <n v="0"/>
    <n v="0"/>
    <n v="0"/>
    <n v="0"/>
    <n v="283542"/>
    <n v="12439.486785426814"/>
    <n v="5546.6868292155768"/>
    <n v="5555.4046407454935"/>
    <n v="0"/>
    <n v="0"/>
    <n v="0"/>
    <n v="0"/>
    <n v="0"/>
    <n v="0"/>
    <n v="0"/>
    <n v="0"/>
    <n v="0"/>
    <n v="23541.578255387882"/>
    <n v="0"/>
    <n v="0"/>
    <n v="0"/>
    <n v="0"/>
    <n v="0"/>
    <n v="23541.578255387885"/>
    <n v="0"/>
    <n v="23541.578255387885"/>
  </r>
  <r>
    <s v="AME25-066"/>
    <s v="V2"/>
    <s v="VAM"/>
    <d v="2026-06-01T00:00:00"/>
    <d v="2027-05-01T00:00:00"/>
    <x v="1"/>
    <x v="1"/>
    <x v="2"/>
    <n v="0"/>
    <n v="0"/>
    <n v="8.3026776475400063E-2"/>
    <n v="0"/>
    <n v="8.3026776475400063E-2"/>
    <m/>
    <n v="0"/>
    <n v="0"/>
    <n v="0"/>
    <n v="0"/>
    <n v="0"/>
    <n v="0"/>
    <n v="0"/>
    <n v="0"/>
    <n v="0"/>
    <n v="0"/>
    <n v="0"/>
    <n v="0"/>
    <n v="0"/>
    <n v="0"/>
    <n v="0"/>
    <n v="0"/>
    <n v="0"/>
    <n v="0"/>
    <n v="0"/>
    <n v="0"/>
    <n v="0"/>
    <n v="0"/>
    <n v="0"/>
    <n v="0"/>
    <n v="0"/>
    <n v="0"/>
    <n v="0"/>
    <n v="0"/>
    <n v="0"/>
    <b v="1"/>
    <n v="0"/>
    <n v="0"/>
    <n v="0"/>
    <n v="0"/>
    <n v="0"/>
    <n v="149825"/>
    <n v="66806"/>
    <n v="66911"/>
    <n v="0"/>
    <n v="0"/>
    <n v="0"/>
    <n v="0"/>
    <n v="0"/>
    <n v="0"/>
    <n v="0"/>
    <n v="0"/>
    <n v="0"/>
    <n v="283542"/>
    <n v="12439.486785426814"/>
    <n v="5546.6868292155768"/>
    <n v="5555.4046407454935"/>
    <n v="0"/>
    <n v="0"/>
    <n v="0"/>
    <n v="0"/>
    <n v="0"/>
    <n v="0"/>
    <n v="0"/>
    <n v="0"/>
    <n v="0"/>
    <n v="23541.578255387882"/>
    <n v="0"/>
    <n v="0"/>
    <n v="0"/>
    <n v="0"/>
    <n v="0"/>
    <n v="23541.578255387885"/>
    <n v="0"/>
    <n v="23541.578255387885"/>
  </r>
  <r>
    <s v="AME25-003"/>
    <s v="R182"/>
    <s v="REC"/>
    <d v="2025-06-01T00:00:00"/>
    <d v="2026-05-01T00:00:00"/>
    <x v="0"/>
    <x v="0"/>
    <x v="3"/>
    <n v="2.9517214988038675E-2"/>
    <n v="0"/>
    <n v="1.1653968953209996E-2"/>
    <n v="0"/>
    <n v="4.1171183941248669E-2"/>
    <m/>
    <n v="0"/>
    <n v="0"/>
    <n v="0"/>
    <n v="0"/>
    <n v="0"/>
    <n v="0"/>
    <n v="0"/>
    <n v="0"/>
    <n v="0"/>
    <n v="0"/>
    <n v="0"/>
    <n v="0"/>
    <n v="0"/>
    <n v="0"/>
    <n v="0"/>
    <n v="0"/>
    <n v="0"/>
    <n v="0"/>
    <n v="0"/>
    <n v="0"/>
    <n v="0"/>
    <n v="0"/>
    <n v="0"/>
    <n v="0"/>
    <n v="0"/>
    <n v="0"/>
    <n v="0"/>
    <n v="0"/>
    <n v="0"/>
    <b v="1"/>
    <n v="0"/>
    <n v="0"/>
    <n v="0"/>
    <n v="0"/>
    <n v="0"/>
    <n v="0"/>
    <n v="0"/>
    <n v="0"/>
    <n v="0"/>
    <n v="0"/>
    <n v="0"/>
    <n v="0"/>
    <n v="0"/>
    <n v="0"/>
    <n v="0"/>
    <n v="0"/>
    <n v="0"/>
    <n v="0"/>
    <n v="0"/>
    <n v="0"/>
    <n v="0"/>
    <n v="0"/>
    <n v="0"/>
    <n v="0"/>
    <n v="0"/>
    <n v="0"/>
    <n v="0"/>
    <n v="0"/>
    <n v="0"/>
    <n v="0"/>
    <n v="0"/>
    <n v="0"/>
    <n v="0"/>
    <n v="0"/>
    <n v="0"/>
    <n v="0"/>
    <n v="0"/>
    <n v="0"/>
    <n v="0"/>
  </r>
  <r>
    <s v="AME25-003"/>
    <s v="R183"/>
    <s v="REC"/>
    <d v="2025-06-01T00:00:00"/>
    <d v="2026-05-01T00:00:00"/>
    <x v="0"/>
    <x v="0"/>
    <x v="3"/>
    <n v="2.9517214988038675E-2"/>
    <n v="0"/>
    <n v="1.1653968953209996E-2"/>
    <n v="0"/>
    <n v="4.1171183941248669E-2"/>
    <m/>
    <n v="0"/>
    <n v="0"/>
    <n v="0"/>
    <n v="0"/>
    <n v="0"/>
    <n v="0"/>
    <n v="0"/>
    <n v="0"/>
    <n v="0"/>
    <n v="0"/>
    <n v="0"/>
    <n v="0"/>
    <n v="0"/>
    <n v="0"/>
    <n v="0"/>
    <n v="0"/>
    <n v="0"/>
    <n v="0"/>
    <n v="0"/>
    <n v="0"/>
    <n v="0"/>
    <n v="0"/>
    <n v="0"/>
    <n v="0"/>
    <n v="0"/>
    <n v="0"/>
    <n v="0"/>
    <n v="0"/>
    <n v="0"/>
    <b v="1"/>
    <n v="0"/>
    <n v="0"/>
    <n v="0"/>
    <n v="0"/>
    <n v="0"/>
    <n v="0"/>
    <n v="0"/>
    <n v="0"/>
    <n v="0"/>
    <n v="0"/>
    <n v="0"/>
    <n v="0"/>
    <n v="0"/>
    <n v="0"/>
    <n v="0"/>
    <n v="0"/>
    <n v="0"/>
    <n v="0"/>
    <n v="0"/>
    <n v="0"/>
    <n v="0"/>
    <n v="0"/>
    <n v="0"/>
    <n v="0"/>
    <n v="0"/>
    <n v="0"/>
    <n v="0"/>
    <n v="0"/>
    <n v="0"/>
    <n v="0"/>
    <n v="0"/>
    <n v="0"/>
    <n v="0"/>
    <n v="0"/>
    <n v="0"/>
    <n v="0"/>
    <n v="0"/>
    <n v="0"/>
    <n v="0"/>
  </r>
  <r>
    <s v="AME25-004"/>
    <s v="R153"/>
    <s v="REC"/>
    <d v="2025-10-01T00:00:00"/>
    <d v="2026-09-01T00:00:00"/>
    <x v="0"/>
    <x v="0"/>
    <x v="4"/>
    <n v="2.9517214988038675E-2"/>
    <n v="0"/>
    <n v="1.1653968953209996E-2"/>
    <n v="0"/>
    <n v="4.1171183941248669E-2"/>
    <m/>
    <n v="54119"/>
    <n v="0"/>
    <n v="31515"/>
    <n v="52065"/>
    <n v="54119"/>
    <n v="52533"/>
    <n v="57679"/>
    <n v="48468"/>
    <n v="23759"/>
    <n v="0"/>
    <n v="0"/>
    <n v="0"/>
    <n v="374257"/>
    <n v="2228.1433037164365"/>
    <n v="0"/>
    <n v="1297.5098619084517"/>
    <n v="2143.5776919011118"/>
    <n v="2228.1433037164365"/>
    <n v="2162.8458059856162"/>
    <n v="2374.7127185472818"/>
    <n v="1995.4849432644405"/>
    <n v="978.18615926012717"/>
    <n v="0"/>
    <n v="0"/>
    <n v="0"/>
    <n v="3525.6531656248881"/>
    <n v="6534.566801603165"/>
    <n v="5348.3838210718495"/>
    <n v="0"/>
    <b v="1"/>
    <n v="11047.024329778391"/>
    <n v="0"/>
    <n v="4361.5794585215135"/>
    <n v="0"/>
    <n v="15408.603788299904"/>
    <n v="54119"/>
    <n v="0"/>
    <n v="31515"/>
    <n v="52065"/>
    <n v="54119"/>
    <n v="52533"/>
    <n v="57679"/>
    <n v="48468"/>
    <n v="23759"/>
    <n v="49873"/>
    <n v="39788"/>
    <n v="25198"/>
    <n v="489116"/>
    <n v="2228.1433037164365"/>
    <n v="0"/>
    <n v="1297.5098619084517"/>
    <n v="2143.5776919011118"/>
    <n v="2228.1433037164365"/>
    <n v="2162.8458059856162"/>
    <n v="2374.7127185472818"/>
    <n v="1995.4849432644405"/>
    <n v="978.18615926012717"/>
    <n v="2053.3304567018949"/>
    <n v="1638.1190666544021"/>
    <n v="1037.431492951584"/>
    <n v="3525.6531656248881"/>
    <n v="6534.566801603165"/>
    <n v="5348.3838210718495"/>
    <n v="4728.8810163078815"/>
    <n v="14437.342126089525"/>
    <n v="0"/>
    <n v="5700.1426785182603"/>
    <n v="0"/>
    <n v="20137.484804607786"/>
  </r>
  <r>
    <s v="AME25-004"/>
    <s v="R152"/>
    <s v="REC"/>
    <d v="2025-10-01T00:00:00"/>
    <d v="2026-09-01T00:00:00"/>
    <x v="0"/>
    <x v="0"/>
    <x v="4"/>
    <n v="2.9517214988038675E-2"/>
    <n v="0"/>
    <n v="1.1653968953209996E-2"/>
    <n v="0"/>
    <n v="4.1171183941248669E-2"/>
    <m/>
    <n v="54119"/>
    <n v="0"/>
    <n v="31515"/>
    <n v="52065"/>
    <n v="54119"/>
    <n v="52533"/>
    <n v="57679"/>
    <n v="48468"/>
    <n v="23759"/>
    <n v="0"/>
    <n v="0"/>
    <n v="0"/>
    <n v="374257"/>
    <n v="2228.1433037164365"/>
    <n v="0"/>
    <n v="1297.5098619084517"/>
    <n v="2143.5776919011118"/>
    <n v="2228.1433037164365"/>
    <n v="2162.8458059856162"/>
    <n v="2374.7127185472818"/>
    <n v="1995.4849432644405"/>
    <n v="978.18615926012717"/>
    <n v="0"/>
    <n v="0"/>
    <n v="0"/>
    <n v="3525.6531656248881"/>
    <n v="6534.566801603165"/>
    <n v="5348.3838210718495"/>
    <n v="0"/>
    <b v="1"/>
    <n v="11047.024329778391"/>
    <n v="0"/>
    <n v="4361.5794585215135"/>
    <n v="0"/>
    <n v="15408.603788299904"/>
    <n v="54119"/>
    <n v="0"/>
    <n v="31515"/>
    <n v="52065"/>
    <n v="54119"/>
    <n v="52533"/>
    <n v="57679"/>
    <n v="48468"/>
    <n v="23759"/>
    <n v="49873"/>
    <n v="39788"/>
    <n v="25198"/>
    <n v="489116"/>
    <n v="2228.1433037164365"/>
    <n v="0"/>
    <n v="1297.5098619084517"/>
    <n v="2143.5776919011118"/>
    <n v="2228.1433037164365"/>
    <n v="2162.8458059856162"/>
    <n v="2374.7127185472818"/>
    <n v="1995.4849432644405"/>
    <n v="978.18615926012717"/>
    <n v="2053.3304567018949"/>
    <n v="1638.1190666544021"/>
    <n v="1037.431492951584"/>
    <n v="3525.6531656248881"/>
    <n v="6534.566801603165"/>
    <n v="5348.3838210718495"/>
    <n v="4728.8810163078815"/>
    <n v="14437.342126089525"/>
    <n v="0"/>
    <n v="5700.1426785182603"/>
    <n v="0"/>
    <n v="20137.484804607786"/>
  </r>
  <r>
    <s v="AME25-005"/>
    <s v="R51"/>
    <s v="REC"/>
    <d v="2025-11-01T00:00:00"/>
    <d v="2026-10-01T00:00:00"/>
    <x v="0"/>
    <x v="0"/>
    <x v="5"/>
    <n v="4.7160607E-2"/>
    <n v="0"/>
    <n v="1.0287864484869987E-2"/>
    <n v="0"/>
    <n v="5.7448471484869985E-2"/>
    <m/>
    <n v="79949"/>
    <n v="96141"/>
    <n v="143473"/>
    <n v="139148"/>
    <n v="99689"/>
    <n v="15923"/>
    <n v="111361"/>
    <n v="69623"/>
    <n v="95604"/>
    <n v="144822"/>
    <n v="0"/>
    <n v="0"/>
    <n v="995733"/>
    <n v="4592.9478467438703"/>
    <n v="5523.1534970268849"/>
    <n v="8242.3045493487516"/>
    <n v="7993.839910176689"/>
    <n v="5726.9806738552043"/>
    <n v="914.75201145358483"/>
    <n v="6397.5192330266063"/>
    <n v="3999.7349301911031"/>
    <n v="5492.3036678395101"/>
    <n v="8319.8025373818418"/>
    <n v="0"/>
    <n v="0"/>
    <n v="18358.405893119507"/>
    <n v="14635.572595485479"/>
    <n v="15889.55783105722"/>
    <n v="8319.8025373818418"/>
    <b v="1"/>
    <n v="46959.372689930999"/>
    <n v="0"/>
    <n v="10243.966167113047"/>
    <n v="0"/>
    <n v="57203.338857044044"/>
    <n v="79949"/>
    <n v="96141"/>
    <n v="143473"/>
    <n v="139148"/>
    <n v="99689"/>
    <n v="15923"/>
    <n v="111361"/>
    <n v="69623"/>
    <n v="95604"/>
    <n v="144822"/>
    <n v="75226"/>
    <n v="74082"/>
    <n v="1145041"/>
    <n v="4592.9478467438703"/>
    <n v="5523.1534970268849"/>
    <n v="8242.3045493487516"/>
    <n v="7993.839910176689"/>
    <n v="5726.9806738552043"/>
    <n v="914.75201145358483"/>
    <n v="6397.5192330266063"/>
    <n v="3999.7349301911031"/>
    <n v="5492.3036678395101"/>
    <n v="8319.8025373818418"/>
    <n v="4321.6187159208293"/>
    <n v="4255.897664542138"/>
    <n v="18358.405893119507"/>
    <n v="14635.572595485479"/>
    <n v="15889.55783105722"/>
    <n v="16897.318917844808"/>
    <n v="54000.828599886998"/>
    <n v="0"/>
    <n v="11780.026637620014"/>
    <n v="0"/>
    <n v="65780.855237507014"/>
  </r>
  <r>
    <s v="AME25-006"/>
    <s v="R85"/>
    <s v="REC"/>
    <d v="2025-11-01T00:00:00"/>
    <d v="2026-10-01T00:00:00"/>
    <x v="0"/>
    <x v="0"/>
    <x v="6"/>
    <n v="2.0521605382352946E-2"/>
    <n v="0"/>
    <n v="1.3578494711489997E-2"/>
    <n v="0"/>
    <n v="3.4100100093842942E-2"/>
    <m/>
    <n v="35861"/>
    <n v="59760"/>
    <n v="66572"/>
    <n v="55071"/>
    <n v="62383"/>
    <n v="57586"/>
    <n v="57985"/>
    <n v="45367"/>
    <n v="52938"/>
    <n v="38405"/>
    <n v="0"/>
    <n v="0"/>
    <n v="531928"/>
    <n v="1222.8636894653018"/>
    <n v="2037.8219816080541"/>
    <n v="2270.1118634473123"/>
    <n v="1877.9266122680247"/>
    <n v="2127.2665441542044"/>
    <n v="1963.6883640040396"/>
    <n v="1977.2943039414829"/>
    <n v="1547.0192409573726"/>
    <n v="1805.1910987678577"/>
    <n v="1309.6143441040381"/>
    <n v="0"/>
    <n v="0"/>
    <n v="5530.7975345206687"/>
    <n v="5968.8815204262683"/>
    <n v="5329.5046436667135"/>
    <n v="1309.6143441040381"/>
    <b v="1"/>
    <n v="10916.016507824237"/>
    <n v="0"/>
    <n v="7222.781534893451"/>
    <n v="0"/>
    <n v="18138.798042717688"/>
    <n v="35861"/>
    <n v="59760"/>
    <n v="66572"/>
    <n v="55071"/>
    <n v="62383"/>
    <n v="57586"/>
    <n v="57985"/>
    <n v="45367"/>
    <n v="52938"/>
    <n v="38405"/>
    <n v="33881"/>
    <n v="37969"/>
    <n v="603778"/>
    <n v="1222.8636894653018"/>
    <n v="2037.8219816080541"/>
    <n v="2270.1118634473123"/>
    <n v="1877.9266122680247"/>
    <n v="2127.2665441542044"/>
    <n v="1963.6883640040396"/>
    <n v="1977.2943039414829"/>
    <n v="1547.0192409573726"/>
    <n v="1805.1910987678577"/>
    <n v="1309.6143441040381"/>
    <n v="1155.3454912794928"/>
    <n v="1294.7467004631226"/>
    <n v="5530.7975345206687"/>
    <n v="5968.8815204262683"/>
    <n v="5329.5046436667135"/>
    <n v="3759.7065358466534"/>
    <n v="12390.493854546297"/>
    <n v="0"/>
    <n v="8198.3963799140074"/>
    <n v="0"/>
    <n v="20588.890234460305"/>
  </r>
  <r>
    <s v="AME25-006"/>
    <s v="R86"/>
    <s v="REC"/>
    <d v="2025-11-01T00:00:00"/>
    <d v="2026-10-01T00:00:00"/>
    <x v="0"/>
    <x v="0"/>
    <x v="6"/>
    <n v="2.0521605382352946E-2"/>
    <n v="0"/>
    <n v="1.3578494711489997E-2"/>
    <n v="0"/>
    <n v="3.4100100093842942E-2"/>
    <m/>
    <n v="35861"/>
    <n v="59760"/>
    <n v="66572"/>
    <n v="55071"/>
    <n v="62383"/>
    <n v="57586"/>
    <n v="57985"/>
    <n v="45367"/>
    <n v="52938"/>
    <n v="38405"/>
    <n v="0"/>
    <n v="0"/>
    <n v="531928"/>
    <n v="1222.8636894653018"/>
    <n v="2037.8219816080541"/>
    <n v="2270.1118634473123"/>
    <n v="1877.9266122680247"/>
    <n v="2127.2665441542044"/>
    <n v="1963.6883640040396"/>
    <n v="1977.2943039414829"/>
    <n v="1547.0192409573726"/>
    <n v="1805.1910987678577"/>
    <n v="1309.6143441040381"/>
    <n v="0"/>
    <n v="0"/>
    <n v="5530.7975345206687"/>
    <n v="5968.8815204262683"/>
    <n v="5329.5046436667135"/>
    <n v="1309.6143441040381"/>
    <b v="1"/>
    <n v="10916.016507824237"/>
    <n v="0"/>
    <n v="7222.781534893451"/>
    <n v="0"/>
    <n v="18138.798042717688"/>
    <n v="35861"/>
    <n v="59760"/>
    <n v="66572"/>
    <n v="55071"/>
    <n v="62383"/>
    <n v="57586"/>
    <n v="57985"/>
    <n v="45367"/>
    <n v="52938"/>
    <n v="38405"/>
    <n v="33881"/>
    <n v="37969"/>
    <n v="603778"/>
    <n v="1222.8636894653018"/>
    <n v="2037.8219816080541"/>
    <n v="2270.1118634473123"/>
    <n v="1877.9266122680247"/>
    <n v="2127.2665441542044"/>
    <n v="1963.6883640040396"/>
    <n v="1977.2943039414829"/>
    <n v="1547.0192409573726"/>
    <n v="1805.1910987678577"/>
    <n v="1309.6143441040381"/>
    <n v="1155.3454912794928"/>
    <n v="1294.7467004631226"/>
    <n v="5530.7975345206687"/>
    <n v="5968.8815204262683"/>
    <n v="5329.5046436667135"/>
    <n v="3759.7065358466534"/>
    <n v="12390.493854546297"/>
    <n v="0"/>
    <n v="8198.3963799140074"/>
    <n v="0"/>
    <n v="20588.890234460305"/>
  </r>
  <r>
    <s v="AME25-007"/>
    <s v="R47"/>
    <s v="REC"/>
    <d v="2026-02-01T00:00:00"/>
    <d v="2027-01-01T00:00:00"/>
    <x v="0"/>
    <x v="0"/>
    <x v="7"/>
    <n v="3.0828064799999992E-2"/>
    <n v="0"/>
    <n v="1.0922303015129996E-2"/>
    <n v="0"/>
    <n v="4.1750367815129988E-2"/>
    <m/>
    <n v="0"/>
    <n v="0"/>
    <n v="15790"/>
    <n v="28994"/>
    <n v="18676"/>
    <n v="33095"/>
    <n v="16926"/>
    <n v="16661"/>
    <n v="20743"/>
    <n v="10195"/>
    <n v="9521"/>
    <n v="6818"/>
    <n v="177419"/>
    <n v="0"/>
    <n v="0"/>
    <n v="659.23830780090248"/>
    <n v="1210.5101644318788"/>
    <n v="779.72986931536764"/>
    <n v="1381.728422841727"/>
    <n v="706.66672563889017"/>
    <n v="695.6028781678807"/>
    <n v="866.02787958924137"/>
    <n v="425.64499987525022"/>
    <n v="397.50525196785259"/>
    <n v="284.65400776355625"/>
    <n v="659.23830780090248"/>
    <n v="3371.9684565889734"/>
    <n v="2268.2974833960125"/>
    <n v="1107.8042596066589"/>
    <b v="1"/>
    <n v="5469.4844287511987"/>
    <n v="0"/>
    <n v="1937.8240786413487"/>
    <n v="0"/>
    <n v="7407.3085073925477"/>
    <n v="60514"/>
    <n v="0"/>
    <n v="15790"/>
    <n v="28994"/>
    <n v="18676"/>
    <n v="33095"/>
    <n v="16926"/>
    <n v="16661"/>
    <n v="20743"/>
    <n v="10195"/>
    <n v="9521"/>
    <n v="6818"/>
    <n v="237933"/>
    <n v="2526.4817579647761"/>
    <n v="0"/>
    <n v="659.23830780090248"/>
    <n v="1210.5101644318788"/>
    <n v="779.72986931536764"/>
    <n v="1381.728422841727"/>
    <n v="706.66672563889017"/>
    <n v="695.6028781678807"/>
    <n v="866.02787958924137"/>
    <n v="425.64499987525022"/>
    <n v="397.50525196785259"/>
    <n v="284.65400776355625"/>
    <n v="3185.7200657656786"/>
    <n v="3371.9684565889734"/>
    <n v="2268.2974833960125"/>
    <n v="1107.8042596066589"/>
    <n v="7335.0139420583982"/>
    <n v="0"/>
    <n v="2598.7763232989255"/>
    <n v="0"/>
    <n v="9933.7902653573237"/>
  </r>
  <r>
    <s v="AME25-007"/>
    <s v="R48"/>
    <s v="REC"/>
    <d v="2026-02-01T00:00:00"/>
    <d v="2027-01-01T00:00:00"/>
    <x v="0"/>
    <x v="0"/>
    <x v="7"/>
    <n v="2.9034926399999994E-2"/>
    <n v="0"/>
    <n v="1.0922303015129996E-2"/>
    <n v="0"/>
    <n v="3.995722941512999E-2"/>
    <m/>
    <n v="0"/>
    <n v="0"/>
    <n v="15790"/>
    <n v="28994"/>
    <n v="18676"/>
    <n v="33095"/>
    <n v="16926"/>
    <n v="16661"/>
    <n v="20743"/>
    <n v="10195"/>
    <n v="9521"/>
    <n v="6818"/>
    <n v="177419"/>
    <n v="0"/>
    <n v="0"/>
    <n v="630.92465246490258"/>
    <n v="1158.5199096622789"/>
    <n v="746.24121655696774"/>
    <n v="1322.3845074937269"/>
    <n v="676.31606508049026"/>
    <n v="665.72739928548071"/>
    <n v="828.83280975804132"/>
    <n v="407.36395388725026"/>
    <n v="380.43278126145265"/>
    <n v="272.42839015235626"/>
    <n v="630.92465246490258"/>
    <n v="3227.1456337129739"/>
    <n v="2170.8762741240125"/>
    <n v="1060.2251253010593"/>
    <b v="1"/>
    <n v="5151.347606961599"/>
    <n v="0"/>
    <n v="1937.8240786413487"/>
    <n v="0"/>
    <n v="7089.1716856029479"/>
    <n v="60514"/>
    <n v="0"/>
    <n v="15790"/>
    <n v="28994"/>
    <n v="18676"/>
    <n v="33095"/>
    <n v="16926"/>
    <n v="16661"/>
    <n v="20743"/>
    <n v="10195"/>
    <n v="9521"/>
    <n v="6818"/>
    <n v="237933"/>
    <n v="2417.9717808271762"/>
    <n v="0"/>
    <n v="630.92465246490258"/>
    <n v="1158.5199096622789"/>
    <n v="746.24121655696774"/>
    <n v="1322.3845074937269"/>
    <n v="676.31606508049026"/>
    <n v="665.72739928548071"/>
    <n v="828.83280975804132"/>
    <n v="407.36395388725026"/>
    <n v="380.43278126145265"/>
    <n v="272.42839015235626"/>
    <n v="3048.8964332920787"/>
    <n v="3227.1456337129739"/>
    <n v="2170.8762741240125"/>
    <n v="1060.2251253010593"/>
    <n v="6908.3671431311986"/>
    <n v="0"/>
    <n v="2598.7763232989255"/>
    <n v="0"/>
    <n v="9507.1434664301232"/>
  </r>
  <r>
    <s v="AME25-008"/>
    <s v="R44"/>
    <s v="REC"/>
    <d v="2025-10-01T00:00:00"/>
    <d v="2026-09-01T00:00:00"/>
    <x v="0"/>
    <x v="0"/>
    <x v="8"/>
    <n v="2.2099334705882358E-2"/>
    <n v="0"/>
    <n v="9.235585654860011E-3"/>
    <n v="0"/>
    <n v="3.1334920360742369E-2"/>
    <m/>
    <n v="539275"/>
    <n v="719052"/>
    <n v="639982"/>
    <n v="555941"/>
    <n v="616481"/>
    <n v="615736"/>
    <n v="25796"/>
    <n v="365380"/>
    <n v="125745"/>
    <n v="0"/>
    <n v="0"/>
    <n v="0"/>
    <n v="4203388"/>
    <n v="16898.139177539342"/>
    <n v="22531.437155232521"/>
    <n v="20053.785002308621"/>
    <n v="17420.366960271473"/>
    <n v="19317.383038910815"/>
    <n v="19294.038523242063"/>
    <n v="808.31560562571019"/>
    <n v="11449.153201408046"/>
    <n v="3940.2095607615493"/>
    <n v="0"/>
    <n v="0"/>
    <n v="0"/>
    <n v="59483.361335080481"/>
    <n v="56031.788522424351"/>
    <n v="16197.678367795306"/>
    <n v="0"/>
    <b v="1"/>
    <n v="92892.078310689438"/>
    <n v="0"/>
    <n v="38820.749914610715"/>
    <n v="0"/>
    <n v="131712.82822530015"/>
    <n v="539275"/>
    <n v="719052"/>
    <n v="639982"/>
    <n v="555941"/>
    <n v="616481"/>
    <n v="615736"/>
    <n v="25796"/>
    <n v="365380"/>
    <n v="125745"/>
    <n v="8645"/>
    <n v="7485"/>
    <n v="41465"/>
    <n v="4260983"/>
    <n v="16898.139177539342"/>
    <n v="22531.437155232521"/>
    <n v="20053.785002308621"/>
    <n v="17420.366960271473"/>
    <n v="19317.383038910815"/>
    <n v="19294.038523242063"/>
    <n v="808.31560562571019"/>
    <n v="11449.153201408046"/>
    <n v="3940.2095607615493"/>
    <n v="270.89038651861779"/>
    <n v="234.54187890015663"/>
    <n v="1299.3024727581824"/>
    <n v="59483.361335080481"/>
    <n v="56031.788522424351"/>
    <n v="16197.678367795306"/>
    <n v="1804.7347381769569"/>
    <n v="94164.889493074719"/>
    <n v="0"/>
    <n v="39352.673470402377"/>
    <n v="0"/>
    <n v="133517.5629634771"/>
  </r>
  <r>
    <s v="AME25-009"/>
    <s v="R150"/>
    <s v="REC"/>
    <d v="2026-02-01T00:00:00"/>
    <d v="2027-01-01T00:00:00"/>
    <x v="0"/>
    <x v="0"/>
    <x v="9"/>
    <n v="3.2736022399999995E-2"/>
    <n v="0"/>
    <n v="1.1653968953209996E-2"/>
    <n v="0"/>
    <n v="4.4389991353209993E-2"/>
    <m/>
    <n v="0"/>
    <n v="10544.1"/>
    <n v="163306"/>
    <n v="56425"/>
    <n v="64357"/>
    <n v="61804"/>
    <n v="67857"/>
    <n v="57021"/>
    <n v="27952"/>
    <n v="27430"/>
    <n v="21883"/>
    <n v="13859"/>
    <n v="572438.1"/>
    <n v="0"/>
    <n v="468.05250782738148"/>
    <n v="7249.1519279273107"/>
    <n v="2504.7052621048738"/>
    <n v="2856.8066735185357"/>
    <n v="2743.4790255937905"/>
    <n v="3012.1716432547705"/>
    <n v="2531.1616969513871"/>
    <n v="1240.7890383049257"/>
    <n v="1217.6174628185502"/>
    <n v="971.38618078229422"/>
    <n v="615.20089016413726"/>
    <n v="7717.204435754692"/>
    <n v="8104.9909612172005"/>
    <n v="6784.1223785110833"/>
    <n v="2804.2045337649815"/>
    <b v="1"/>
    <n v="18739.346464213435"/>
    <n v="0"/>
    <n v="6671.1758450345187"/>
    <n v="0"/>
    <n v="25410.522309247954"/>
    <n v="34275"/>
    <n v="35147"/>
    <n v="163306"/>
    <n v="56425"/>
    <n v="64357"/>
    <n v="61804"/>
    <n v="67857"/>
    <n v="57021"/>
    <n v="27952"/>
    <n v="27430"/>
    <n v="21883"/>
    <n v="13859"/>
    <n v="631316"/>
    <n v="1521.4669536312724"/>
    <n v="1560.1750260912715"/>
    <n v="7249.1519279273107"/>
    <n v="2504.7052621048738"/>
    <n v="2856.8066735185357"/>
    <n v="2743.4790255937905"/>
    <n v="3012.1716432547705"/>
    <n v="2531.1616969513871"/>
    <n v="1240.7890383049257"/>
    <n v="1217.6174628185502"/>
    <n v="971.38618078229422"/>
    <n v="615.20089016413726"/>
    <n v="10330.793907649855"/>
    <n v="8104.9909612172005"/>
    <n v="6784.1223785110833"/>
    <n v="2804.2045337649815"/>
    <n v="20666.774717478398"/>
    <n v="0"/>
    <n v="7357.3370636647214"/>
    <n v="0"/>
    <n v="28024.111781143118"/>
  </r>
  <r>
    <s v="AME25-009"/>
    <s v="R151"/>
    <s v="REC"/>
    <d v="2026-02-01T00:00:00"/>
    <d v="2027-01-01T00:00:00"/>
    <x v="0"/>
    <x v="0"/>
    <x v="9"/>
    <n v="3.2414969599999996E-2"/>
    <n v="0"/>
    <n v="1.1653968953209996E-2"/>
    <n v="0"/>
    <n v="4.4068938553209994E-2"/>
    <m/>
    <n v="0"/>
    <n v="10544.1"/>
    <n v="163306"/>
    <n v="56425"/>
    <n v="64357"/>
    <n v="61804"/>
    <n v="67857"/>
    <n v="57021"/>
    <n v="27952"/>
    <n v="27430"/>
    <n v="21883"/>
    <n v="13859"/>
    <n v="572438.1"/>
    <n v="0"/>
    <n v="464.66729499890153"/>
    <n v="7196.722079370511"/>
    <n v="2486.5898578648739"/>
    <n v="2836.1446784689356"/>
    <n v="2723.6366783425906"/>
    <n v="2990.3859634051705"/>
    <n v="2512.8549452425868"/>
    <n v="1231.8149704393256"/>
    <n v="1208.8109845145502"/>
    <n v="964.36058235989424"/>
    <n v="610.75141940893729"/>
    <n v="7661.3893743694125"/>
    <n v="8046.371214676401"/>
    <n v="6735.0558790870828"/>
    <n v="2783.9229862833818"/>
    <b v="1"/>
    <n v="18555.563609381756"/>
    <n v="0"/>
    <n v="6671.1758450345187"/>
    <n v="0"/>
    <n v="25226.739454416274"/>
    <n v="34275"/>
    <n v="35147"/>
    <n v="163306"/>
    <n v="56425"/>
    <n v="64357"/>
    <n v="61804"/>
    <n v="67857"/>
    <n v="57021"/>
    <n v="27952"/>
    <n v="27430"/>
    <n v="21883"/>
    <n v="13859"/>
    <n v="631316"/>
    <n v="1510.4628689112726"/>
    <n v="1548.8909833296716"/>
    <n v="7196.722079370511"/>
    <n v="2486.5898578648739"/>
    <n v="2836.1446784689356"/>
    <n v="2723.6366783425906"/>
    <n v="2990.3859634051705"/>
    <n v="2512.8549452425868"/>
    <n v="1231.8149704393256"/>
    <n v="1208.8109845145502"/>
    <n v="964.36058235989424"/>
    <n v="610.75141940893729"/>
    <n v="10256.075931611456"/>
    <n v="8046.371214676401"/>
    <n v="6735.0558790870828"/>
    <n v="2783.9229862833818"/>
    <n v="20464.088947993598"/>
    <n v="0"/>
    <n v="7357.3370636647214"/>
    <n v="0"/>
    <n v="27821.426011658317"/>
  </r>
  <r>
    <s v="AME25-010"/>
    <s v="R88"/>
    <s v="REC"/>
    <d v="2026-03-01T00:00:00"/>
    <d v="2027-02-01T00:00:00"/>
    <x v="0"/>
    <x v="0"/>
    <x v="10"/>
    <n v="2.8000663200000012E-2"/>
    <n v="0"/>
    <n v="7.4515560460999986E-3"/>
    <n v="0"/>
    <n v="3.5452219246100009E-2"/>
    <m/>
    <n v="0"/>
    <n v="0"/>
    <n v="24807"/>
    <n v="53161"/>
    <n v="68487"/>
    <n v="60680"/>
    <n v="29757"/>
    <n v="20921"/>
    <n v="18233"/>
    <n v="56073"/>
    <n v="52365"/>
    <n v="37499"/>
    <n v="421983"/>
    <n v="0"/>
    <n v="0"/>
    <n v="879.46320283800287"/>
    <n v="1884.6754273419226"/>
    <n v="2428.0161395076511"/>
    <n v="2151.2406638533485"/>
    <n v="1054.9516881061979"/>
    <n v="741.69587884765826"/>
    <n v="646.40031351414143"/>
    <n v="1987.9122897865657"/>
    <n v="1856.4554608220269"/>
    <n v="1329.4227695095042"/>
    <n v="879.46320283800287"/>
    <n v="6463.9322307029224"/>
    <n v="2443.0478804679979"/>
    <n v="5173.7905201180965"/>
    <b v="1"/>
    <n v="11815.803859125605"/>
    <n v="0"/>
    <n v="3144.4299750014156"/>
    <n v="0"/>
    <n v="14960.233834127021"/>
    <n v="85829"/>
    <n v="93883"/>
    <n v="82690"/>
    <n v="53161"/>
    <n v="68487"/>
    <n v="60680"/>
    <n v="29757"/>
    <n v="20921"/>
    <n v="18233"/>
    <n v="56073"/>
    <n v="52365"/>
    <n v="37499"/>
    <n v="659578"/>
    <n v="3042.8285256735176"/>
    <n v="3328.3606994816073"/>
    <n v="2931.5440094600099"/>
    <n v="1884.6754273419226"/>
    <n v="2428.0161395076511"/>
    <n v="2151.2406638533485"/>
    <n v="1054.9516881061979"/>
    <n v="741.69587884765826"/>
    <n v="646.40031351414143"/>
    <n v="1987.9122897865657"/>
    <n v="1856.4554608220269"/>
    <n v="1329.4227695095042"/>
    <n v="9302.7332346151343"/>
    <n v="6463.9322307029224"/>
    <n v="2443.0478804679979"/>
    <n v="5173.7905201180965"/>
    <n v="18468.621432129607"/>
    <n v="0"/>
    <n v="4914.8824337745446"/>
    <n v="0"/>
    <n v="23383.503865904153"/>
  </r>
  <r>
    <s v="AME25-011"/>
    <s v="R93"/>
    <s v="REC"/>
    <d v="2026-03-01T00:00:00"/>
    <d v="2027-02-01T00:00:00"/>
    <x v="0"/>
    <x v="0"/>
    <x v="11"/>
    <n v="2.8755086400000004E-2"/>
    <n v="0"/>
    <n v="7.7815862524000003E-3"/>
    <n v="0"/>
    <n v="3.6536672652400001E-2"/>
    <m/>
    <n v="0"/>
    <n v="0"/>
    <n v="27010.5"/>
    <n v="74480"/>
    <n v="78343"/>
    <n v="72933"/>
    <n v="74479"/>
    <n v="58273"/>
    <n v="67997"/>
    <n v="85542"/>
    <n v="75465"/>
    <n v="84571"/>
    <n v="699093.5"/>
    <n v="0"/>
    <n v="0"/>
    <n v="986.87379667765026"/>
    <n v="2721.2513791507522"/>
    <n v="2862.3925456069733"/>
    <n v="2664.7291465574895"/>
    <n v="2721.2148424780999"/>
    <n v="2129.1015254733052"/>
    <n v="2484.3841303452427"/>
    <n v="3125.4200520316008"/>
    <n v="2757.2400017133659"/>
    <n v="3089.9429428861204"/>
    <n v="986.87379667765026"/>
    <n v="8248.3730713152145"/>
    <n v="7334.7004982966482"/>
    <n v="8972.6029966310871"/>
    <b v="1"/>
    <n v="20102.493994178403"/>
    <n v="0"/>
    <n v="5440.0563687422"/>
    <n v="0"/>
    <n v="25542.550362920603"/>
    <n v="48500"/>
    <n v="80821"/>
    <n v="90035"/>
    <n v="74480"/>
    <n v="78343"/>
    <n v="72933"/>
    <n v="74479"/>
    <n v="58273"/>
    <n v="67997"/>
    <n v="85542"/>
    <n v="75465"/>
    <n v="84571"/>
    <n v="891439"/>
    <n v="1772.0286236414001"/>
    <n v="2952.9304204396203"/>
    <n v="3289.5793222588341"/>
    <n v="2721.2513791507522"/>
    <n v="2862.3925456069733"/>
    <n v="2664.7291465574895"/>
    <n v="2721.2148424780999"/>
    <n v="2129.1015254733052"/>
    <n v="2484.3841303452427"/>
    <n v="3125.4200520316008"/>
    <n v="2757.2400017133659"/>
    <n v="3089.9429428861204"/>
    <n v="8014.5383663398552"/>
    <n v="8248.3730713152145"/>
    <n v="7334.7004982966482"/>
    <n v="8972.6029966310871"/>
    <n v="25633.405465329604"/>
    <n v="0"/>
    <n v="6936.8094672532043"/>
    <n v="0"/>
    <n v="32570.214932582807"/>
  </r>
  <r>
    <s v="AME25-011"/>
    <s v="R92"/>
    <s v="REC"/>
    <d v="2026-03-01T00:00:00"/>
    <d v="2027-02-01T00:00:00"/>
    <x v="0"/>
    <x v="0"/>
    <x v="11"/>
    <n v="2.8382899200000006E-2"/>
    <n v="0"/>
    <n v="7.7815862524000003E-3"/>
    <n v="0"/>
    <n v="3.6164485452400003E-2"/>
    <m/>
    <n v="0"/>
    <n v="0"/>
    <n v="27010.5"/>
    <n v="74480"/>
    <n v="78343"/>
    <n v="72933"/>
    <n v="74479"/>
    <n v="58273"/>
    <n v="67997"/>
    <n v="85542"/>
    <n v="75465"/>
    <n v="84571"/>
    <n v="699093.5"/>
    <n v="0"/>
    <n v="0"/>
    <n v="976.82083431205024"/>
    <n v="2693.5308764947522"/>
    <n v="2833.2342837973733"/>
    <n v="2637.5844174998892"/>
    <n v="2693.4947120092997"/>
    <n v="2107.4130607677052"/>
    <n v="2459.076517306843"/>
    <n v="3093.5824145692009"/>
    <n v="2729.1528946653661"/>
    <n v="3058.4666991949207"/>
    <n v="976.82083431205024"/>
    <n v="8164.3495777920143"/>
    <n v="7259.9842900838485"/>
    <n v="8881.2020084294891"/>
    <b v="1"/>
    <n v="19842.300341875205"/>
    <n v="0"/>
    <n v="5440.0563687422"/>
    <n v="0"/>
    <n v="25282.356710617405"/>
    <n v="48500"/>
    <n v="80821"/>
    <n v="90035"/>
    <n v="74480"/>
    <n v="78343"/>
    <n v="72933"/>
    <n v="74479"/>
    <n v="58273"/>
    <n v="67997"/>
    <n v="85542"/>
    <n v="75465"/>
    <n v="84571"/>
    <n v="891439"/>
    <n v="1753.9775444414001"/>
    <n v="2922.8498787484205"/>
    <n v="3256.0694477068341"/>
    <n v="2693.5308764947522"/>
    <n v="2833.2342837973733"/>
    <n v="2637.5844174998892"/>
    <n v="2693.4947120092997"/>
    <n v="2107.4130607677052"/>
    <n v="2459.076517306843"/>
    <n v="3093.5824145692009"/>
    <n v="2729.1528946653661"/>
    <n v="3058.4666991949207"/>
    <n v="7932.8968708966549"/>
    <n v="8164.3495777920143"/>
    <n v="7259.9842900838485"/>
    <n v="8881.2020084294891"/>
    <n v="25301.623279948806"/>
    <n v="0"/>
    <n v="6936.8094672532043"/>
    <n v="0"/>
    <n v="32238.432747202009"/>
  </r>
  <r>
    <s v="AME25-014"/>
    <s v="R191"/>
    <s v="REC"/>
    <d v="2026-02-01T00:00:00"/>
    <d v="2027-01-01T00:00:00"/>
    <x v="0"/>
    <x v="0"/>
    <x v="12"/>
    <n v="2.0521605382352946E-2"/>
    <n v="0"/>
    <n v="1.3578494711489997E-2"/>
    <n v="0"/>
    <n v="3.4100100093842942E-2"/>
    <m/>
    <n v="0"/>
    <n v="0"/>
    <n v="0"/>
    <n v="0"/>
    <n v="0"/>
    <n v="0"/>
    <n v="0"/>
    <n v="0"/>
    <n v="0"/>
    <n v="0"/>
    <n v="0"/>
    <n v="0"/>
    <n v="0"/>
    <n v="0"/>
    <n v="0"/>
    <n v="0"/>
    <n v="0"/>
    <n v="0"/>
    <n v="0"/>
    <n v="0"/>
    <n v="0"/>
    <n v="0"/>
    <n v="0"/>
    <n v="0"/>
    <n v="0"/>
    <n v="0"/>
    <n v="0"/>
    <n v="0"/>
    <n v="0"/>
    <b v="1"/>
    <n v="0"/>
    <n v="0"/>
    <n v="0"/>
    <n v="0"/>
    <n v="0"/>
    <n v="0"/>
    <n v="0"/>
    <n v="0"/>
    <n v="0"/>
    <n v="0"/>
    <n v="0"/>
    <n v="0"/>
    <n v="0"/>
    <n v="0"/>
    <n v="0"/>
    <n v="0"/>
    <n v="0"/>
    <n v="0"/>
    <n v="0"/>
    <n v="0"/>
    <n v="0"/>
    <n v="0"/>
    <n v="0"/>
    <n v="0"/>
    <n v="0"/>
    <n v="0"/>
    <n v="0"/>
    <n v="0"/>
    <n v="0"/>
    <n v="0"/>
    <n v="0"/>
    <n v="0"/>
    <n v="0"/>
    <n v="0"/>
    <n v="0"/>
    <n v="0"/>
    <n v="0"/>
    <n v="0"/>
    <n v="0"/>
  </r>
  <r>
    <s v="AME25-015"/>
    <s v="R91"/>
    <s v="REC"/>
    <d v="2026-04-01T00:00:00"/>
    <d v="2027-03-01T00:00:00"/>
    <x v="0"/>
    <x v="0"/>
    <x v="13"/>
    <n v="3.0763235200000003E-2"/>
    <n v="0"/>
    <n v="1.3578494711489997E-2"/>
    <n v="0"/>
    <n v="4.4341729911489998E-2"/>
    <m/>
    <n v="0"/>
    <n v="0"/>
    <n v="0"/>
    <n v="5118.3"/>
    <n v="21612"/>
    <n v="114329"/>
    <n v="18806"/>
    <n v="14714"/>
    <n v="17169"/>
    <n v="16867"/>
    <n v="14880"/>
    <n v="16676"/>
    <n v="240171.3"/>
    <n v="0"/>
    <n v="0"/>
    <n v="0"/>
    <n v="226.95427620597926"/>
    <n v="958.31346684712184"/>
    <n v="5069.5456390507397"/>
    <n v="833.89057271548086"/>
    <n v="652.44421391766377"/>
    <n v="761.3031608503718"/>
    <n v="747.9119584171018"/>
    <n v="659.80494108297114"/>
    <n v="739.44268800400721"/>
    <n v="0"/>
    <n v="6254.8133821038409"/>
    <n v="2247.6379474835167"/>
    <n v="2147.1595875040803"/>
    <b v="1"/>
    <n v="7388.4461901897603"/>
    <n v="0"/>
    <n v="3261.1647269016776"/>
    <n v="0"/>
    <n v="10649.610917091439"/>
    <n v="6761"/>
    <n v="20544"/>
    <n v="36147"/>
    <n v="17061"/>
    <n v="21612"/>
    <n v="114329"/>
    <n v="18806"/>
    <n v="14714"/>
    <n v="17169"/>
    <n v="16867"/>
    <n v="14880"/>
    <n v="16676"/>
    <n v="315566"/>
    <n v="299.79443593158385"/>
    <n v="910.95649930165052"/>
    <n v="1602.820511110629"/>
    <n v="756.51425401993083"/>
    <n v="958.31346684712184"/>
    <n v="5069.5456390507397"/>
    <n v="833.89057271548086"/>
    <n v="652.44421391766377"/>
    <n v="761.3031608503718"/>
    <n v="747.9119584171018"/>
    <n v="659.80494108297114"/>
    <n v="739.44268800400721"/>
    <n v="2813.5714463438635"/>
    <n v="6784.3733599177922"/>
    <n v="2247.6379474835167"/>
    <n v="2147.1595875040803"/>
    <n v="9707.8310791232016"/>
    <n v="0"/>
    <n v="4284.9112621260529"/>
    <n v="0"/>
    <n v="13992.742341249254"/>
  </r>
  <r>
    <s v="AME25-016"/>
    <s v="R192"/>
    <s v="REC"/>
    <d v="2026-04-01T00:00:00"/>
    <d v="2027-03-01T00:00:00"/>
    <x v="0"/>
    <x v="0"/>
    <x v="14"/>
    <n v="2.3775248800000006E-2"/>
    <n v="0"/>
    <n v="1.352555413341E-2"/>
    <n v="0"/>
    <n v="3.730080293341001E-2"/>
    <m/>
    <n v="0"/>
    <n v="0"/>
    <n v="0"/>
    <n v="0"/>
    <n v="0"/>
    <n v="0"/>
    <n v="0"/>
    <n v="0"/>
    <n v="0"/>
    <n v="0"/>
    <n v="0"/>
    <n v="0"/>
    <n v="0"/>
    <n v="0"/>
    <n v="0"/>
    <n v="0"/>
    <n v="0"/>
    <n v="0"/>
    <n v="0"/>
    <n v="0"/>
    <n v="0"/>
    <n v="0"/>
    <n v="0"/>
    <n v="0"/>
    <n v="0"/>
    <n v="0"/>
    <n v="0"/>
    <n v="0"/>
    <n v="0"/>
    <b v="1"/>
    <n v="0"/>
    <n v="0"/>
    <n v="0"/>
    <n v="0"/>
    <n v="0"/>
    <n v="0"/>
    <n v="0"/>
    <n v="0"/>
    <n v="0"/>
    <n v="0"/>
    <n v="0"/>
    <n v="0"/>
    <n v="0"/>
    <n v="0"/>
    <n v="0"/>
    <n v="0"/>
    <n v="0"/>
    <n v="0"/>
    <n v="0"/>
    <n v="0"/>
    <n v="0"/>
    <n v="0"/>
    <n v="0"/>
    <n v="0"/>
    <n v="0"/>
    <n v="0"/>
    <n v="0"/>
    <n v="0"/>
    <n v="0"/>
    <n v="0"/>
    <n v="0"/>
    <n v="0"/>
    <n v="0"/>
    <n v="0"/>
    <n v="0"/>
    <n v="0"/>
    <n v="0"/>
    <n v="0"/>
    <n v="0"/>
  </r>
  <r>
    <s v="AME25-016"/>
    <s v="R193"/>
    <s v="REC"/>
    <d v="2026-04-01T00:00:00"/>
    <d v="2027-03-01T00:00:00"/>
    <x v="0"/>
    <x v="0"/>
    <x v="14"/>
    <n v="1.5889315200000004E-2"/>
    <n v="0"/>
    <n v="1.1261750535800001E-2"/>
    <n v="0"/>
    <n v="2.7151065735800006E-2"/>
    <m/>
    <n v="0"/>
    <n v="0"/>
    <n v="0"/>
    <n v="0"/>
    <n v="0"/>
    <n v="0"/>
    <n v="0"/>
    <n v="0"/>
    <n v="0"/>
    <n v="0"/>
    <n v="0"/>
    <n v="0"/>
    <n v="0"/>
    <n v="0"/>
    <n v="0"/>
    <n v="0"/>
    <n v="0"/>
    <n v="0"/>
    <n v="0"/>
    <n v="0"/>
    <n v="0"/>
    <n v="0"/>
    <n v="0"/>
    <n v="0"/>
    <n v="0"/>
    <n v="0"/>
    <n v="0"/>
    <n v="0"/>
    <n v="0"/>
    <b v="1"/>
    <n v="0"/>
    <n v="0"/>
    <n v="0"/>
    <n v="0"/>
    <n v="0"/>
    <n v="0"/>
    <n v="0"/>
    <n v="0"/>
    <n v="0"/>
    <n v="0"/>
    <n v="0"/>
    <n v="0"/>
    <n v="0"/>
    <n v="0"/>
    <n v="0"/>
    <n v="0"/>
    <n v="0"/>
    <n v="0"/>
    <n v="0"/>
    <n v="0"/>
    <n v="0"/>
    <n v="0"/>
    <n v="0"/>
    <n v="0"/>
    <n v="0"/>
    <n v="0"/>
    <n v="0"/>
    <n v="0"/>
    <n v="0"/>
    <n v="0"/>
    <n v="0"/>
    <n v="0"/>
    <n v="0"/>
    <n v="0"/>
    <n v="0"/>
    <n v="0"/>
    <n v="0"/>
    <n v="0"/>
    <n v="0"/>
  </r>
  <r>
    <s v="AME25-017"/>
    <s v="R49"/>
    <s v="REC"/>
    <d v="2026-02-01T00:00:00"/>
    <d v="2027-01-01T00:00:00"/>
    <x v="0"/>
    <x v="0"/>
    <x v="15"/>
    <n v="1.5528830400000004E-2"/>
    <n v="0"/>
    <n v="1.1261750535800001E-2"/>
    <n v="0"/>
    <n v="2.6790580935800005E-2"/>
    <m/>
    <n v="0"/>
    <n v="4807.5"/>
    <n v="11842"/>
    <n v="10873"/>
    <n v="14007"/>
    <n v="12411"/>
    <n v="11848"/>
    <n v="8331"/>
    <n v="7260"/>
    <n v="7137"/>
    <n v="6665"/>
    <n v="4773"/>
    <n v="99954.5"/>
    <n v="0"/>
    <n v="128.79571784885852"/>
    <n v="317.25405944174366"/>
    <n v="291.29398651495347"/>
    <n v="375.25566716775069"/>
    <n v="332.49789999421387"/>
    <n v="317.41480292735844"/>
    <n v="223.19232977614985"/>
    <n v="194.49961759390803"/>
    <n v="191.20437613880463"/>
    <n v="178.55922193710703"/>
    <n v="127.87144280657343"/>
    <n v="446.04977729060215"/>
    <n v="999.04755367691803"/>
    <n v="735.1067502974164"/>
    <n v="497.6350408824851"/>
    <b v="1"/>
    <n v="1552.1764782168004"/>
    <n v="0"/>
    <n v="1125.6626439306212"/>
    <n v="0"/>
    <n v="2677.8391221474217"/>
    <n v="15129"/>
    <n v="16025"/>
    <n v="11842"/>
    <n v="10873"/>
    <n v="14007"/>
    <n v="12411"/>
    <n v="11848"/>
    <n v="8331"/>
    <n v="7260"/>
    <n v="7137"/>
    <n v="6665"/>
    <n v="4773"/>
    <n v="126301"/>
    <n v="405.31469897771825"/>
    <n v="429.31905949619505"/>
    <n v="317.25405944174366"/>
    <n v="291.29398651495347"/>
    <n v="375.25566716775069"/>
    <n v="332.49789999421387"/>
    <n v="317.41480292735844"/>
    <n v="223.19232977614985"/>
    <n v="194.49961759390803"/>
    <n v="191.20437613880463"/>
    <n v="178.55922193710703"/>
    <n v="127.87144280657343"/>
    <n v="1151.887817915657"/>
    <n v="999.04755367691803"/>
    <n v="735.1067502974164"/>
    <n v="497.6350408824851"/>
    <n v="1961.3068083504006"/>
    <n v="0"/>
    <n v="1422.3703544220759"/>
    <n v="0"/>
    <n v="3383.6771627724765"/>
  </r>
  <r>
    <s v="AME25-017"/>
    <s v="R50"/>
    <s v="REC"/>
    <d v="2026-02-01T00:00:00"/>
    <d v="2027-01-01T00:00:00"/>
    <x v="0"/>
    <x v="0"/>
    <x v="15"/>
    <n v="3.1014540000000011E-2"/>
    <n v="0"/>
    <n v="1.0535344719260001E-2"/>
    <n v="0"/>
    <n v="4.1549884719260008E-2"/>
    <m/>
    <n v="0"/>
    <n v="4807.5"/>
    <n v="11842"/>
    <n v="10873"/>
    <n v="14007"/>
    <n v="12411"/>
    <n v="11848"/>
    <n v="8331"/>
    <n v="7260"/>
    <n v="7137"/>
    <n v="6665"/>
    <n v="4773"/>
    <n v="99954.5"/>
    <n v="0"/>
    <n v="199.75107078784248"/>
    <n v="492.033734845477"/>
    <n v="451.77189655251408"/>
    <n v="581.98923526267492"/>
    <n v="515.67561925073596"/>
    <n v="492.28303415379258"/>
    <n v="346.15208959615512"/>
    <n v="301.65216306182765"/>
    <n v="296.54152724135866"/>
    <n v="276.92998165386797"/>
    <n v="198.31759976502801"/>
    <n v="691.78480563331948"/>
    <n v="1549.4367510659249"/>
    <n v="1140.0872868117754"/>
    <n v="771.78910866025467"/>
    <b v="1"/>
    <n v="3100.0428384300012"/>
    <n v="0"/>
    <n v="1053.0551137412738"/>
    <n v="0"/>
    <n v="4153.0979521712752"/>
    <n v="15129"/>
    <n v="16025"/>
    <n v="11842"/>
    <n v="10873"/>
    <n v="14007"/>
    <n v="12411"/>
    <n v="11848"/>
    <n v="8331"/>
    <n v="7260"/>
    <n v="7137"/>
    <n v="6665"/>
    <n v="4773"/>
    <n v="126301"/>
    <n v="628.6082059176847"/>
    <n v="665.83690262614164"/>
    <n v="492.033734845477"/>
    <n v="451.77189655251408"/>
    <n v="581.98923526267492"/>
    <n v="515.67561925073596"/>
    <n v="492.28303415379258"/>
    <n v="346.15208959615512"/>
    <n v="301.65216306182765"/>
    <n v="296.54152724135866"/>
    <n v="276.92998165386797"/>
    <n v="198.31759976502801"/>
    <n v="1786.4788433893034"/>
    <n v="1549.4367510659249"/>
    <n v="1140.0872868117754"/>
    <n v="771.78910866025467"/>
    <n v="3917.1674165400013"/>
    <n v="0"/>
    <n v="1330.6245733872574"/>
    <n v="0"/>
    <n v="5247.7919899272583"/>
  </r>
  <r>
    <s v="AME25-021"/>
    <s v="R81"/>
    <s v="REC"/>
    <d v="2026-04-01T00:00:00"/>
    <d v="2027-03-01T00:00:00"/>
    <x v="0"/>
    <x v="0"/>
    <x v="16"/>
    <n v="3.1014540000000011E-2"/>
    <n v="0"/>
    <n v="1.0535344719260001E-2"/>
    <n v="0"/>
    <n v="4.1549884719260008E-2"/>
    <m/>
    <n v="0"/>
    <n v="0"/>
    <n v="0"/>
    <n v="81400.5"/>
    <n v="161181"/>
    <n v="0"/>
    <n v="309606"/>
    <n v="241230"/>
    <n v="234130"/>
    <n v="208152"/>
    <n v="230519"/>
    <n v="178094"/>
    <n v="1644312.5"/>
    <n v="0"/>
    <n v="0"/>
    <n v="0"/>
    <n v="3382.1813910901242"/>
    <n v="6697.0519689350476"/>
    <n v="0"/>
    <n v="12864.093608391215"/>
    <n v="10023.078690827091"/>
    <n v="9728.0745093203459"/>
    <n v="8648.6916040834094"/>
    <n v="9578.0378755990969"/>
    <n v="7399.7851691918922"/>
    <n v="0"/>
    <n v="10079.233360025171"/>
    <n v="32615.24680853865"/>
    <n v="25626.514648874399"/>
    <b v="1"/>
    <n v="50997.595803750017"/>
    <n v="0"/>
    <n v="17323.399013688209"/>
    <n v="0"/>
    <n v="68320.99481743823"/>
    <n v="324387"/>
    <n v="290516"/>
    <n v="0"/>
    <n v="271335"/>
    <n v="161181"/>
    <n v="0"/>
    <n v="309606"/>
    <n v="241230"/>
    <n v="234130"/>
    <n v="208152"/>
    <n v="230519"/>
    <n v="178094"/>
    <n v="2449150"/>
    <n v="13478.242454426596"/>
    <n v="12070.906309100541"/>
    <n v="0"/>
    <n v="11273.937970300414"/>
    <n v="6697.0519689350476"/>
    <n v="0"/>
    <n v="12864.093608391215"/>
    <n v="10023.078690827091"/>
    <n v="9728.0745093203459"/>
    <n v="8648.6916040834094"/>
    <n v="9578.0378755990969"/>
    <n v="7399.7851691918922"/>
    <n v="25549.148763527137"/>
    <n v="17970.989939235464"/>
    <n v="32615.24680853865"/>
    <n v="25626.514648874399"/>
    <n v="75959.26064100003"/>
    <n v="0"/>
    <n v="25802.639519175631"/>
    <n v="0"/>
    <n v="101761.90016017566"/>
  </r>
  <r>
    <s v="AME25-031"/>
    <s v="R74"/>
    <s v="REC"/>
    <d v="2026-04-01T00:00:00"/>
    <d v="2027-03-01T00:00:00"/>
    <x v="2"/>
    <x v="2"/>
    <x v="17"/>
    <n v="1.2005687200000007E-2"/>
    <n v="0"/>
    <n v="1.2579665503579994E-2"/>
    <n v="0"/>
    <n v="2.4585352703580001E-2"/>
    <m/>
    <n v="0"/>
    <n v="0"/>
    <n v="0"/>
    <n v="23181"/>
    <n v="98313"/>
    <n v="87106"/>
    <n v="75559"/>
    <n v="53125"/>
    <n v="41113"/>
    <n v="50976"/>
    <n v="47605"/>
    <n v="34090"/>
    <n v="511068"/>
    <n v="0"/>
    <n v="0"/>
    <n v="0"/>
    <n v="569.91306102168801"/>
    <n v="2417.0597803470605"/>
    <n v="2141.5317325980395"/>
    <n v="1857.6446649298014"/>
    <n v="1306.0968623776876"/>
    <n v="1010.7776057022846"/>
    <n v="1253.262939417694"/>
    <n v="1170.385715453926"/>
    <n v="838.11467366504223"/>
    <n v="0"/>
    <n v="5128.5045739667876"/>
    <n v="4174.5191330097732"/>
    <n v="3261.7633285366624"/>
    <b v="1"/>
    <n v="6135.7225459296033"/>
    <n v="0"/>
    <n v="6429.0644895836203"/>
    <n v="0"/>
    <n v="12564.787035513224"/>
    <n v="113162"/>
    <n v="116018"/>
    <n v="84158"/>
    <n v="77270"/>
    <n v="98313"/>
    <n v="87106"/>
    <n v="75559"/>
    <n v="53125"/>
    <n v="41113"/>
    <n v="50976"/>
    <n v="47605"/>
    <n v="34090"/>
    <n v="878495"/>
    <n v="2782.1276826425201"/>
    <n v="2852.3434499639447"/>
    <n v="2069.0541128278855"/>
    <n v="1899.7102034056268"/>
    <n v="2417.0597803470605"/>
    <n v="2141.5317325980395"/>
    <n v="1857.6446649298014"/>
    <n v="1306.0968623776876"/>
    <n v="1010.7776057022846"/>
    <n v="1253.262939417694"/>
    <n v="1170.385715453926"/>
    <n v="838.11467366504223"/>
    <n v="7703.5252454343499"/>
    <n v="6458.3017163507266"/>
    <n v="4174.5191330097732"/>
    <n v="3261.7633285366624"/>
    <n v="10546.936176764006"/>
    <n v="0"/>
    <n v="11051.173246567507"/>
    <n v="0"/>
    <n v="21598.109423331513"/>
  </r>
  <r>
    <s v="AME25-031"/>
    <s v="R75"/>
    <s v="REC"/>
    <d v="2026-04-01T00:00:00"/>
    <d v="2027-03-01T00:00:00"/>
    <x v="2"/>
    <x v="2"/>
    <x v="17"/>
    <n v="5.912256000000002E-3"/>
    <n v="0"/>
    <n v="-5.8302508424000661E-4"/>
    <n v="0"/>
    <n v="5.3292309157599955E-3"/>
    <m/>
    <n v="0"/>
    <n v="0"/>
    <n v="0"/>
    <n v="23181"/>
    <n v="98313"/>
    <n v="87106"/>
    <n v="75559"/>
    <n v="53125"/>
    <n v="41113"/>
    <n v="50976"/>
    <n v="47605"/>
    <n v="34090"/>
    <n v="511068"/>
    <n v="0"/>
    <n v="0"/>
    <n v="0"/>
    <n v="123.53690185823245"/>
    <n v="523.93267902111245"/>
    <n v="464.20798814819017"/>
    <n v="402.6713587639095"/>
    <n v="283.11539239974974"/>
    <n v="219.1006706396407"/>
    <n v="271.66287516178153"/>
    <n v="253.6980377447546"/>
    <n v="181.67348191825826"/>
    <n v="0"/>
    <n v="1111.6775690275351"/>
    <n v="904.88742180329996"/>
    <n v="707.03439482479439"/>
    <b v="1"/>
    <n v="3021.564849408001"/>
    <n v="0"/>
    <n v="-297.9654637523717"/>
    <n v="0"/>
    <n v="2723.5993856556292"/>
    <n v="113162"/>
    <n v="116018"/>
    <n v="84158"/>
    <n v="77270"/>
    <n v="98313"/>
    <n v="87106"/>
    <n v="75559"/>
    <n v="53125"/>
    <n v="41113"/>
    <n v="50976"/>
    <n v="47605"/>
    <n v="34090"/>
    <n v="878495"/>
    <n v="603.06642888923261"/>
    <n v="618.28671238464312"/>
    <n v="448.49741540852972"/>
    <n v="411.78967286077483"/>
    <n v="523.93267902111245"/>
    <n v="464.20798814819017"/>
    <n v="402.6713587639095"/>
    <n v="283.11539239974974"/>
    <n v="219.1006706396407"/>
    <n v="271.66287516178153"/>
    <n v="253.6980377447546"/>
    <n v="181.67348191825826"/>
    <n v="1669.8505566824056"/>
    <n v="1399.9303400300776"/>
    <n v="904.88742180329996"/>
    <n v="707.03439482479439"/>
    <n v="5193.8873347200015"/>
    <n v="0"/>
    <n v="-512.18462137942458"/>
    <n v="0"/>
    <n v="4681.7027133405772"/>
  </r>
  <r>
    <s v="AME25-033"/>
    <s v="R149"/>
    <s v="REC"/>
    <d v="2026-02-01T00:00:00"/>
    <d v="2027-01-01T00:00:00"/>
    <x v="2"/>
    <x v="2"/>
    <x v="18"/>
    <n v="5.912256000000002E-3"/>
    <n v="0"/>
    <n v="-5.8302508424000661E-4"/>
    <n v="0"/>
    <n v="5.3292309157599955E-3"/>
    <m/>
    <n v="0"/>
    <n v="216000"/>
    <n v="810000"/>
    <n v="690000"/>
    <n v="780000"/>
    <n v="780000"/>
    <n v="570000"/>
    <n v="390000"/>
    <n v="450000"/>
    <n v="367500"/>
    <n v="393750"/>
    <n v="367830"/>
    <n v="5815080"/>
    <n v="0"/>
    <n v="1151.1138778041591"/>
    <n v="4316.6770417655962"/>
    <n v="3677.1693318743969"/>
    <n v="4156.8001142927969"/>
    <n v="4156.8001142927969"/>
    <n v="3037.6616219831976"/>
    <n v="2078.4000571463985"/>
    <n v="2398.1539120919979"/>
    <n v="1958.4923615417983"/>
    <n v="2098.384673080498"/>
    <n v="1960.2510077439993"/>
    <n v="5467.7909195697557"/>
    <n v="11990.76956045999"/>
    <n v="7514.215591221594"/>
    <n v="6017.1280423662956"/>
    <b v="1"/>
    <n v="34380.24162048001"/>
    <n v="0"/>
    <n v="-3390.3375068623777"/>
    <n v="0"/>
    <n v="30989.904113617631"/>
    <n v="690000"/>
    <n v="720000"/>
    <n v="810000"/>
    <n v="690000"/>
    <n v="780000"/>
    <n v="780000"/>
    <n v="570000"/>
    <n v="390000"/>
    <n v="450000"/>
    <n v="367500"/>
    <n v="393750"/>
    <n v="367830"/>
    <n v="7009080"/>
    <n v="3677.1693318743969"/>
    <n v="3837.0462593471966"/>
    <n v="4316.6770417655962"/>
    <n v="3677.1693318743969"/>
    <n v="4156.8001142927969"/>
    <n v="4156.8001142927969"/>
    <n v="3037.6616219831976"/>
    <n v="2078.4000571463985"/>
    <n v="2398.1539120919979"/>
    <n v="1958.4923615417983"/>
    <n v="2098.384673080498"/>
    <n v="1960.2510077439993"/>
    <n v="11830.89263298719"/>
    <n v="11990.76956045999"/>
    <n v="7514.215591221594"/>
    <n v="6017.1280423662956"/>
    <n v="41439.475284480017"/>
    <n v="0"/>
    <n v="-4086.4694574449454"/>
    <n v="0"/>
    <n v="37353.005827035071"/>
  </r>
  <r>
    <s v="AME25-033"/>
    <s v="R148"/>
    <s v="REC"/>
    <d v="2026-02-01T00:00:00"/>
    <d v="2027-01-01T00:00:00"/>
    <x v="2"/>
    <x v="2"/>
    <x v="18"/>
    <n v="1.3526448E-2"/>
    <n v="0"/>
    <n v="0"/>
    <n v="0"/>
    <n v="1.3526448E-2"/>
    <m/>
    <n v="0"/>
    <n v="216000"/>
    <n v="810000"/>
    <n v="690000"/>
    <n v="780000"/>
    <n v="780000"/>
    <n v="570000"/>
    <n v="390000"/>
    <n v="450000"/>
    <n v="367500"/>
    <n v="393750"/>
    <n v="367830"/>
    <n v="5815080"/>
    <n v="0"/>
    <n v="2921.7127679999999"/>
    <n v="10956.42288"/>
    <n v="9333.2491200000004"/>
    <n v="10550.629440000001"/>
    <n v="10550.629440000001"/>
    <n v="7710.0753599999998"/>
    <n v="5275.3147200000003"/>
    <n v="6086.9016000000001"/>
    <n v="4970.9696400000003"/>
    <n v="5326.0388999999996"/>
    <n v="4975.4333678399998"/>
    <n v="13878.135647999999"/>
    <n v="30434.508000000002"/>
    <n v="19072.291680000002"/>
    <n v="15272.441907839999"/>
    <b v="1"/>
    <n v="78657.377235840002"/>
    <n v="0"/>
    <n v="0"/>
    <n v="0"/>
    <n v="78657.377235840002"/>
    <n v="690000"/>
    <n v="720000"/>
    <n v="810000"/>
    <n v="690000"/>
    <n v="780000"/>
    <n v="780000"/>
    <n v="570000"/>
    <n v="390000"/>
    <n v="450000"/>
    <n v="367500"/>
    <n v="393750"/>
    <n v="367830"/>
    <n v="7009080"/>
    <n v="9333.2491200000004"/>
    <n v="9739.0425599999999"/>
    <n v="10956.42288"/>
    <n v="9333.2491200000004"/>
    <n v="10550.629440000001"/>
    <n v="10550.629440000001"/>
    <n v="7710.0753599999998"/>
    <n v="5275.3147200000003"/>
    <n v="6086.9016000000001"/>
    <n v="4970.9696400000003"/>
    <n v="5326.0388999999996"/>
    <n v="4975.4333678399998"/>
    <n v="30028.71456"/>
    <n v="30434.508000000002"/>
    <n v="19072.291680000002"/>
    <n v="15272.441907839999"/>
    <n v="94807.956147839999"/>
    <n v="0"/>
    <n v="0"/>
    <n v="0"/>
    <n v="94807.956147839999"/>
  </r>
  <r>
    <s v="AME25-034"/>
    <s v="R154"/>
    <s v="REC"/>
    <d v="2026-04-01T00:00:00"/>
    <d v="2027-03-01T00:00:00"/>
    <x v="2"/>
    <x v="2"/>
    <x v="19"/>
    <n v="1.3526448E-2"/>
    <n v="0"/>
    <n v="0"/>
    <n v="0"/>
    <n v="1.3526448E-2"/>
    <m/>
    <n v="0"/>
    <n v="0"/>
    <n v="0"/>
    <n v="4053.2999999999997"/>
    <n v="15782"/>
    <n v="15865"/>
    <n v="17172"/>
    <n v="6294"/>
    <n v="7343"/>
    <n v="1247"/>
    <n v="850"/>
    <n v="744"/>
    <n v="69350.3"/>
    <n v="0"/>
    <n v="0"/>
    <n v="0"/>
    <n v="54.826751678399994"/>
    <n v="213.474402336"/>
    <n v="214.59709752000001"/>
    <n v="232.276165056"/>
    <n v="85.135463712000004"/>
    <n v="99.324707664000002"/>
    <n v="16.867480656000001"/>
    <n v="11.4974808"/>
    <n v="10.063677311999999"/>
    <n v="0"/>
    <n v="482.89825153439995"/>
    <n v="416.73633643200003"/>
    <n v="38.428638767999999"/>
    <b v="1"/>
    <n v="938.06322673440002"/>
    <n v="0"/>
    <n v="0"/>
    <n v="0"/>
    <n v="938.06322673440002"/>
    <n v="6505"/>
    <n v="14165"/>
    <n v="15094"/>
    <n v="13511"/>
    <n v="15782"/>
    <n v="15865"/>
    <n v="17172"/>
    <n v="6294"/>
    <n v="7343"/>
    <n v="1247"/>
    <n v="850"/>
    <n v="744"/>
    <n v="114572"/>
    <n v="87.989544240000001"/>
    <n v="191.60213591999999"/>
    <n v="204.16820611200001"/>
    <n v="182.755838928"/>
    <n v="213.474402336"/>
    <n v="214.59709752000001"/>
    <n v="232.276165056"/>
    <n v="85.135463712000004"/>
    <n v="99.324707664000002"/>
    <n v="16.867480656000001"/>
    <n v="11.4974808"/>
    <n v="10.063677311999999"/>
    <n v="483.75988627200002"/>
    <n v="610.82733878400006"/>
    <n v="416.73633643200003"/>
    <n v="38.428638767999999"/>
    <n v="1549.7522002559999"/>
    <n v="0"/>
    <n v="0"/>
    <n v="0"/>
    <n v="1549.7522002559999"/>
  </r>
  <r>
    <s v="AME25-034"/>
    <s v="R155"/>
    <s v="REC"/>
    <d v="2026-04-01T00:00:00"/>
    <d v="2027-03-01T00:00:00"/>
    <x v="2"/>
    <x v="2"/>
    <x v="19"/>
    <n v="1.3110928000000004E-2"/>
    <n v="0"/>
    <n v="0.02"/>
    <n v="0"/>
    <n v="3.3110928000000005E-2"/>
    <m/>
    <n v="0"/>
    <n v="0"/>
    <n v="0"/>
    <n v="3650.7"/>
    <n v="14215"/>
    <n v="14290"/>
    <n v="14817"/>
    <n v="5431"/>
    <n v="6336"/>
    <n v="1247"/>
    <n v="850"/>
    <n v="744"/>
    <n v="61580.7"/>
    <n v="0"/>
    <n v="0"/>
    <n v="0"/>
    <n v="120.87806484960001"/>
    <n v="470.67184152000004"/>
    <n v="473.15516112000006"/>
    <n v="490.60462017600008"/>
    <n v="179.82544996800002"/>
    <n v="209.79083980800004"/>
    <n v="41.289327216000004"/>
    <n v="28.144288800000005"/>
    <n v="24.634530432000002"/>
    <n v="0"/>
    <n v="1064.7050674896002"/>
    <n v="880.22090995200006"/>
    <n v="94.068146448000007"/>
    <b v="1"/>
    <n v="807.38012388960021"/>
    <n v="0"/>
    <n v="1231.614"/>
    <n v="0"/>
    <n v="2038.9941238896004"/>
    <n v="8100"/>
    <n v="12593"/>
    <n v="13595"/>
    <n v="12169"/>
    <n v="14215"/>
    <n v="14290"/>
    <n v="14817"/>
    <n v="5431"/>
    <n v="6336"/>
    <n v="1247"/>
    <n v="850"/>
    <n v="744"/>
    <n v="104387"/>
    <n v="268.19851680000005"/>
    <n v="416.96591630400007"/>
    <n v="450.14306616000005"/>
    <n v="402.92688283200005"/>
    <n v="470.67184152000004"/>
    <n v="473.15516112000006"/>
    <n v="490.60462017600008"/>
    <n v="179.82544996800002"/>
    <n v="209.79083980800004"/>
    <n v="41.289327216000004"/>
    <n v="28.144288800000005"/>
    <n v="24.634530432000002"/>
    <n v="1135.3074992640002"/>
    <n v="1346.7538854720001"/>
    <n v="880.22090995200006"/>
    <n v="94.068146448000007"/>
    <n v="1368.6104411360004"/>
    <n v="0"/>
    <n v="2087.7400000000002"/>
    <n v="0"/>
    <n v="3456.3504411360009"/>
  </r>
  <r>
    <s v="AME25-034"/>
    <s v="R156"/>
    <s v="REC"/>
    <d v="2026-04-01T00:00:00"/>
    <d v="2027-03-01T00:00:00"/>
    <x v="2"/>
    <x v="2"/>
    <x v="19"/>
    <n v="1.3110928000000004E-2"/>
    <n v="0"/>
    <n v="0.02"/>
    <n v="0"/>
    <n v="3.3110928000000005E-2"/>
    <m/>
    <n v="0"/>
    <n v="0"/>
    <n v="0"/>
    <n v="8998.5"/>
    <n v="35038"/>
    <n v="35222"/>
    <n v="36423"/>
    <n v="13350"/>
    <n v="15575"/>
    <n v="4379"/>
    <n v="2986"/>
    <n v="2613"/>
    <n v="154584.5"/>
    <n v="0"/>
    <n v="0"/>
    <n v="0"/>
    <n v="297.94868560800006"/>
    <n v="1160.1406952640002"/>
    <n v="1166.2331060160002"/>
    <n v="1205.9993305440003"/>
    <n v="442.03088880000007"/>
    <n v="515.70270360000006"/>
    <n v="144.99275371200002"/>
    <n v="98.869231008000014"/>
    <n v="86.518854864000019"/>
    <n v="0"/>
    <n v="2624.3224868880006"/>
    <n v="2163.7329229440002"/>
    <n v="330.38083958400006"/>
    <b v="1"/>
    <n v="2026.7462494160006"/>
    <n v="0"/>
    <n v="3091.69"/>
    <n v="0"/>
    <n v="5118.4362494160005"/>
    <n v="10902"/>
    <n v="0"/>
    <n v="33509"/>
    <n v="29995"/>
    <n v="35038"/>
    <n v="35222"/>
    <n v="36423"/>
    <n v="13350"/>
    <n v="15575"/>
    <n v="4379"/>
    <n v="2986"/>
    <n v="2613"/>
    <n v="219992"/>
    <n v="360.97533705600006"/>
    <n v="0"/>
    <n v="1109.514086352"/>
    <n v="993.16228536000017"/>
    <n v="1160.1406952640002"/>
    <n v="1166.2331060160002"/>
    <n v="1205.9993305440003"/>
    <n v="442.03088880000007"/>
    <n v="515.70270360000006"/>
    <n v="144.99275371200002"/>
    <n v="98.869231008000014"/>
    <n v="86.518854864000019"/>
    <n v="1470.4894234080002"/>
    <n v="3319.5360866400006"/>
    <n v="2163.7329229440002"/>
    <n v="330.38083958400006"/>
    <n v="2884.2992725760009"/>
    <n v="0"/>
    <n v="4399.84"/>
    <n v="0"/>
    <n v="7284.1392725760015"/>
  </r>
  <r>
    <s v="AME25-035"/>
    <s v="R24"/>
    <s v="REC"/>
    <d v="2026-02-01T00:00:00"/>
    <d v="2027-01-01T00:00:00"/>
    <x v="2"/>
    <x v="2"/>
    <x v="20"/>
    <n v="1.3110928000000004E-2"/>
    <n v="0"/>
    <n v="0.02"/>
    <n v="0"/>
    <n v="3.3110928000000005E-2"/>
    <m/>
    <n v="0"/>
    <n v="6282.3"/>
    <n v="30747"/>
    <n v="23484"/>
    <n v="22497"/>
    <n v="19429"/>
    <n v="22343"/>
    <n v="17486"/>
    <n v="17706"/>
    <n v="18549"/>
    <n v="16020"/>
    <n v="14174"/>
    <n v="208717.3"/>
    <n v="0"/>
    <n v="208.01278297440004"/>
    <n v="1018.0617032160002"/>
    <n v="777.57703315200013"/>
    <n v="744.89654721600016"/>
    <n v="643.31222011200009"/>
    <n v="739.79746430400007"/>
    <n v="578.97768700800009"/>
    <n v="586.2620911680001"/>
    <n v="614.17460347200006"/>
    <n v="530.43706656000006"/>
    <n v="469.31429347200009"/>
    <n v="1226.0744861904002"/>
    <n v="2165.7858004800005"/>
    <n v="1905.0372424800003"/>
    <n v="1613.9259635040003"/>
    <b v="1"/>
    <n v="2736.477492654401"/>
    <n v="0"/>
    <n v="4174.3459999999995"/>
    <n v="0"/>
    <n v="6910.823492654401"/>
    <n v="19548"/>
    <n v="20941"/>
    <n v="30747"/>
    <n v="23484"/>
    <n v="22497"/>
    <n v="19429"/>
    <n v="22343"/>
    <n v="17486"/>
    <n v="17706"/>
    <n v="18549"/>
    <n v="16020"/>
    <n v="14174"/>
    <n v="242924"/>
    <n v="647.25242054400007"/>
    <n v="693.37594324800011"/>
    <n v="1018.0617032160002"/>
    <n v="777.57703315200013"/>
    <n v="744.89654721600016"/>
    <n v="643.31222011200009"/>
    <n v="739.79746430400007"/>
    <n v="578.97768700800009"/>
    <n v="586.2620911680001"/>
    <n v="614.17460347200006"/>
    <n v="530.43706656000006"/>
    <n v="469.31429347200009"/>
    <n v="2358.6900670080004"/>
    <n v="2165.7858004800005"/>
    <n v="1905.0372424800003"/>
    <n v="1613.9259635040003"/>
    <n v="3184.9590734720009"/>
    <n v="0"/>
    <n v="4858.4800000000005"/>
    <n v="0"/>
    <n v="8043.4390734720018"/>
  </r>
  <r>
    <s v="AME25-035"/>
    <s v="R25"/>
    <s v="REC"/>
    <d v="2026-02-01T00:00:00"/>
    <d v="2027-01-01T00:00:00"/>
    <x v="2"/>
    <x v="2"/>
    <x v="20"/>
    <n v="1.0452448E-2"/>
    <n v="0"/>
    <n v="0.01"/>
    <n v="0"/>
    <n v="2.0452447999999998E-2"/>
    <m/>
    <n v="0"/>
    <n v="0"/>
    <n v="26687"/>
    <n v="23041"/>
    <n v="22189"/>
    <n v="21130"/>
    <n v="24299"/>
    <n v="19017"/>
    <n v="19256"/>
    <n v="20173"/>
    <n v="17422"/>
    <n v="15415"/>
    <n v="208629"/>
    <n v="0"/>
    <n v="0"/>
    <n v="545.81447977599998"/>
    <n v="471.24485436799995"/>
    <n v="453.81936867199994"/>
    <n v="432.16022623999999"/>
    <n v="496.97403395199996"/>
    <n v="388.94420361599998"/>
    <n v="393.83233868799994"/>
    <n v="412.58723350399998"/>
    <n v="356.32254905599996"/>
    <n v="315.27448591999996"/>
    <n v="545.81447977599998"/>
    <n v="1357.2244492799998"/>
    <n v="1279.7505762559999"/>
    <n v="1084.1842684799999"/>
    <b v="1"/>
    <n v="2180.683773792"/>
    <n v="0"/>
    <n v="2086.29"/>
    <n v="0"/>
    <n v="4266.9737737920004"/>
    <n v="0"/>
    <n v="0"/>
    <n v="26687"/>
    <n v="23041"/>
    <n v="22189"/>
    <n v="21130"/>
    <n v="24299"/>
    <n v="19017"/>
    <n v="19256"/>
    <n v="20173"/>
    <n v="17422"/>
    <n v="15415"/>
    <n v="208629"/>
    <n v="0"/>
    <n v="0"/>
    <n v="545.81447977599998"/>
    <n v="471.24485436799995"/>
    <n v="453.81936867199994"/>
    <n v="432.16022623999999"/>
    <n v="496.97403395199996"/>
    <n v="388.94420361599998"/>
    <n v="393.83233868799994"/>
    <n v="412.58723350399998"/>
    <n v="356.32254905599996"/>
    <n v="315.27448591999996"/>
    <n v="545.81447977599998"/>
    <n v="1357.2244492799998"/>
    <n v="1279.7505762559999"/>
    <n v="1084.1842684799999"/>
    <n v="2180.683773792"/>
    <n v="0"/>
    <n v="2086.29"/>
    <n v="0"/>
    <n v="4266.9737737920004"/>
  </r>
  <r>
    <s v="AME25-035"/>
    <s v="R27"/>
    <s v="REC"/>
    <d v="2026-02-01T00:00:00"/>
    <d v="2027-01-01T00:00:00"/>
    <x v="2"/>
    <x v="2"/>
    <x v="20"/>
    <n v="1.0452448E-2"/>
    <n v="0"/>
    <n v="0.01"/>
    <n v="0"/>
    <n v="2.0452447999999998E-2"/>
    <m/>
    <n v="0"/>
    <n v="30741.3"/>
    <n v="146159"/>
    <n v="113672"/>
    <n v="112764"/>
    <n v="104589"/>
    <n v="120278"/>
    <n v="94130"/>
    <n v="95314"/>
    <n v="99853"/>
    <n v="86237"/>
    <n v="76303"/>
    <n v="1080040.3"/>
    <n v="0"/>
    <n v="628.73483970239988"/>
    <n v="2989.3093472319997"/>
    <n v="2324.8706690559998"/>
    <n v="2306.2998462719997"/>
    <n v="2139.1010838719999"/>
    <n v="2459.979540544"/>
    <n v="1925.1889302399998"/>
    <n v="1949.4046286719997"/>
    <n v="2042.2382901439998"/>
    <n v="1763.7577581759999"/>
    <n v="1560.5831397439999"/>
    <n v="3618.0441869343995"/>
    <n v="6770.2715991999994"/>
    <n v="6334.573099455999"/>
    <n v="5366.5791880639999"/>
    <b v="1"/>
    <n v="11289.065073654399"/>
    <n v="0"/>
    <n v="10800.403"/>
    <n v="0"/>
    <n v="22089.4680736544"/>
    <n v="68858"/>
    <n v="102471"/>
    <n v="146159"/>
    <n v="113672"/>
    <n v="112764"/>
    <n v="104589"/>
    <n v="120278"/>
    <n v="94130"/>
    <n v="95314"/>
    <n v="99853"/>
    <n v="86237"/>
    <n v="76303"/>
    <n v="1220628"/>
    <n v="1408.3146643839998"/>
    <n v="2095.782799008"/>
    <n v="2989.3093472319997"/>
    <n v="2324.8706690559998"/>
    <n v="2306.2998462719997"/>
    <n v="2139.1010838719999"/>
    <n v="2459.979540544"/>
    <n v="1925.1889302399998"/>
    <n v="1949.4046286719997"/>
    <n v="2042.2382901439998"/>
    <n v="1763.7577581759999"/>
    <n v="1560.5831397439999"/>
    <n v="6493.4068106239993"/>
    <n v="6770.2715991999994"/>
    <n v="6334.573099455999"/>
    <n v="5366.5791880639999"/>
    <n v="12758.550697343999"/>
    <n v="0"/>
    <n v="12206.28"/>
    <n v="0"/>
    <n v="24964.830697343998"/>
  </r>
  <r>
    <s v="AME25-035"/>
    <s v="R26"/>
    <s v="REC"/>
    <d v="2026-02-01T00:00:00"/>
    <d v="2027-01-01T00:00:00"/>
    <x v="2"/>
    <x v="2"/>
    <x v="20"/>
    <n v="1.0452448E-2"/>
    <n v="0"/>
    <n v="0.01"/>
    <n v="0"/>
    <n v="2.0452447999999998E-2"/>
    <m/>
    <n v="0"/>
    <n v="31198.799999999999"/>
    <n v="153736"/>
    <n v="120615"/>
    <n v="120946"/>
    <n v="112739"/>
    <n v="129650"/>
    <n v="101466"/>
    <n v="102742"/>
    <n v="107634"/>
    <n v="92957"/>
    <n v="82249"/>
    <n v="1155932.8"/>
    <n v="0"/>
    <n v="638.09183466239995"/>
    <n v="3144.2775457279995"/>
    <n v="2466.8720155199999"/>
    <n v="2473.6417758079997"/>
    <n v="2305.7885350719998"/>
    <n v="2651.6598832"/>
    <n v="2075.2280887679999"/>
    <n v="2101.3254124159998"/>
    <n v="2201.3787880319996"/>
    <n v="1901.1982087359997"/>
    <n v="1682.1933955519999"/>
    <n v="3782.3693803903993"/>
    <n v="7246.3023263999994"/>
    <n v="6828.2133843840002"/>
    <n v="5784.7703923199988"/>
    <b v="1"/>
    <n v="12082.3274834944"/>
    <n v="0"/>
    <n v="11559.328000000001"/>
    <n v="0"/>
    <n v="23641.655483494404"/>
    <n v="79817"/>
    <n v="103996"/>
    <n v="153736"/>
    <n v="120615"/>
    <n v="120946"/>
    <n v="112739"/>
    <n v="129650"/>
    <n v="101466"/>
    <n v="102742"/>
    <n v="107634"/>
    <n v="92957"/>
    <n v="82249"/>
    <n v="1308547"/>
    <n v="1632.4530420159999"/>
    <n v="2126.9727822079999"/>
    <n v="3144.2775457279995"/>
    <n v="2466.8720155199999"/>
    <n v="2473.6417758079997"/>
    <n v="2305.7885350719998"/>
    <n v="2651.6598832"/>
    <n v="2075.2280887679999"/>
    <n v="2101.3254124159998"/>
    <n v="2201.3787880319996"/>
    <n v="1901.1982087359997"/>
    <n v="1682.1933955519999"/>
    <n v="6903.7033699519998"/>
    <n v="7246.3023263999994"/>
    <n v="6828.2133843840002"/>
    <n v="5784.7703923199988"/>
    <n v="13677.519473056"/>
    <n v="0"/>
    <n v="13085.470000000001"/>
    <n v="0"/>
    <n v="26762.989473056001"/>
  </r>
  <r>
    <s v="AME25-035"/>
    <s v="R29"/>
    <s v="REC"/>
    <d v="2026-02-01T00:00:00"/>
    <d v="2027-01-01T00:00:00"/>
    <x v="2"/>
    <x v="2"/>
    <x v="20"/>
    <n v="1.0452448E-2"/>
    <n v="0"/>
    <n v="0.01"/>
    <n v="0"/>
    <n v="2.0452447999999998E-2"/>
    <m/>
    <n v="0"/>
    <n v="99723.9"/>
    <n v="475398"/>
    <n v="374653"/>
    <n v="381298"/>
    <n v="366776"/>
    <n v="421793"/>
    <n v="330099"/>
    <n v="334251"/>
    <n v="350167"/>
    <n v="302417"/>
    <n v="267581"/>
    <n v="3704156.9"/>
    <n v="0"/>
    <n v="2039.5978791071998"/>
    <n v="9723.0528743039995"/>
    <n v="7662.5710005439996"/>
    <n v="7798.4775175039995"/>
    <n v="7501.4670676479991"/>
    <n v="8626.699399264"/>
    <n v="6751.3326323519996"/>
    <n v="6836.2511964479991"/>
    <n v="7161.7723588159997"/>
    <n v="6185.1679668159995"/>
    <n v="5472.6864882879991"/>
    <n v="11762.650753411199"/>
    <n v="22962.515585695997"/>
    <n v="22214.283228064"/>
    <n v="18819.62681392"/>
    <b v="1"/>
    <n v="38717.5073810912"/>
    <n v="0"/>
    <n v="37041.569000000003"/>
    <n v="0"/>
    <n v="75759.076381091203"/>
    <n v="291978"/>
    <n v="332413"/>
    <n v="475398"/>
    <n v="374653"/>
    <n v="381298"/>
    <n v="366776"/>
    <n v="421793"/>
    <n v="330099"/>
    <n v="334251"/>
    <n v="350167"/>
    <n v="302417"/>
    <n v="267581"/>
    <n v="4228824"/>
    <n v="5971.664862143999"/>
    <n v="6798.6595970239996"/>
    <n v="9723.0528743039995"/>
    <n v="7662.5710005439996"/>
    <n v="7798.4775175039995"/>
    <n v="7501.4670676479991"/>
    <n v="8626.699399264"/>
    <n v="6751.3326323519996"/>
    <n v="6836.2511964479991"/>
    <n v="7161.7723588159997"/>
    <n v="6185.1679668159995"/>
    <n v="5472.6864882879991"/>
    <n v="22493.377333471995"/>
    <n v="22962.515585695997"/>
    <n v="22214.283228064"/>
    <n v="18819.62681392"/>
    <n v="44201.562961151998"/>
    <n v="0"/>
    <n v="42288.24"/>
    <n v="0"/>
    <n v="86489.802961151989"/>
  </r>
  <r>
    <s v="AME25-035"/>
    <s v="R28"/>
    <s v="REC"/>
    <d v="2026-02-01T00:00:00"/>
    <d v="2027-01-01T00:00:00"/>
    <x v="2"/>
    <x v="2"/>
    <x v="20"/>
    <n v="1.0452448E-2"/>
    <n v="0"/>
    <n v="0.01"/>
    <n v="0"/>
    <n v="2.0452447999999998E-2"/>
    <m/>
    <n v="0"/>
    <n v="99638.099999999991"/>
    <n v="484943"/>
    <n v="376646"/>
    <n v="394596"/>
    <n v="362701"/>
    <n v="417106"/>
    <n v="326431"/>
    <n v="330537"/>
    <n v="346277"/>
    <n v="299057"/>
    <n v="264608"/>
    <n v="3702540.1"/>
    <n v="0"/>
    <n v="2037.8430590687997"/>
    <n v="9918.2714904639997"/>
    <n v="7703.3327294079991"/>
    <n v="8070.4541710079993"/>
    <n v="7418.1233420479994"/>
    <n v="8530.8387754879986"/>
    <n v="6676.3130530879989"/>
    <n v="6760.2908045759996"/>
    <n v="7082.2123360959995"/>
    <n v="6116.4477415359997"/>
    <n v="5411.8813603839999"/>
    <n v="11956.1145495328"/>
    <n v="23191.910242463997"/>
    <n v="21967.442633151997"/>
    <n v="18610.541438016"/>
    <b v="1"/>
    <n v="38700.607863164798"/>
    <n v="0"/>
    <n v="37025.401000000005"/>
    <n v="0"/>
    <n v="75726.00886316481"/>
    <n v="306959"/>
    <n v="332127"/>
    <n v="484943"/>
    <n v="376646"/>
    <n v="394596"/>
    <n v="362701"/>
    <n v="417106"/>
    <n v="326431"/>
    <n v="330537"/>
    <n v="346277"/>
    <n v="299057"/>
    <n v="264608"/>
    <n v="4241988"/>
    <n v="6278.0629856319993"/>
    <n v="6792.8101968959991"/>
    <n v="9918.2714904639997"/>
    <n v="7703.3327294079991"/>
    <n v="8070.4541710079993"/>
    <n v="7418.1233420479994"/>
    <n v="8530.8387754879986"/>
    <n v="6676.3130530879989"/>
    <n v="6760.2908045759996"/>
    <n v="7082.2123360959995"/>
    <n v="6116.4477415359997"/>
    <n v="5411.8813603839999"/>
    <n v="22989.144672991999"/>
    <n v="23191.910242463997"/>
    <n v="21967.442633151997"/>
    <n v="18610.541438016"/>
    <n v="44339.158986623996"/>
    <n v="0"/>
    <n v="42419.88"/>
    <n v="0"/>
    <n v="86759.038986623986"/>
  </r>
  <r>
    <s v="AME25-035"/>
    <s v="R31"/>
    <s v="REC"/>
    <d v="2026-02-01T00:00:00"/>
    <d v="2027-01-01T00:00:00"/>
    <x v="2"/>
    <x v="2"/>
    <x v="20"/>
    <n v="1.0452448E-2"/>
    <n v="0"/>
    <n v="0.01"/>
    <n v="0"/>
    <n v="2.0452447999999998E-2"/>
    <m/>
    <n v="0"/>
    <n v="39668.1"/>
    <n v="197167"/>
    <n v="153223"/>
    <n v="149099"/>
    <n v="147330"/>
    <n v="169429"/>
    <n v="132597"/>
    <n v="134265"/>
    <n v="140658"/>
    <n v="121478"/>
    <n v="107484"/>
    <n v="1492398.1"/>
    <n v="0"/>
    <n v="811.30975250879987"/>
    <n v="4032.5478148159996"/>
    <n v="3133.7854399039998"/>
    <n v="3049.4395443519998"/>
    <n v="3013.2591638399999"/>
    <n v="3465.2378121919996"/>
    <n v="2711.9332474559997"/>
    <n v="2746.0479307199998"/>
    <n v="2876.8004307839997"/>
    <n v="2484.5224781439997"/>
    <n v="2198.3109208319997"/>
    <n v="4843.8575673247997"/>
    <n v="9196.4841480959985"/>
    <n v="8923.2189903679991"/>
    <n v="7559.6338297599996"/>
    <b v="1"/>
    <n v="15599.213535548801"/>
    <n v="0"/>
    <n v="14923.981000000002"/>
    <n v="0"/>
    <n v="30523.194535548802"/>
    <n v="124961"/>
    <n v="132227"/>
    <n v="197167"/>
    <n v="153223"/>
    <n v="149099"/>
    <n v="147330"/>
    <n v="169429"/>
    <n v="132597"/>
    <n v="134265"/>
    <n v="140658"/>
    <n v="121478"/>
    <n v="107484"/>
    <n v="1709918"/>
    <n v="2555.7583545279999"/>
    <n v="2704.3658416959997"/>
    <n v="4032.5478148159996"/>
    <n v="3133.7854399039998"/>
    <n v="3049.4395443519998"/>
    <n v="3013.2591638399999"/>
    <n v="3465.2378121919996"/>
    <n v="2711.9332474559997"/>
    <n v="2746.0479307199998"/>
    <n v="2876.8004307839997"/>
    <n v="2484.5224781439997"/>
    <n v="2198.3109208319997"/>
    <n v="9292.6720110400001"/>
    <n v="9196.4841480959985"/>
    <n v="8923.2189903679991"/>
    <n v="7559.6338297599996"/>
    <n v="17872.828979263999"/>
    <n v="0"/>
    <n v="17099.18"/>
    <n v="0"/>
    <n v="34972.008979263999"/>
  </r>
  <r>
    <s v="AME25-035"/>
    <s v="R30"/>
    <s v="REC"/>
    <d v="2026-02-01T00:00:00"/>
    <d v="2027-01-01T00:00:00"/>
    <x v="2"/>
    <x v="2"/>
    <x v="20"/>
    <n v="1.0452448E-2"/>
    <n v="0"/>
    <n v="0.01"/>
    <n v="0"/>
    <n v="2.0452447999999998E-2"/>
    <m/>
    <n v="0"/>
    <n v="41674.799999999996"/>
    <n v="199406"/>
    <n v="156971"/>
    <n v="149545"/>
    <n v="151533"/>
    <n v="174263"/>
    <n v="136380"/>
    <n v="138095"/>
    <n v="144671"/>
    <n v="124943"/>
    <n v="110551"/>
    <n v="1528032.8"/>
    <n v="0"/>
    <n v="852.35167991039987"/>
    <n v="4078.3408458879994"/>
    <n v="3210.4412150079997"/>
    <n v="3058.5613361599999"/>
    <n v="3099.2208027839997"/>
    <n v="3564.1049458239995"/>
    <n v="2789.3048582399997"/>
    <n v="2824.3808065599997"/>
    <n v="2958.8761046079999"/>
    <n v="2555.3902104639997"/>
    <n v="2261.0385788479998"/>
    <n v="4930.6925257983994"/>
    <n v="9368.2233539519984"/>
    <n v="9177.7906106239989"/>
    <n v="7775.3048939199998"/>
    <b v="1"/>
    <n v="15971.6833842944"/>
    <n v="0"/>
    <n v="15280.328000000001"/>
    <n v="0"/>
    <n v="31252.011384294401"/>
    <n v="120781"/>
    <n v="138916"/>
    <n v="199406"/>
    <n v="156971"/>
    <n v="149545"/>
    <n v="151533"/>
    <n v="174263"/>
    <n v="136380"/>
    <n v="138095"/>
    <n v="144671"/>
    <n v="124943"/>
    <n v="110551"/>
    <n v="1746055"/>
    <n v="2470.2671218879996"/>
    <n v="2841.1722663679998"/>
    <n v="4078.3408458879994"/>
    <n v="3210.4412150079997"/>
    <n v="3058.5613361599999"/>
    <n v="3099.2208027839997"/>
    <n v="3564.1049458239995"/>
    <n v="2789.3048582399997"/>
    <n v="2824.3808065599997"/>
    <n v="2958.8761046079999"/>
    <n v="2555.3902104639997"/>
    <n v="2261.0385788479998"/>
    <n v="9389.7802341440001"/>
    <n v="9368.2233539519984"/>
    <n v="9177.7906106239989"/>
    <n v="7775.3048939199998"/>
    <n v="18250.549092639998"/>
    <n v="0"/>
    <n v="17460.55"/>
    <n v="0"/>
    <n v="35711.099092639997"/>
  </r>
  <r>
    <s v="AME25-035"/>
    <s v="R32"/>
    <s v="REC"/>
    <d v="2026-02-01T00:00:00"/>
    <d v="2027-01-01T00:00:00"/>
    <x v="2"/>
    <x v="2"/>
    <x v="20"/>
    <n v="1.0452448E-2"/>
    <n v="0"/>
    <n v="0.01"/>
    <n v="0"/>
    <n v="2.0452447999999998E-2"/>
    <m/>
    <n v="0"/>
    <n v="7569.9"/>
    <n v="41903"/>
    <n v="27200"/>
    <n v="27089"/>
    <n v="24338"/>
    <n v="27989"/>
    <n v="21905"/>
    <n v="22180"/>
    <n v="23236"/>
    <n v="20068"/>
    <n v="17756"/>
    <n v="261233.9"/>
    <n v="0"/>
    <n v="154.82298611519997"/>
    <n v="857.01892854399989"/>
    <n v="556.30658559999995"/>
    <n v="554.03636387199992"/>
    <n v="497.77167942399996"/>
    <n v="572.44356707199995"/>
    <n v="448.01087343999995"/>
    <n v="453.63529663999998"/>
    <n v="475.23308172799995"/>
    <n v="410.43972646399999"/>
    <n v="363.15366668799999"/>
    <n v="1011.8419146591998"/>
    <n v="1608.1146288959999"/>
    <n v="1474.089737152"/>
    <n v="1248.82647488"/>
    <b v="1"/>
    <n v="2730.5337555871997"/>
    <n v="0"/>
    <n v="2612.3389999999999"/>
    <n v="0"/>
    <n v="5342.8727555871992"/>
    <n v="21588"/>
    <n v="25233"/>
    <n v="41903"/>
    <n v="27200"/>
    <n v="27089"/>
    <n v="24338"/>
    <n v="27989"/>
    <n v="21905"/>
    <n v="22180"/>
    <n v="23236"/>
    <n v="20068"/>
    <n v="17756"/>
    <n v="300485"/>
    <n v="441.52744742399994"/>
    <n v="516.07662038399997"/>
    <n v="857.01892854399989"/>
    <n v="556.30658559999995"/>
    <n v="554.03636387199992"/>
    <n v="497.77167942399996"/>
    <n v="572.44356707199995"/>
    <n v="448.01087343999995"/>
    <n v="453.63529663999998"/>
    <n v="475.23308172799995"/>
    <n v="410.43972646399999"/>
    <n v="363.15366668799999"/>
    <n v="1814.6229963519997"/>
    <n v="1608.1146288959999"/>
    <n v="1474.089737152"/>
    <n v="1248.82647488"/>
    <n v="3140.8038372799997"/>
    <n v="0"/>
    <n v="3004.85"/>
    <n v="0"/>
    <n v="6145.6538372799996"/>
  </r>
  <r>
    <s v="AME25-035"/>
    <s v="R33"/>
    <s v="REC"/>
    <d v="2026-02-01T00:00:00"/>
    <d v="2027-01-01T00:00:00"/>
    <x v="2"/>
    <x v="2"/>
    <x v="20"/>
    <n v="1.0452448E-2"/>
    <n v="0"/>
    <n v="0.01"/>
    <n v="0"/>
    <n v="2.0452447999999998E-2"/>
    <m/>
    <n v="0"/>
    <n v="7459.5"/>
    <n v="38554"/>
    <n v="27627"/>
    <n v="25533"/>
    <n v="24836"/>
    <n v="28561"/>
    <n v="22352"/>
    <n v="22633"/>
    <n v="23711"/>
    <n v="20478"/>
    <n v="18119"/>
    <n v="259863.5"/>
    <n v="0"/>
    <n v="152.56503585599998"/>
    <n v="788.52368019199992"/>
    <n v="565.03978089599991"/>
    <n v="522.2123547839999"/>
    <n v="507.95699852799993"/>
    <n v="584.14236732799998"/>
    <n v="457.15311769599998"/>
    <n v="462.90025558399998"/>
    <n v="484.94799452799998"/>
    <n v="418.82523014399999"/>
    <n v="370.57790531199998"/>
    <n v="941.08871604799992"/>
    <n v="1595.2091342079998"/>
    <n v="1504.1957406079998"/>
    <n v="1274.351129984"/>
    <b v="1"/>
    <n v="2716.209720848"/>
    <n v="0"/>
    <n v="2598.6350000000002"/>
    <n v="0"/>
    <n v="5314.8447208480002"/>
    <n v="22493"/>
    <n v="24865"/>
    <n v="38554"/>
    <n v="27627"/>
    <n v="25533"/>
    <n v="24836"/>
    <n v="28561"/>
    <n v="22352"/>
    <n v="22633"/>
    <n v="23711"/>
    <n v="20478"/>
    <n v="18119"/>
    <n v="299762"/>
    <n v="460.03691286399993"/>
    <n v="508.55011951999995"/>
    <n v="788.52368019199992"/>
    <n v="565.03978089599991"/>
    <n v="522.2123547839999"/>
    <n v="507.95699852799993"/>
    <n v="584.14236732799998"/>
    <n v="457.15311769599998"/>
    <n v="462.90025558399998"/>
    <n v="484.94799452799998"/>
    <n v="418.82523014399999"/>
    <n v="370.57790531199998"/>
    <n v="1757.110712576"/>
    <n v="1595.2091342079998"/>
    <n v="1504.1957406079998"/>
    <n v="1274.351129984"/>
    <n v="3133.2467173760001"/>
    <n v="0"/>
    <n v="2997.62"/>
    <n v="0"/>
    <n v="6130.8667173760005"/>
  </r>
  <r>
    <s v="AME25-037"/>
    <s v="R8"/>
    <s v="REC"/>
    <d v="2026-05-01T00:00:00"/>
    <d v="2027-04-01T00:00:00"/>
    <x v="2"/>
    <x v="2"/>
    <x v="21"/>
    <n v="1.0452448E-2"/>
    <n v="0"/>
    <n v="0.01"/>
    <n v="0"/>
    <n v="2.0452447999999998E-2"/>
    <m/>
    <n v="0"/>
    <n v="0"/>
    <n v="0"/>
    <n v="0"/>
    <n v="75600"/>
    <n v="252000"/>
    <n v="57000"/>
    <n v="45000"/>
    <n v="51000"/>
    <n v="51000"/>
    <n v="45000"/>
    <n v="25200"/>
    <n v="601800"/>
    <n v="0"/>
    <n v="0"/>
    <n v="0"/>
    <n v="0"/>
    <n v="1546.2050687999999"/>
    <n v="5154.0168959999992"/>
    <n v="1165.789536"/>
    <n v="920.36015999999995"/>
    <n v="1043.074848"/>
    <n v="1043.074848"/>
    <n v="920.36015999999995"/>
    <n v="515.40168959999994"/>
    <n v="0"/>
    <n v="6700.2219647999991"/>
    <n v="3129.2245439999997"/>
    <n v="2478.8366975999998"/>
    <b v="1"/>
    <n v="6290.2832063999995"/>
    <n v="0"/>
    <n v="6018"/>
    <n v="0"/>
    <n v="12308.283206399999"/>
    <n v="189000"/>
    <n v="241500"/>
    <n v="262500"/>
    <n v="220500"/>
    <n v="252000"/>
    <n v="252000"/>
    <n v="57000"/>
    <n v="45000"/>
    <n v="51000"/>
    <n v="51000"/>
    <n v="45000"/>
    <n v="25200"/>
    <n v="1691700"/>
    <n v="3865.5126719999998"/>
    <n v="4939.2661919999991"/>
    <n v="5368.7675999999992"/>
    <n v="4509.764784"/>
    <n v="5154.0168959999992"/>
    <n v="5154.0168959999992"/>
    <n v="1165.789536"/>
    <n v="920.36015999999995"/>
    <n v="1043.074848"/>
    <n v="1043.074848"/>
    <n v="920.36015999999995"/>
    <n v="515.40168959999994"/>
    <n v="14173.546463999999"/>
    <n v="14817.798575999999"/>
    <n v="3129.2245439999997"/>
    <n v="2478.8366975999998"/>
    <n v="17682.406281600001"/>
    <n v="0"/>
    <n v="16917"/>
    <n v="0"/>
    <n v="34599.406281600001"/>
  </r>
  <r>
    <s v="AME25-037"/>
    <s v="R9"/>
    <s v="REC"/>
    <d v="2026-05-01T00:00:00"/>
    <d v="2027-04-01T00:00:00"/>
    <x v="2"/>
    <x v="2"/>
    <x v="21"/>
    <n v="1.8376159999999989E-3"/>
    <n v="0"/>
    <n v="3.2731530485999294E-4"/>
    <n v="0"/>
    <n v="2.164931304859992E-3"/>
    <m/>
    <n v="0"/>
    <n v="0"/>
    <n v="0"/>
    <n v="0"/>
    <n v="74465.7"/>
    <n v="244947"/>
    <n v="239480"/>
    <n v="186591"/>
    <n v="181099"/>
    <n v="155178"/>
    <n v="171852"/>
    <n v="132769"/>
    <n v="1386381.7"/>
    <n v="0"/>
    <n v="0"/>
    <n v="0"/>
    <n v="0"/>
    <n v="161.21312506831271"/>
    <n v="530.29342833154044"/>
    <n v="518.45774888787093"/>
    <n v="403.95669710513079"/>
    <n v="392.06689437883966"/>
    <n v="335.94971002556383"/>
    <n v="372.04777460279934"/>
    <n v="287.43576441495628"/>
    <n v="0"/>
    <n v="691.50655339985315"/>
    <n v="1314.4813403718413"/>
    <n v="995.43324904331939"/>
    <b v="1"/>
    <n v="2547.6371940271983"/>
    <n v="0"/>
    <n v="453.78394878781523"/>
    <n v="0"/>
    <n v="3001.4211428150138"/>
    <n v="193497"/>
    <n v="216289"/>
    <n v="231675"/>
    <n v="197803"/>
    <n v="248219"/>
    <n v="244947"/>
    <n v="239480"/>
    <n v="186591"/>
    <n v="181099"/>
    <n v="155178"/>
    <n v="171852"/>
    <n v="132769"/>
    <n v="2399399"/>
    <n v="418.90771269649389"/>
    <n v="468.25082699686283"/>
    <n v="501.56046005343865"/>
    <n v="428.22990689522101"/>
    <n v="537.37708356104235"/>
    <n v="530.29342833154044"/>
    <n v="518.45774888787093"/>
    <n v="403.95669710513079"/>
    <n v="392.06689437883966"/>
    <n v="335.94971002556383"/>
    <n v="372.04777460279934"/>
    <n v="287.43576441495628"/>
    <n v="1388.7189997467954"/>
    <n v="1495.9004187878038"/>
    <n v="1314.4813403718413"/>
    <n v="995.43324904331939"/>
    <n v="4409.1739927839972"/>
    <n v="0"/>
    <n v="785.36001516576221"/>
    <n v="0"/>
    <n v="5194.5340079497591"/>
  </r>
  <r>
    <s v="AME25-038"/>
    <s v="R77"/>
    <s v="REC"/>
    <d v="2026-04-01T00:00:00"/>
    <d v="2027-03-01T00:00:00"/>
    <x v="2"/>
    <x v="2"/>
    <x v="22"/>
    <n v="1.8376159999999989E-3"/>
    <n v="0"/>
    <n v="3.2731530485999294E-4"/>
    <n v="0"/>
    <n v="2.164931304859992E-3"/>
    <m/>
    <n v="0"/>
    <n v="0"/>
    <n v="0"/>
    <n v="8815.7999999999993"/>
    <n v="504"/>
    <n v="447"/>
    <n v="34310"/>
    <n v="24123"/>
    <n v="21023"/>
    <n v="20665"/>
    <n v="19299"/>
    <n v="13820"/>
    <n v="143006.79999999999"/>
    <n v="0"/>
    <n v="0"/>
    <n v="0"/>
    <n v="19.085601397384718"/>
    <n v="1.0911253776494361"/>
    <n v="0.96772429327241638"/>
    <n v="74.278793069746328"/>
    <n v="52.224637867137588"/>
    <n v="45.513350822071615"/>
    <n v="44.738305414931737"/>
    <n v="41.781009252492986"/>
    <n v="29.919350633165088"/>
    <n v="0"/>
    <n v="21.144451068306569"/>
    <n v="172.01678175895552"/>
    <n v="116.4386653005898"/>
    <b v="1"/>
    <n v="262.79158378879981"/>
    <n v="0"/>
    <n v="46.808314339052032"/>
    <n v="0"/>
    <n v="309.59989812785182"/>
    <n v="545"/>
    <n v="577"/>
    <n v="32005"/>
    <n v="29386"/>
    <n v="504"/>
    <n v="447"/>
    <n v="34310"/>
    <n v="24123"/>
    <n v="21023"/>
    <n v="20665"/>
    <n v="19299"/>
    <n v="13820"/>
    <n v="196704"/>
    <n v="1.1798875611486956"/>
    <n v="1.2491653629042154"/>
    <n v="69.288626412044039"/>
    <n v="63.618671324615725"/>
    <n v="1.0911253776494361"/>
    <n v="0.96772429327241638"/>
    <n v="74.278793069746328"/>
    <n v="52.224637867137588"/>
    <n v="45.513350822071615"/>
    <n v="44.738305414931737"/>
    <n v="41.781009252492986"/>
    <n v="29.919350633165088"/>
    <n v="71.71767933609695"/>
    <n v="65.677520995537577"/>
    <n v="172.01678175895552"/>
    <n v="116.4386653005898"/>
    <n v="361.46641766399978"/>
    <n v="0"/>
    <n v="64.384229727180056"/>
    <n v="0"/>
    <n v="425.85064739117985"/>
  </r>
  <r>
    <s v="AME25-090"/>
    <s v="R167"/>
    <s v="REC"/>
    <d v="2026-05-01T00:00:00"/>
    <d v="2027-04-01T00:00:00"/>
    <x v="2"/>
    <x v="2"/>
    <x v="23"/>
    <n v="5.912256000000002E-3"/>
    <n v="0"/>
    <n v="-5.8302508424000661E-4"/>
    <n v="0"/>
    <n v="5.3292309157599955E-3"/>
    <m/>
    <n v="0"/>
    <n v="0"/>
    <n v="0"/>
    <n v="0"/>
    <n v="0"/>
    <n v="0"/>
    <n v="0"/>
    <n v="0"/>
    <n v="0"/>
    <n v="0"/>
    <n v="0"/>
    <n v="0"/>
    <n v="0"/>
    <n v="0"/>
    <n v="0"/>
    <n v="0"/>
    <n v="0"/>
    <n v="0"/>
    <n v="0"/>
    <n v="0"/>
    <n v="0"/>
    <n v="0"/>
    <n v="0"/>
    <n v="0"/>
    <n v="0"/>
    <n v="0"/>
    <n v="0"/>
    <n v="0"/>
    <n v="0"/>
    <b v="1"/>
    <n v="0"/>
    <n v="0"/>
    <n v="0"/>
    <n v="0"/>
    <n v="0"/>
    <n v="0"/>
    <n v="0"/>
    <n v="0"/>
    <n v="0"/>
    <n v="0"/>
    <n v="0"/>
    <n v="0"/>
    <n v="0"/>
    <n v="0"/>
    <n v="0"/>
    <n v="0"/>
    <n v="0"/>
    <n v="0"/>
    <n v="0"/>
    <n v="0"/>
    <n v="0"/>
    <n v="0"/>
    <n v="0"/>
    <n v="0"/>
    <n v="0"/>
    <n v="0"/>
    <n v="0"/>
    <n v="0"/>
    <n v="0"/>
    <n v="0"/>
    <n v="0"/>
    <n v="0"/>
    <n v="0"/>
    <n v="0"/>
    <n v="0"/>
    <n v="0"/>
    <n v="0"/>
    <n v="0"/>
    <n v="0"/>
  </r>
  <r>
    <s v="AME25-090"/>
    <s v="R168"/>
    <s v="REC"/>
    <d v="2026-05-01T00:00:00"/>
    <d v="2027-04-01T00:00:00"/>
    <x v="2"/>
    <x v="2"/>
    <x v="23"/>
    <n v="1.7194975588760087E-2"/>
    <n v="0"/>
    <n v="0.02"/>
    <n v="0"/>
    <n v="3.7194975588760087E-2"/>
    <m/>
    <n v="0"/>
    <n v="0"/>
    <n v="0"/>
    <n v="0"/>
    <n v="0"/>
    <n v="0"/>
    <n v="0"/>
    <n v="0"/>
    <n v="0"/>
    <n v="0"/>
    <n v="0"/>
    <n v="0"/>
    <n v="0"/>
    <n v="0"/>
    <n v="0"/>
    <n v="0"/>
    <n v="0"/>
    <n v="0"/>
    <n v="0"/>
    <n v="0"/>
    <n v="0"/>
    <n v="0"/>
    <n v="0"/>
    <n v="0"/>
    <n v="0"/>
    <n v="0"/>
    <n v="0"/>
    <n v="0"/>
    <n v="0"/>
    <b v="1"/>
    <n v="0"/>
    <n v="0"/>
    <n v="0"/>
    <n v="0"/>
    <n v="0"/>
    <n v="0"/>
    <n v="0"/>
    <n v="0"/>
    <n v="0"/>
    <n v="0"/>
    <n v="0"/>
    <n v="0"/>
    <n v="0"/>
    <n v="0"/>
    <n v="0"/>
    <n v="0"/>
    <n v="0"/>
    <n v="0"/>
    <n v="0"/>
    <n v="0"/>
    <n v="0"/>
    <n v="0"/>
    <n v="0"/>
    <n v="0"/>
    <n v="0"/>
    <n v="0"/>
    <n v="0"/>
    <n v="0"/>
    <n v="0"/>
    <n v="0"/>
    <n v="0"/>
    <n v="0"/>
    <n v="0"/>
    <n v="0"/>
    <n v="0"/>
    <n v="0"/>
    <n v="0"/>
    <n v="0"/>
    <n v="0"/>
  </r>
  <r>
    <s v="AME25-090"/>
    <s v="R169"/>
    <s v="REC"/>
    <d v="2026-05-01T00:00:00"/>
    <d v="2027-04-01T00:00:00"/>
    <x v="2"/>
    <x v="2"/>
    <x v="23"/>
    <n v="1.7194975588760087E-2"/>
    <n v="0"/>
    <n v="0.02"/>
    <n v="0"/>
    <n v="3.7194975588760087E-2"/>
    <m/>
    <n v="0"/>
    <n v="0"/>
    <n v="0"/>
    <n v="0"/>
    <n v="0"/>
    <n v="0"/>
    <n v="0"/>
    <n v="0"/>
    <n v="0"/>
    <n v="0"/>
    <n v="0"/>
    <n v="0"/>
    <n v="0"/>
    <n v="0"/>
    <n v="0"/>
    <n v="0"/>
    <n v="0"/>
    <n v="0"/>
    <n v="0"/>
    <n v="0"/>
    <n v="0"/>
    <n v="0"/>
    <n v="0"/>
    <n v="0"/>
    <n v="0"/>
    <n v="0"/>
    <n v="0"/>
    <n v="0"/>
    <n v="0"/>
    <b v="1"/>
    <n v="0"/>
    <n v="0"/>
    <n v="0"/>
    <n v="0"/>
    <n v="0"/>
    <n v="0"/>
    <n v="0"/>
    <n v="0"/>
    <n v="0"/>
    <n v="0"/>
    <n v="0"/>
    <n v="0"/>
    <n v="0"/>
    <n v="0"/>
    <n v="0"/>
    <n v="0"/>
    <n v="0"/>
    <n v="0"/>
    <n v="0"/>
    <n v="0"/>
    <n v="0"/>
    <n v="0"/>
    <n v="0"/>
    <n v="0"/>
    <n v="0"/>
    <n v="0"/>
    <n v="0"/>
    <n v="0"/>
    <n v="0"/>
    <n v="0"/>
    <n v="0"/>
    <n v="0"/>
    <n v="0"/>
    <n v="0"/>
    <n v="0"/>
    <n v="0"/>
    <n v="0"/>
    <n v="0"/>
    <n v="0"/>
  </r>
  <r>
    <s v="AME25-090"/>
    <s v="R170"/>
    <s v="REC"/>
    <d v="2026-05-01T00:00:00"/>
    <d v="2027-04-01T00:00:00"/>
    <x v="2"/>
    <x v="2"/>
    <x v="23"/>
    <n v="1.7194975588760087E-2"/>
    <n v="0"/>
    <n v="0.02"/>
    <n v="0"/>
    <n v="3.7194975588760087E-2"/>
    <m/>
    <n v="0"/>
    <n v="0"/>
    <n v="0"/>
    <n v="0"/>
    <n v="0"/>
    <n v="0"/>
    <n v="0"/>
    <n v="0"/>
    <n v="0"/>
    <n v="0"/>
    <n v="0"/>
    <n v="0"/>
    <n v="0"/>
    <n v="0"/>
    <n v="0"/>
    <n v="0"/>
    <n v="0"/>
    <n v="0"/>
    <n v="0"/>
    <n v="0"/>
    <n v="0"/>
    <n v="0"/>
    <n v="0"/>
    <n v="0"/>
    <n v="0"/>
    <n v="0"/>
    <n v="0"/>
    <n v="0"/>
    <n v="0"/>
    <b v="1"/>
    <n v="0"/>
    <n v="0"/>
    <n v="0"/>
    <n v="0"/>
    <n v="0"/>
    <n v="0"/>
    <n v="0"/>
    <n v="0"/>
    <n v="0"/>
    <n v="0"/>
    <n v="0"/>
    <n v="0"/>
    <n v="0"/>
    <n v="0"/>
    <n v="0"/>
    <n v="0"/>
    <n v="0"/>
    <n v="0"/>
    <n v="0"/>
    <n v="0"/>
    <n v="0"/>
    <n v="0"/>
    <n v="0"/>
    <n v="0"/>
    <n v="0"/>
    <n v="0"/>
    <n v="0"/>
    <n v="0"/>
    <n v="0"/>
    <n v="0"/>
    <n v="0"/>
    <n v="0"/>
    <n v="0"/>
    <n v="0"/>
    <n v="0"/>
    <n v="0"/>
    <n v="0"/>
    <n v="0"/>
    <n v="0"/>
  </r>
  <r>
    <s v="AME25-090"/>
    <s v="R171"/>
    <s v="REC"/>
    <d v="2026-05-01T00:00:00"/>
    <d v="2027-04-01T00:00:00"/>
    <x v="2"/>
    <x v="2"/>
    <x v="23"/>
    <n v="1.7194975588760087E-2"/>
    <n v="0"/>
    <n v="0.02"/>
    <n v="0"/>
    <n v="3.7194975588760087E-2"/>
    <m/>
    <n v="0"/>
    <n v="0"/>
    <n v="0"/>
    <n v="0"/>
    <n v="0"/>
    <n v="0"/>
    <n v="0"/>
    <n v="0"/>
    <n v="0"/>
    <n v="0"/>
    <n v="0"/>
    <n v="0"/>
    <n v="0"/>
    <n v="0"/>
    <n v="0"/>
    <n v="0"/>
    <n v="0"/>
    <n v="0"/>
    <n v="0"/>
    <n v="0"/>
    <n v="0"/>
    <n v="0"/>
    <n v="0"/>
    <n v="0"/>
    <n v="0"/>
    <n v="0"/>
    <n v="0"/>
    <n v="0"/>
    <n v="0"/>
    <b v="1"/>
    <n v="0"/>
    <n v="0"/>
    <n v="0"/>
    <n v="0"/>
    <n v="0"/>
    <n v="0"/>
    <n v="0"/>
    <n v="0"/>
    <n v="0"/>
    <n v="0"/>
    <n v="0"/>
    <n v="0"/>
    <n v="0"/>
    <n v="0"/>
    <n v="0"/>
    <n v="0"/>
    <n v="0"/>
    <n v="0"/>
    <n v="0"/>
    <n v="0"/>
    <n v="0"/>
    <n v="0"/>
    <n v="0"/>
    <n v="0"/>
    <n v="0"/>
    <n v="0"/>
    <n v="0"/>
    <n v="0"/>
    <n v="0"/>
    <n v="0"/>
    <n v="0"/>
    <n v="0"/>
    <n v="0"/>
    <n v="0"/>
    <n v="0"/>
    <n v="0"/>
    <n v="0"/>
    <n v="0"/>
    <n v="0"/>
  </r>
  <r>
    <s v="AME25-090"/>
    <s v="R172"/>
    <s v="REC"/>
    <d v="2026-05-01T00:00:00"/>
    <d v="2027-04-01T00:00:00"/>
    <x v="2"/>
    <x v="2"/>
    <x v="23"/>
    <n v="1.7194975588760087E-2"/>
    <n v="0"/>
    <n v="0.02"/>
    <n v="0"/>
    <n v="3.7194975588760087E-2"/>
    <m/>
    <n v="0"/>
    <n v="0"/>
    <n v="0"/>
    <n v="0"/>
    <n v="0"/>
    <n v="0"/>
    <n v="0"/>
    <n v="0"/>
    <n v="0"/>
    <n v="0"/>
    <n v="0"/>
    <n v="0"/>
    <n v="0"/>
    <n v="0"/>
    <n v="0"/>
    <n v="0"/>
    <n v="0"/>
    <n v="0"/>
    <n v="0"/>
    <n v="0"/>
    <n v="0"/>
    <n v="0"/>
    <n v="0"/>
    <n v="0"/>
    <n v="0"/>
    <n v="0"/>
    <n v="0"/>
    <n v="0"/>
    <n v="0"/>
    <b v="1"/>
    <n v="0"/>
    <n v="0"/>
    <n v="0"/>
    <n v="0"/>
    <n v="0"/>
    <n v="0"/>
    <n v="0"/>
    <n v="0"/>
    <n v="0"/>
    <n v="0"/>
    <n v="0"/>
    <n v="0"/>
    <n v="0"/>
    <n v="0"/>
    <n v="0"/>
    <n v="0"/>
    <n v="0"/>
    <n v="0"/>
    <n v="0"/>
    <n v="0"/>
    <n v="0"/>
    <n v="0"/>
    <n v="0"/>
    <n v="0"/>
    <n v="0"/>
    <n v="0"/>
    <n v="0"/>
    <n v="0"/>
    <n v="0"/>
    <n v="0"/>
    <n v="0"/>
    <n v="0"/>
    <n v="0"/>
    <n v="0"/>
    <n v="0"/>
    <n v="0"/>
    <n v="0"/>
    <n v="0"/>
    <n v="0"/>
  </r>
  <r>
    <s v="AME25-090"/>
    <s v="R174"/>
    <s v="REC"/>
    <d v="2026-05-01T00:00:00"/>
    <d v="2027-04-01T00:00:00"/>
    <x v="2"/>
    <x v="2"/>
    <x v="23"/>
    <n v="1.7194975588760087E-2"/>
    <n v="0"/>
    <n v="0.02"/>
    <n v="0"/>
    <n v="3.7194975588760087E-2"/>
    <m/>
    <n v="0"/>
    <n v="0"/>
    <n v="0"/>
    <n v="0"/>
    <n v="0"/>
    <n v="0"/>
    <n v="0"/>
    <n v="0"/>
    <n v="0"/>
    <n v="0"/>
    <n v="0"/>
    <n v="0"/>
    <n v="0"/>
    <n v="0"/>
    <n v="0"/>
    <n v="0"/>
    <n v="0"/>
    <n v="0"/>
    <n v="0"/>
    <n v="0"/>
    <n v="0"/>
    <n v="0"/>
    <n v="0"/>
    <n v="0"/>
    <n v="0"/>
    <n v="0"/>
    <n v="0"/>
    <n v="0"/>
    <n v="0"/>
    <b v="1"/>
    <n v="0"/>
    <n v="0"/>
    <n v="0"/>
    <n v="0"/>
    <n v="0"/>
    <n v="0"/>
    <n v="0"/>
    <n v="0"/>
    <n v="0"/>
    <n v="0"/>
    <n v="0"/>
    <n v="0"/>
    <n v="0"/>
    <n v="0"/>
    <n v="0"/>
    <n v="0"/>
    <n v="0"/>
    <n v="0"/>
    <n v="0"/>
    <n v="0"/>
    <n v="0"/>
    <n v="0"/>
    <n v="0"/>
    <n v="0"/>
    <n v="0"/>
    <n v="0"/>
    <n v="0"/>
    <n v="0"/>
    <n v="0"/>
    <n v="0"/>
    <n v="0"/>
    <n v="0"/>
    <n v="0"/>
    <n v="0"/>
    <n v="0"/>
    <n v="0"/>
    <n v="0"/>
    <n v="0"/>
    <n v="0"/>
  </r>
  <r>
    <s v="AME25-090"/>
    <s v="R176"/>
    <s v="REC"/>
    <d v="2026-05-01T00:00:00"/>
    <d v="2027-04-01T00:00:00"/>
    <x v="2"/>
    <x v="2"/>
    <x v="23"/>
    <n v="1.7194975588760087E-2"/>
    <n v="0"/>
    <n v="0.02"/>
    <n v="0"/>
    <n v="3.7194975588760087E-2"/>
    <m/>
    <n v="0"/>
    <n v="0"/>
    <n v="0"/>
    <n v="0"/>
    <n v="0"/>
    <n v="0"/>
    <n v="0"/>
    <n v="0"/>
    <n v="0"/>
    <n v="0"/>
    <n v="0"/>
    <n v="0"/>
    <n v="0"/>
    <n v="0"/>
    <n v="0"/>
    <n v="0"/>
    <n v="0"/>
    <n v="0"/>
    <n v="0"/>
    <n v="0"/>
    <n v="0"/>
    <n v="0"/>
    <n v="0"/>
    <n v="0"/>
    <n v="0"/>
    <n v="0"/>
    <n v="0"/>
    <n v="0"/>
    <n v="0"/>
    <b v="1"/>
    <n v="0"/>
    <n v="0"/>
    <n v="0"/>
    <n v="0"/>
    <n v="0"/>
    <n v="0"/>
    <n v="0"/>
    <n v="0"/>
    <n v="0"/>
    <n v="0"/>
    <n v="0"/>
    <n v="0"/>
    <n v="0"/>
    <n v="0"/>
    <n v="0"/>
    <n v="0"/>
    <n v="0"/>
    <n v="0"/>
    <n v="0"/>
    <n v="0"/>
    <n v="0"/>
    <n v="0"/>
    <n v="0"/>
    <n v="0"/>
    <n v="0"/>
    <n v="0"/>
    <n v="0"/>
    <n v="0"/>
    <n v="0"/>
    <n v="0"/>
    <n v="0"/>
    <n v="0"/>
    <n v="0"/>
    <n v="0"/>
    <n v="0"/>
    <n v="0"/>
    <n v="0"/>
    <n v="0"/>
    <n v="0"/>
  </r>
  <r>
    <s v="AME25-090"/>
    <s v="R178"/>
    <s v="REC"/>
    <d v="2026-05-01T00:00:00"/>
    <d v="2027-04-01T00:00:00"/>
    <x v="2"/>
    <x v="2"/>
    <x v="23"/>
    <n v="1.7194975588760087E-2"/>
    <n v="0"/>
    <n v="0.02"/>
    <n v="0"/>
    <n v="3.7194975588760087E-2"/>
    <m/>
    <n v="0"/>
    <n v="0"/>
    <n v="0"/>
    <n v="0"/>
    <n v="0"/>
    <n v="0"/>
    <n v="0"/>
    <n v="0"/>
    <n v="0"/>
    <n v="0"/>
    <n v="0"/>
    <n v="0"/>
    <n v="0"/>
    <n v="0"/>
    <n v="0"/>
    <n v="0"/>
    <n v="0"/>
    <n v="0"/>
    <n v="0"/>
    <n v="0"/>
    <n v="0"/>
    <n v="0"/>
    <n v="0"/>
    <n v="0"/>
    <n v="0"/>
    <n v="0"/>
    <n v="0"/>
    <n v="0"/>
    <n v="0"/>
    <b v="1"/>
    <n v="0"/>
    <n v="0"/>
    <n v="0"/>
    <n v="0"/>
    <n v="0"/>
    <n v="0"/>
    <n v="0"/>
    <n v="0"/>
    <n v="0"/>
    <n v="0"/>
    <n v="0"/>
    <n v="0"/>
    <n v="0"/>
    <n v="0"/>
    <n v="0"/>
    <n v="0"/>
    <n v="0"/>
    <n v="0"/>
    <n v="0"/>
    <n v="0"/>
    <n v="0"/>
    <n v="0"/>
    <n v="0"/>
    <n v="0"/>
    <n v="0"/>
    <n v="0"/>
    <n v="0"/>
    <n v="0"/>
    <n v="0"/>
    <n v="0"/>
    <n v="0"/>
    <n v="0"/>
    <n v="0"/>
    <n v="0"/>
    <n v="0"/>
    <n v="0"/>
    <n v="0"/>
    <n v="0"/>
    <n v="0"/>
  </r>
  <r>
    <s v="AME25-040"/>
    <s v="R34"/>
    <s v="REC"/>
    <d v="2026-04-01T00:00:00"/>
    <d v="2027-03-01T00:00:00"/>
    <x v="2"/>
    <x v="2"/>
    <x v="24"/>
    <n v="1.7194975588760087E-2"/>
    <n v="0"/>
    <n v="0.02"/>
    <n v="0"/>
    <n v="3.7194975588760087E-2"/>
    <m/>
    <n v="0"/>
    <n v="0"/>
    <n v="0"/>
    <n v="2329.5"/>
    <n v="4130"/>
    <n v="4909"/>
    <n v="5646"/>
    <n v="4418"/>
    <n v="4474"/>
    <n v="4687"/>
    <n v="4048"/>
    <n v="3582"/>
    <n v="38223.5"/>
    <n v="0"/>
    <n v="0"/>
    <n v="0"/>
    <n v="86.645695634016619"/>
    <n v="153.61524918157917"/>
    <n v="182.59013516522327"/>
    <n v="210.00283217413946"/>
    <n v="164.32740215114205"/>
    <n v="166.41032078411263"/>
    <n v="174.33285058451852"/>
    <n v="150.56526118330083"/>
    <n v="133.23240255893865"/>
    <n v="0"/>
    <n v="422.85107998081907"/>
    <n v="540.74055510939411"/>
    <n v="458.13051432675803"/>
    <b v="1"/>
    <n v="657.25214941697118"/>
    <n v="0"/>
    <n v="764.47"/>
    <n v="0"/>
    <n v="1421.7221494169712"/>
    <n v="5587"/>
    <n v="6267"/>
    <n v="9670"/>
    <n v="7765"/>
    <n v="4130"/>
    <n v="4909"/>
    <n v="5646"/>
    <n v="4418"/>
    <n v="4474"/>
    <n v="4687"/>
    <n v="4048"/>
    <n v="3582"/>
    <n v="65183"/>
    <n v="207.8083286144026"/>
    <n v="233.10091201475947"/>
    <n v="359.67541394331005"/>
    <n v="288.81898544672208"/>
    <n v="153.61524918157917"/>
    <n v="182.59013516522327"/>
    <n v="210.00283217413946"/>
    <n v="164.32740215114205"/>
    <n v="166.41032078411263"/>
    <n v="174.33285058451852"/>
    <n v="150.56526118330083"/>
    <n v="133.23240255893865"/>
    <n v="800.58465457247212"/>
    <n v="625.02436979352456"/>
    <n v="540.74055510939411"/>
    <n v="458.13051432675803"/>
    <n v="1120.8200938021487"/>
    <n v="0"/>
    <n v="1303.6600000000001"/>
    <n v="0"/>
    <n v="2424.480093802149"/>
  </r>
  <r>
    <s v="AME25-040"/>
    <s v="R35"/>
    <s v="REC"/>
    <d v="2026-04-01T00:00:00"/>
    <d v="2027-03-01T00:00:00"/>
    <x v="2"/>
    <x v="2"/>
    <x v="24"/>
    <n v="1.7194975588760087E-2"/>
    <n v="0"/>
    <n v="0.02"/>
    <n v="0"/>
    <n v="3.7194975588760087E-2"/>
    <m/>
    <n v="0"/>
    <n v="0"/>
    <n v="0"/>
    <n v="2191.7999999999997"/>
    <n v="4114"/>
    <n v="4605"/>
    <n v="5295"/>
    <n v="4144"/>
    <n v="4196"/>
    <n v="4396"/>
    <n v="3797"/>
    <n v="3359"/>
    <n v="36097.800000000003"/>
    <n v="0"/>
    <n v="0"/>
    <n v="0"/>
    <n v="81.523947495444347"/>
    <n v="153.02012957215899"/>
    <n v="171.28286258624021"/>
    <n v="196.94739574248467"/>
    <n v="154.1359788398218"/>
    <n v="156.07011757043733"/>
    <n v="163.50911268818933"/>
    <n v="141.22932231052206"/>
    <n v="124.93792300264514"/>
    <n v="0"/>
    <n v="405.82693965384351"/>
    <n v="507.15349215274381"/>
    <n v="429.67635800135656"/>
    <b v="1"/>
    <n v="620.70078980794392"/>
    <n v="0"/>
    <n v="721.95600000000002"/>
    <n v="0"/>
    <n v="1342.6567898079438"/>
    <n v="5429"/>
    <n v="6322"/>
    <n v="8540"/>
    <n v="7306"/>
    <n v="4114"/>
    <n v="4605"/>
    <n v="5295"/>
    <n v="4144"/>
    <n v="4196"/>
    <n v="4396"/>
    <n v="3797"/>
    <n v="3359"/>
    <n v="61503"/>
    <n v="201.93152247137851"/>
    <n v="235.14663567214129"/>
    <n v="317.64509152801116"/>
    <n v="271.74649165148122"/>
    <n v="153.02012957215899"/>
    <n v="171.28286258624021"/>
    <n v="196.94739574248467"/>
    <n v="154.1359788398218"/>
    <n v="156.07011757043733"/>
    <n v="163.50911268818933"/>
    <n v="141.22932231052206"/>
    <n v="124.93792300264514"/>
    <n v="754.72324967153099"/>
    <n v="596.04948380988037"/>
    <n v="507.15349215274381"/>
    <n v="429.67635800135656"/>
    <n v="1057.5425836355116"/>
    <n v="0"/>
    <n v="1230.06"/>
    <n v="0"/>
    <n v="2287.6025836355116"/>
  </r>
  <r>
    <s v="AME25-040"/>
    <s v="R36"/>
    <s v="REC"/>
    <d v="2026-04-01T00:00:00"/>
    <d v="2027-03-01T00:00:00"/>
    <x v="2"/>
    <x v="2"/>
    <x v="24"/>
    <n v="1.7194975588760087E-2"/>
    <n v="0"/>
    <n v="0.02"/>
    <n v="0"/>
    <n v="3.7194975588760087E-2"/>
    <m/>
    <n v="0"/>
    <n v="0"/>
    <n v="0"/>
    <n v="4962.5999999999995"/>
    <n v="17089"/>
    <n v="16734"/>
    <n v="19244"/>
    <n v="15060"/>
    <n v="15250"/>
    <n v="15976"/>
    <n v="13797"/>
    <n v="12208"/>
    <n v="130320.6"/>
    <n v="0"/>
    <n v="0"/>
    <n v="0"/>
    <n v="184.58378585678079"/>
    <n v="635.62493783632112"/>
    <n v="622.42072150231127"/>
    <n v="715.78011023009913"/>
    <n v="560.15633236672693"/>
    <n v="567.22337772859134"/>
    <n v="594.22693000603113"/>
    <n v="513.17907819812297"/>
    <n v="454.07626198758317"/>
    <n v="0"/>
    <n v="1442.6294451954132"/>
    <n v="1843.1598203254175"/>
    <n v="1561.4822701917374"/>
    <b v="1"/>
    <n v="2240.8595357125678"/>
    <n v="0"/>
    <n v="2606.4120000000003"/>
    <n v="0"/>
    <n v="4847.271535712568"/>
    <n v="18601"/>
    <n v="17399"/>
    <n v="27733"/>
    <n v="16542"/>
    <n v="17089"/>
    <n v="16734"/>
    <n v="19244"/>
    <n v="15060"/>
    <n v="15250"/>
    <n v="15976"/>
    <n v="13797"/>
    <n v="12208"/>
    <n v="205633"/>
    <n v="691.86374092652636"/>
    <n v="647.15538026883678"/>
    <n v="1031.5282580030835"/>
    <n v="615.27928618926933"/>
    <n v="635.62493783632112"/>
    <n v="622.42072150231127"/>
    <n v="715.78011023009913"/>
    <n v="560.15633236672693"/>
    <n v="567.22337772859134"/>
    <n v="594.22693000603113"/>
    <n v="513.17907819812297"/>
    <n v="454.07626198758317"/>
    <n v="2370.5473791984468"/>
    <n v="1873.3249455279015"/>
    <n v="1843.1598203254175"/>
    <n v="1561.4822701917374"/>
    <n v="3535.8544152435029"/>
    <n v="0"/>
    <n v="4112.66"/>
    <n v="0"/>
    <n v="7648.5144152435023"/>
  </r>
  <r>
    <s v="AME25-040"/>
    <s v="R37"/>
    <s v="REC"/>
    <d v="2026-04-01T00:00:00"/>
    <d v="2027-03-01T00:00:00"/>
    <x v="2"/>
    <x v="2"/>
    <x v="24"/>
    <n v="1.7194975588760087E-2"/>
    <n v="0"/>
    <n v="0.02"/>
    <n v="0"/>
    <n v="3.7194975588760087E-2"/>
    <m/>
    <n v="0"/>
    <n v="0"/>
    <n v="0"/>
    <n v="4957.8"/>
    <n v="16950"/>
    <n v="16172"/>
    <n v="18598"/>
    <n v="14555"/>
    <n v="14738"/>
    <n v="15440"/>
    <n v="13334"/>
    <n v="11798"/>
    <n v="126542.8"/>
    <n v="0"/>
    <n v="0"/>
    <n v="0"/>
    <n v="184.40524997395477"/>
    <n v="630.45483622948348"/>
    <n v="601.51714522142811"/>
    <n v="691.75215599976013"/>
    <n v="541.37286969440311"/>
    <n v="548.17955022714614"/>
    <n v="574.29042309045576"/>
    <n v="495.957804500527"/>
    <n v="438.8263219961915"/>
    <n v="0"/>
    <n v="1416.3772314248663"/>
    <n v="1781.3045759213094"/>
    <n v="1509.0745495871743"/>
    <b v="1"/>
    <n v="2175.9003569333499"/>
    <n v="0"/>
    <n v="2530.8560000000002"/>
    <n v="0"/>
    <n v="4706.7563569333506"/>
    <n v="20152"/>
    <n v="20096"/>
    <n v="27440"/>
    <n v="16526"/>
    <n v="16950"/>
    <n v="16172"/>
    <n v="18598"/>
    <n v="14555"/>
    <n v="14738"/>
    <n v="15440"/>
    <n v="13334"/>
    <n v="11798"/>
    <n v="205799"/>
    <n v="749.55314806469323"/>
    <n v="747.47022943172271"/>
    <n v="1020.6301301555768"/>
    <n v="614.68416657984926"/>
    <n v="630.45483622948348"/>
    <n v="601.51714522142811"/>
    <n v="691.75215599976013"/>
    <n v="541.37286969440311"/>
    <n v="548.17955022714614"/>
    <n v="574.29042309045576"/>
    <n v="495.957804500527"/>
    <n v="438.8263219961915"/>
    <n v="2517.6535076519926"/>
    <n v="1846.656148030761"/>
    <n v="1781.3045759213094"/>
    <n v="1509.0745495871743"/>
    <n v="3538.708781191237"/>
    <n v="0"/>
    <n v="4115.9800000000005"/>
    <n v="0"/>
    <n v="7654.6887811912375"/>
  </r>
  <r>
    <s v="AME25-040"/>
    <s v="R38"/>
    <s v="REC"/>
    <d v="2026-04-01T00:00:00"/>
    <d v="2027-03-01T00:00:00"/>
    <x v="2"/>
    <x v="2"/>
    <x v="24"/>
    <n v="1.7194975588760087E-2"/>
    <n v="0"/>
    <n v="0.02"/>
    <n v="0"/>
    <n v="3.7194975588760087E-2"/>
    <m/>
    <n v="0"/>
    <n v="0"/>
    <n v="0"/>
    <n v="18393.3"/>
    <n v="61868"/>
    <n v="60661"/>
    <n v="69761"/>
    <n v="54595"/>
    <n v="55282"/>
    <n v="57914"/>
    <n v="50017"/>
    <n v="44255"/>
    <n v="472746.3"/>
    <n v="0"/>
    <n v="0"/>
    <n v="0"/>
    <n v="684.13834449674084"/>
    <n v="2301.178749725409"/>
    <n v="2256.2844141897758"/>
    <n v="2594.7586920474923"/>
    <n v="2030.659692268357"/>
    <n v="2056.2126404978353"/>
    <n v="2154.1098162474518"/>
    <n v="1860.3810940230132"/>
    <n v="1646.0636446805777"/>
    <n v="0"/>
    <n v="5241.6015084119263"/>
    <n v="6681.6310248136851"/>
    <n v="5660.5545549510425"/>
    <b v="1"/>
    <n v="8128.8610881766526"/>
    <n v="0"/>
    <n v="9454.9259999999995"/>
    <n v="0"/>
    <n v="17583.78708817665"/>
    <n v="60412"/>
    <n v="58681"/>
    <n v="86632"/>
    <n v="61311"/>
    <n v="61868"/>
    <n v="60661"/>
    <n v="69761"/>
    <n v="54595"/>
    <n v="55282"/>
    <n v="57914"/>
    <n v="50017"/>
    <n v="44255"/>
    <n v="721389"/>
    <n v="2247.0228652681744"/>
    <n v="2182.6383625240305"/>
    <n v="3222.2751252054641"/>
    <n v="2280.4611483224699"/>
    <n v="2301.178749725409"/>
    <n v="2256.2844141897758"/>
    <n v="2594.7586920474923"/>
    <n v="2030.659692268357"/>
    <n v="2056.2126404978353"/>
    <n v="2154.1098162474518"/>
    <n v="1860.3810940230132"/>
    <n v="1646.0636446805777"/>
    <n v="7651.936352997669"/>
    <n v="6837.9243122376547"/>
    <n v="6681.6310248136851"/>
    <n v="5660.5545549510425"/>
    <n v="12404.26624500005"/>
    <n v="0"/>
    <n v="14427.78"/>
    <n v="0"/>
    <n v="26832.046245000049"/>
  </r>
  <r>
    <s v="AME25-040"/>
    <s v="R39"/>
    <s v="REC"/>
    <d v="2026-04-01T00:00:00"/>
    <d v="2027-03-01T00:00:00"/>
    <x v="2"/>
    <x v="2"/>
    <x v="24"/>
    <n v="1.7194975588760087E-2"/>
    <n v="0"/>
    <n v="0.02"/>
    <n v="0"/>
    <n v="3.7194975588760087E-2"/>
    <m/>
    <n v="0"/>
    <n v="0"/>
    <n v="0"/>
    <n v="18640.2"/>
    <n v="64164"/>
    <n v="60485"/>
    <n v="69558"/>
    <n v="54436"/>
    <n v="55121"/>
    <n v="57746"/>
    <n v="49872"/>
    <n v="44127"/>
    <n v="474149.2"/>
    <n v="0"/>
    <n v="0"/>
    <n v="0"/>
    <n v="693.3217839696058"/>
    <n v="2386.5784136772022"/>
    <n v="2249.7380984861538"/>
    <n v="2587.2081120029743"/>
    <n v="2024.7456911497441"/>
    <n v="2050.2242494280449"/>
    <n v="2147.8610603485399"/>
    <n v="1854.987822562643"/>
    <n v="1641.3026878052165"/>
    <n v="0"/>
    <n v="5329.6382961329618"/>
    <n v="6662.1780525807626"/>
    <n v="5644.1515707163999"/>
    <b v="1"/>
    <n v="8152.9839194301248"/>
    <n v="0"/>
    <n v="9482.9840000000004"/>
    <n v="0"/>
    <n v="17635.967919430124"/>
    <n v="64118"/>
    <n v="64254"/>
    <n v="88181"/>
    <n v="62134"/>
    <n v="64164"/>
    <n v="60485"/>
    <n v="69558"/>
    <n v="54436"/>
    <n v="55121"/>
    <n v="57746"/>
    <n v="49872"/>
    <n v="44127"/>
    <n v="734196"/>
    <n v="2384.8674448001193"/>
    <n v="2389.9259614801908"/>
    <n v="3279.8901423924531"/>
    <n v="2311.0726132320192"/>
    <n v="2386.5784136772022"/>
    <n v="2249.7380984861538"/>
    <n v="2587.2081120029743"/>
    <n v="2024.7456911497441"/>
    <n v="2050.2242494280449"/>
    <n v="2147.8610603485399"/>
    <n v="1854.987822562643"/>
    <n v="1641.3026878052165"/>
    <n v="8054.6835486727632"/>
    <n v="6947.3891253953752"/>
    <n v="6662.1780525807626"/>
    <n v="5644.1515707163999"/>
    <n v="12624.482297365301"/>
    <n v="0"/>
    <n v="14683.92"/>
    <n v="0"/>
    <n v="27308.402297365301"/>
  </r>
  <r>
    <s v="AME25-040"/>
    <s v="R40"/>
    <s v="REC"/>
    <d v="2026-04-01T00:00:00"/>
    <d v="2027-03-01T00:00:00"/>
    <x v="2"/>
    <x v="2"/>
    <x v="24"/>
    <n v="1.7194975588760087E-2"/>
    <n v="0"/>
    <n v="0.02"/>
    <n v="0"/>
    <n v="3.7194975588760087E-2"/>
    <m/>
    <n v="0"/>
    <n v="0"/>
    <n v="0"/>
    <n v="10038.9"/>
    <n v="33715"/>
    <n v="32954"/>
    <n v="37897"/>
    <n v="29658"/>
    <n v="30032"/>
    <n v="31462"/>
    <n v="27171"/>
    <n v="24041"/>
    <n v="256968.9"/>
    <n v="0"/>
    <n v="0"/>
    <n v="0"/>
    <n v="373.3966404380036"/>
    <n v="1254.0286019750463"/>
    <n v="1225.723225552"/>
    <n v="1409.5779898872411"/>
    <n v="1103.1285860114467"/>
    <n v="1117.0395068816429"/>
    <n v="1170.2283219735698"/>
    <n v="1010.6246817222003"/>
    <n v="894.20440812938125"/>
    <n v="0"/>
    <n v="2853.1484679650503"/>
    <n v="3629.7460827803307"/>
    <n v="3075.0574118251511"/>
    <b v="1"/>
    <n v="4418.5739625705319"/>
    <n v="0"/>
    <n v="5139.3779999999997"/>
    <n v="0"/>
    <n v="9557.9519625705325"/>
    <n v="29933"/>
    <n v="31405"/>
    <n v="49794"/>
    <n v="33463"/>
    <n v="33715"/>
    <n v="32954"/>
    <n v="37897"/>
    <n v="29658"/>
    <n v="30032"/>
    <n v="31462"/>
    <n v="27171"/>
    <n v="24041"/>
    <n v="391525"/>
    <n v="1113.3572042983558"/>
    <n v="1168.1082083650106"/>
    <n v="1852.0866144667198"/>
    <n v="1244.6554681266789"/>
    <n v="1254.0286019750463"/>
    <n v="1225.723225552"/>
    <n v="1409.5779898872411"/>
    <n v="1103.1285860114467"/>
    <n v="1117.0395068816429"/>
    <n v="1170.2283219735698"/>
    <n v="1010.6246817222003"/>
    <n v="894.20440812938125"/>
    <n v="4133.5520271300866"/>
    <n v="3724.4072956537257"/>
    <n v="3629.7460827803307"/>
    <n v="3075.0574118251511"/>
    <n v="6732.2628173892926"/>
    <n v="0"/>
    <n v="7830.5"/>
    <n v="0"/>
    <n v="14562.762817389292"/>
  </r>
  <r>
    <s v="AME25-040"/>
    <s v="R41"/>
    <s v="REC"/>
    <d v="2026-04-01T00:00:00"/>
    <d v="2027-03-01T00:00:00"/>
    <x v="2"/>
    <x v="2"/>
    <x v="24"/>
    <n v="1.7194975588760087E-2"/>
    <n v="0"/>
    <n v="0.02"/>
    <n v="0"/>
    <n v="3.7194975588760087E-2"/>
    <m/>
    <n v="0"/>
    <n v="0"/>
    <n v="0"/>
    <n v="10162.199999999999"/>
    <n v="34331"/>
    <n v="33740"/>
    <n v="38801"/>
    <n v="30366"/>
    <n v="30748"/>
    <n v="32212"/>
    <n v="27820"/>
    <n v="24615"/>
    <n v="262795.2"/>
    <n v="0"/>
    <n v="0"/>
    <n v="0"/>
    <n v="377.98278092809772"/>
    <n v="1276.9407069377226"/>
    <n v="1254.9584763647654"/>
    <n v="1443.2022478194801"/>
    <n v="1129.4626287282888"/>
    <n v="1143.6711094031953"/>
    <n v="1198.12455366514"/>
    <n v="1034.7642208793056"/>
    <n v="915.55432411732954"/>
    <n v="0"/>
    <n v="2909.8819642305857"/>
    <n v="3716.3359859509642"/>
    <n v="3148.4430986617749"/>
    <b v="1"/>
    <n v="4518.7570488433248"/>
    <n v="0"/>
    <n v="5255.9040000000005"/>
    <n v="0"/>
    <n v="9774.6610488433253"/>
    <n v="31025"/>
    <n v="31405"/>
    <n v="47952"/>
    <n v="33874"/>
    <n v="34331"/>
    <n v="33740"/>
    <n v="38801"/>
    <n v="30366"/>
    <n v="30748"/>
    <n v="32212"/>
    <n v="27820"/>
    <n v="24615"/>
    <n v="396889"/>
    <n v="1153.9741176412817"/>
    <n v="1168.1082083650106"/>
    <n v="1783.5734694322236"/>
    <n v="1259.9426030936593"/>
    <n v="1276.9407069377226"/>
    <n v="1254.9584763647654"/>
    <n v="1443.2022478194801"/>
    <n v="1129.4626287282888"/>
    <n v="1143.6711094031953"/>
    <n v="1198.12455366514"/>
    <n v="1034.7642208793056"/>
    <n v="915.55432411732954"/>
    <n v="4105.6557954385162"/>
    <n v="3791.8417863961472"/>
    <n v="3716.3359859509642"/>
    <n v="3148.4430986617749"/>
    <n v="6824.4966664474023"/>
    <n v="0"/>
    <n v="7937.78"/>
    <n v="0"/>
    <n v="14762.276666447402"/>
  </r>
  <r>
    <s v="AME25-040"/>
    <s v="R42"/>
    <s v="REC"/>
    <d v="2026-04-01T00:00:00"/>
    <d v="2027-03-01T00:00:00"/>
    <x v="2"/>
    <x v="2"/>
    <x v="24"/>
    <n v="1.7194975588760087E-2"/>
    <n v="0"/>
    <n v="0.02"/>
    <n v="0"/>
    <n v="3.7194975588760087E-2"/>
    <m/>
    <n v="0"/>
    <n v="0"/>
    <n v="0"/>
    <n v="3112.2"/>
    <n v="9677"/>
    <n v="8038"/>
    <n v="9244"/>
    <n v="7234"/>
    <n v="7325"/>
    <n v="7674"/>
    <n v="6627"/>
    <n v="5864"/>
    <n v="64795.199999999997"/>
    <n v="0"/>
    <n v="0"/>
    <n v="0"/>
    <n v="115.75820302733914"/>
    <n v="359.93577877243138"/>
    <n v="298.97321378245357"/>
    <n v="343.83035434249825"/>
    <n v="269.06845340909047"/>
    <n v="272.45319618766763"/>
    <n v="285.43424266814492"/>
    <n v="246.49110322671311"/>
    <n v="218.11133685248916"/>
    <n v="0"/>
    <n v="774.66719558222417"/>
    <n v="885.35200393925629"/>
    <n v="750.03668274734719"/>
    <b v="1"/>
    <n v="1114.1518822688276"/>
    <n v="0"/>
    <n v="1295.904"/>
    <n v="0"/>
    <n v="2410.0558822688276"/>
    <n v="8187"/>
    <n v="9088"/>
    <n v="15175"/>
    <n v="10374"/>
    <n v="9677"/>
    <n v="8038"/>
    <n v="9244"/>
    <n v="7234"/>
    <n v="7325"/>
    <n v="7674"/>
    <n v="6627"/>
    <n v="5864"/>
    <n v="104507"/>
    <n v="304.51526514517883"/>
    <n v="338.02793815065166"/>
    <n v="564.43375455943431"/>
    <n v="385.86067675779714"/>
    <n v="359.93577877243138"/>
    <n v="298.97321378245357"/>
    <n v="343.83035434249825"/>
    <n v="269.06845340909047"/>
    <n v="272.45319618766763"/>
    <n v="285.43424266814492"/>
    <n v="246.49110322671311"/>
    <n v="218.11133685248916"/>
    <n v="1206.9769578552648"/>
    <n v="1044.769669312682"/>
    <n v="885.35200393925629"/>
    <n v="750.03668274734719"/>
    <n v="1796.9953138545504"/>
    <n v="0"/>
    <n v="2090.14"/>
    <n v="0"/>
    <n v="3887.1353138545501"/>
  </r>
  <r>
    <s v="AME25-040"/>
    <s v="R43"/>
    <s v="REC"/>
    <d v="2026-04-01T00:00:00"/>
    <d v="2027-03-01T00:00:00"/>
    <x v="2"/>
    <x v="2"/>
    <x v="24"/>
    <n v="1.7194975588760087E-2"/>
    <n v="0"/>
    <n v="0.02"/>
    <n v="0"/>
    <n v="3.7194975588760087E-2"/>
    <m/>
    <n v="0"/>
    <n v="0"/>
    <n v="0"/>
    <n v="3207"/>
    <n v="10139"/>
    <n v="9498"/>
    <n v="10923"/>
    <n v="8548"/>
    <n v="8656"/>
    <n v="9068"/>
    <n v="7831"/>
    <n v="6929"/>
    <n v="74799"/>
    <n v="0"/>
    <n v="0"/>
    <n v="0"/>
    <n v="119.28428671315361"/>
    <n v="377.11985749443852"/>
    <n v="353.27787814204333"/>
    <n v="406.28071835602645"/>
    <n v="317.94265133272125"/>
    <n v="321.9597086963073"/>
    <n v="337.2840386388765"/>
    <n v="291.27385383558027"/>
    <n v="257.72398585451867"/>
    <n v="0"/>
    <n v="849.68202234963542"/>
    <n v="1046.1830783850551"/>
    <n v="886.28187832897549"/>
    <b v="1"/>
    <n v="1286.1669790636658"/>
    <n v="0"/>
    <n v="1495.98"/>
    <n v="0"/>
    <n v="2782.1469790636656"/>
    <n v="12022"/>
    <n v="10436"/>
    <n v="15238"/>
    <n v="10690"/>
    <n v="10139"/>
    <n v="9498"/>
    <n v="10923"/>
    <n v="8548"/>
    <n v="8656"/>
    <n v="9068"/>
    <n v="7831"/>
    <n v="6929"/>
    <n v="119978"/>
    <n v="447.1579965280738"/>
    <n v="388.16676524430028"/>
    <n v="566.77703802152621"/>
    <n v="397.61428904384536"/>
    <n v="377.11985749443852"/>
    <n v="353.27787814204333"/>
    <n v="406.28071835602645"/>
    <n v="317.94265133272125"/>
    <n v="321.9597086963073"/>
    <n v="337.2840386388765"/>
    <n v="291.27385383558027"/>
    <n v="257.72398585451867"/>
    <n v="1402.1017997939002"/>
    <n v="1128.0120246803272"/>
    <n v="1046.1830783850551"/>
    <n v="886.28187832897549"/>
    <n v="2063.0187811882579"/>
    <n v="0"/>
    <n v="2399.56"/>
    <n v="0"/>
    <n v="4462.5787811882583"/>
  </r>
  <r>
    <s v="AME25-041"/>
    <s v="R192"/>
    <s v="REC"/>
    <d v="2026-05-01T00:00:00"/>
    <d v="2027-04-01T00:00:00"/>
    <x v="2"/>
    <x v="2"/>
    <x v="25"/>
    <n v="1.7194975588760087E-2"/>
    <n v="0"/>
    <n v="0.02"/>
    <n v="0"/>
    <n v="3.7194975588760087E-2"/>
    <m/>
    <n v="0"/>
    <n v="0"/>
    <n v="0"/>
    <n v="0"/>
    <n v="0"/>
    <n v="0"/>
    <n v="0"/>
    <n v="0"/>
    <n v="0"/>
    <n v="0"/>
    <n v="0"/>
    <n v="0"/>
    <n v="0"/>
    <n v="0"/>
    <n v="0"/>
    <n v="0"/>
    <n v="0"/>
    <n v="0"/>
    <n v="0"/>
    <n v="0"/>
    <n v="0"/>
    <n v="0"/>
    <n v="0"/>
    <n v="0"/>
    <n v="0"/>
    <n v="0"/>
    <n v="0"/>
    <n v="0"/>
    <n v="0"/>
    <b v="1"/>
    <n v="0"/>
    <n v="0"/>
    <n v="0"/>
    <n v="0"/>
    <n v="0"/>
    <n v="0"/>
    <n v="0"/>
    <n v="0"/>
    <n v="0"/>
    <n v="0"/>
    <n v="0"/>
    <n v="0"/>
    <n v="0"/>
    <n v="0"/>
    <n v="0"/>
    <n v="0"/>
    <n v="0"/>
    <n v="0"/>
    <n v="0"/>
    <n v="0"/>
    <n v="0"/>
    <n v="0"/>
    <n v="0"/>
    <n v="0"/>
    <n v="0"/>
    <n v="0"/>
    <n v="0"/>
    <n v="0"/>
    <n v="0"/>
    <n v="0"/>
    <n v="0"/>
    <n v="0"/>
    <n v="0"/>
    <n v="0"/>
    <n v="0"/>
    <n v="0"/>
    <n v="0"/>
    <n v="0"/>
    <n v="0"/>
  </r>
  <r>
    <s v="AME25-041"/>
    <s v="R193"/>
    <s v="REC"/>
    <d v="2026-05-01T00:00:00"/>
    <d v="2027-04-01T00:00:00"/>
    <x v="2"/>
    <x v="2"/>
    <x v="25"/>
    <n v="1.0313376000000001E-2"/>
    <n v="0"/>
    <n v="1.3762005080700015E-2"/>
    <n v="0"/>
    <n v="2.4075381080700016E-2"/>
    <m/>
    <n v="0"/>
    <n v="0"/>
    <n v="0"/>
    <n v="0"/>
    <n v="0"/>
    <n v="0"/>
    <n v="0"/>
    <n v="0"/>
    <n v="0"/>
    <n v="0"/>
    <n v="0"/>
    <n v="0"/>
    <n v="0"/>
    <n v="0"/>
    <n v="0"/>
    <n v="0"/>
    <n v="0"/>
    <n v="0"/>
    <n v="0"/>
    <n v="0"/>
    <n v="0"/>
    <n v="0"/>
    <n v="0"/>
    <n v="0"/>
    <n v="0"/>
    <n v="0"/>
    <n v="0"/>
    <n v="0"/>
    <n v="0"/>
    <b v="1"/>
    <n v="0"/>
    <n v="0"/>
    <n v="0"/>
    <n v="0"/>
    <n v="0"/>
    <n v="0"/>
    <n v="0"/>
    <n v="0"/>
    <n v="0"/>
    <n v="0"/>
    <n v="0"/>
    <n v="0"/>
    <n v="0"/>
    <n v="0"/>
    <n v="0"/>
    <n v="0"/>
    <n v="0"/>
    <n v="0"/>
    <n v="0"/>
    <n v="0"/>
    <n v="0"/>
    <n v="0"/>
    <n v="0"/>
    <n v="0"/>
    <n v="0"/>
    <n v="0"/>
    <n v="0"/>
    <n v="0"/>
    <n v="0"/>
    <n v="0"/>
    <n v="0"/>
    <n v="0"/>
    <n v="0"/>
    <n v="0"/>
    <n v="0"/>
    <n v="0"/>
    <n v="0"/>
    <n v="0"/>
    <n v="0"/>
  </r>
  <r>
    <s v="AME25-043"/>
    <s v="R57"/>
    <s v="REC"/>
    <d v="2026-09-01T00:00:00"/>
    <d v="2027-08-01T00:00:00"/>
    <x v="2"/>
    <x v="2"/>
    <x v="26"/>
    <n v="1.0313376000000001E-2"/>
    <n v="0"/>
    <n v="1.3762005080700015E-2"/>
    <n v="0"/>
    <n v="2.4075381080700016E-2"/>
    <m/>
    <n v="0"/>
    <n v="0"/>
    <n v="0"/>
    <n v="0"/>
    <n v="0"/>
    <n v="0"/>
    <n v="0"/>
    <n v="0"/>
    <n v="103359.9"/>
    <n v="157409"/>
    <n v="135712"/>
    <n v="136153"/>
    <n v="532633.9"/>
    <n v="0"/>
    <n v="0"/>
    <n v="0"/>
    <n v="0"/>
    <n v="0"/>
    <n v="0"/>
    <n v="0"/>
    <n v="0"/>
    <n v="2488.4289809630454"/>
    <n v="3789.6816605319086"/>
    <n v="3267.3181172239606"/>
    <n v="3277.9353602805495"/>
    <n v="0"/>
    <n v="0"/>
    <n v="2488.4289809630454"/>
    <n v="10334.935138036419"/>
    <b v="1"/>
    <n v="5493.2536810464007"/>
    <n v="0"/>
    <n v="7330.1104379530643"/>
    <n v="0"/>
    <n v="12823.364118999465"/>
    <n v="147970"/>
    <n v="159143"/>
    <n v="221536"/>
    <n v="190075"/>
    <n v="219389"/>
    <n v="214847"/>
    <n v="212750"/>
    <n v="155658"/>
    <n v="147657"/>
    <n v="157409"/>
    <n v="135712"/>
    <n v="136153"/>
    <n v="2098299"/>
    <n v="3562.4341385111816"/>
    <n v="3831.4283713258428"/>
    <n v="5333.563623093959"/>
    <n v="4576.1280589140551"/>
    <n v="5281.8737799136961"/>
    <n v="5172.5233990451561"/>
    <n v="5122.0373249189288"/>
    <n v="3747.5256682596032"/>
    <n v="3554.8985442329222"/>
    <n v="3789.6816605319086"/>
    <n v="3267.3181172239606"/>
    <n v="3277.9353602805495"/>
    <n v="12727.426132930985"/>
    <n v="15030.525237872907"/>
    <n v="12424.461537411455"/>
    <n v="10334.935138036419"/>
    <n v="21640.546547424001"/>
    <n v="0"/>
    <n v="28876.801498827761"/>
    <n v="0"/>
    <n v="50517.348046251762"/>
  </r>
  <r>
    <s v="AME25-043"/>
    <s v="R58"/>
    <s v="REC"/>
    <d v="2026-09-01T00:00:00"/>
    <d v="2027-08-01T00:00:00"/>
    <x v="2"/>
    <x v="2"/>
    <x v="26"/>
    <n v="9.7867680000000012E-3"/>
    <n v="0"/>
    <n v="1.0740828822000002E-2"/>
    <n v="0"/>
    <n v="2.0527596822000005E-2"/>
    <m/>
    <n v="0"/>
    <n v="0"/>
    <n v="0"/>
    <n v="0"/>
    <n v="0"/>
    <n v="0"/>
    <n v="0"/>
    <n v="0"/>
    <n v="103359.9"/>
    <n v="157409"/>
    <n v="135712"/>
    <n v="136153"/>
    <n v="532633.9"/>
    <n v="0"/>
    <n v="0"/>
    <n v="0"/>
    <n v="0"/>
    <n v="0"/>
    <n v="0"/>
    <n v="0"/>
    <n v="0"/>
    <n v="2121.7303547622382"/>
    <n v="3231.2284881541987"/>
    <n v="2785.8412199072645"/>
    <n v="2794.8938901057668"/>
    <n v="0"/>
    <n v="0"/>
    <n v="2121.7303547622382"/>
    <n v="8811.9635981672291"/>
    <b v="1"/>
    <n v="5212.7644082352008"/>
    <n v="0"/>
    <n v="5720.929544694267"/>
    <n v="0"/>
    <n v="10933.693952929469"/>
    <n v="147970"/>
    <n v="159143"/>
    <n v="221536"/>
    <n v="190075"/>
    <n v="219389"/>
    <n v="214847"/>
    <n v="212750"/>
    <n v="155658"/>
    <n v="147657"/>
    <n v="157409"/>
    <n v="135712"/>
    <n v="136153"/>
    <n v="2098299"/>
    <n v="3037.4685017513407"/>
    <n v="3266.8233410435469"/>
    <n v="4547.6016895585935"/>
    <n v="3901.7829659416511"/>
    <n v="4503.5289391817587"/>
    <n v="4410.2925944162353"/>
    <n v="4367.246223880501"/>
    <n v="3195.2846661188769"/>
    <n v="3031.0433639460548"/>
    <n v="3231.2284881541987"/>
    <n v="2785.8412199072645"/>
    <n v="2794.8938901057668"/>
    <n v="10851.893532353482"/>
    <n v="12815.604499539644"/>
    <n v="10593.574253945433"/>
    <n v="8811.9635981672291"/>
    <n v="20535.565507632004"/>
    <n v="0"/>
    <n v="22537.470376373782"/>
    <n v="0"/>
    <n v="43073.035884005789"/>
  </r>
  <r>
    <s v="AME25-044"/>
    <s v="R4"/>
    <s v="REC"/>
    <d v="2026-10-01T00:00:00"/>
    <d v="2027-09-01T00:00:00"/>
    <x v="2"/>
    <x v="2"/>
    <x v="27"/>
    <n v="9.7867680000000012E-3"/>
    <n v="0"/>
    <n v="1.0740828822000002E-2"/>
    <n v="0"/>
    <n v="2.0527596822000005E-2"/>
    <m/>
    <n v="0"/>
    <n v="0"/>
    <n v="0"/>
    <n v="0"/>
    <n v="0"/>
    <n v="0"/>
    <n v="0"/>
    <n v="0"/>
    <n v="0"/>
    <n v="229264.5"/>
    <n v="700065"/>
    <n v="590192"/>
    <n v="1519521.5"/>
    <n v="0"/>
    <n v="0"/>
    <n v="0"/>
    <n v="0"/>
    <n v="0"/>
    <n v="0"/>
    <n v="0"/>
    <n v="0"/>
    <n v="0"/>
    <n v="4706.2492215974198"/>
    <n v="14370.652069193433"/>
    <n v="12115.223423569827"/>
    <n v="0"/>
    <n v="0"/>
    <n v="0"/>
    <n v="31192.124714360682"/>
    <b v="1"/>
    <n v="14871.204391512001"/>
    <n v="0"/>
    <n v="16320.920322848677"/>
    <n v="0"/>
    <n v="31192.124714360678"/>
    <n v="1434320"/>
    <n v="1078022"/>
    <n v="1099126"/>
    <n v="997596"/>
    <n v="1113643"/>
    <n v="1116876"/>
    <n v="1007838"/>
    <n v="687710"/>
    <n v="954350"/>
    <n v="764215"/>
    <n v="700065"/>
    <n v="590192"/>
    <n v="11543953"/>
    <n v="29443.142673731047"/>
    <n v="22129.200981246089"/>
    <n v="22562.415384577576"/>
    <n v="20478.248479239915"/>
    <n v="22860.414507642552"/>
    <n v="22926.780228168078"/>
    <n v="20688.49212589084"/>
    <n v="14117.033610457624"/>
    <n v="19590.512027075703"/>
    <n v="15687.497405324733"/>
    <n v="14370.652069193433"/>
    <n v="12115.223423569827"/>
    <n v="74134.759039554716"/>
    <n v="66265.443215050545"/>
    <n v="54396.037763424167"/>
    <n v="42173.372898087997"/>
    <n v="112977.98981390402"/>
    <n v="0"/>
    <n v="123991.62310221339"/>
    <n v="0"/>
    <n v="236969.61291611742"/>
  </r>
  <r>
    <s v="AME25-044"/>
    <s v="R5"/>
    <s v="REC"/>
    <d v="2026-10-01T00:00:00"/>
    <d v="2027-09-01T00:00:00"/>
    <x v="2"/>
    <x v="2"/>
    <x v="27"/>
    <n v="9.7867680000000012E-3"/>
    <n v="0"/>
    <n v="1.0740828822000002E-2"/>
    <n v="0"/>
    <n v="2.0527596822000005E-2"/>
    <m/>
    <n v="0"/>
    <n v="0"/>
    <n v="0"/>
    <n v="0"/>
    <n v="0"/>
    <n v="0"/>
    <n v="0"/>
    <n v="0"/>
    <n v="0"/>
    <n v="229264.5"/>
    <n v="700065"/>
    <n v="590192"/>
    <n v="1519521.5"/>
    <n v="0"/>
    <n v="0"/>
    <n v="0"/>
    <n v="0"/>
    <n v="0"/>
    <n v="0"/>
    <n v="0"/>
    <n v="0"/>
    <n v="0"/>
    <n v="4706.2492215974198"/>
    <n v="14370.652069193433"/>
    <n v="12115.223423569827"/>
    <n v="0"/>
    <n v="0"/>
    <n v="0"/>
    <n v="31192.124714360682"/>
    <b v="1"/>
    <n v="14871.204391512001"/>
    <n v="0"/>
    <n v="16320.920322848677"/>
    <n v="0"/>
    <n v="31192.124714360678"/>
    <n v="1434320"/>
    <n v="1078022"/>
    <n v="1099126"/>
    <n v="997596"/>
    <n v="1113643"/>
    <n v="1116876"/>
    <n v="1007838"/>
    <n v="687710"/>
    <n v="954350"/>
    <n v="764215"/>
    <n v="700065"/>
    <n v="590192"/>
    <n v="11543953"/>
    <n v="29443.142673731047"/>
    <n v="22129.200981246089"/>
    <n v="22562.415384577576"/>
    <n v="20478.248479239915"/>
    <n v="22860.414507642552"/>
    <n v="22926.780228168078"/>
    <n v="20688.49212589084"/>
    <n v="14117.033610457624"/>
    <n v="19590.512027075703"/>
    <n v="15687.497405324733"/>
    <n v="14370.652069193433"/>
    <n v="12115.223423569827"/>
    <n v="74134.759039554716"/>
    <n v="66265.443215050545"/>
    <n v="54396.037763424167"/>
    <n v="42173.372898087997"/>
    <n v="112977.98981390402"/>
    <n v="0"/>
    <n v="123991.62310221339"/>
    <n v="0"/>
    <n v="236969.61291611742"/>
  </r>
  <r>
    <s v="AME25-094"/>
    <s v="R14"/>
    <s v="REC"/>
    <d v="2027-01-01T00:00:00"/>
    <d v="2027-12-01T00:00:00"/>
    <x v="2"/>
    <x v="2"/>
    <x v="28"/>
    <n v="9.7867680000000012E-3"/>
    <n v="0"/>
    <n v="1.0740828822000002E-2"/>
    <n v="0"/>
    <n v="2.0527596822000005E-2"/>
    <m/>
    <n v="0"/>
    <n v="0"/>
    <n v="0"/>
    <n v="0"/>
    <n v="0"/>
    <n v="0"/>
    <n v="0"/>
    <n v="0"/>
    <n v="0"/>
    <n v="0"/>
    <n v="0"/>
    <n v="0"/>
    <n v="0"/>
    <n v="0"/>
    <n v="0"/>
    <n v="0"/>
    <n v="0"/>
    <n v="0"/>
    <n v="0"/>
    <n v="0"/>
    <n v="0"/>
    <n v="0"/>
    <n v="0"/>
    <n v="0"/>
    <n v="0"/>
    <n v="0"/>
    <n v="0"/>
    <n v="0"/>
    <n v="0"/>
    <b v="1"/>
    <n v="0"/>
    <n v="0"/>
    <n v="0"/>
    <n v="0"/>
    <n v="0"/>
    <n v="185134"/>
    <n v="230396"/>
    <n v="268501"/>
    <n v="222965"/>
    <n v="269413"/>
    <n v="263175"/>
    <n v="263859"/>
    <n v="193052"/>
    <n v="179257"/>
    <n v="198248"/>
    <n v="170922"/>
    <n v="171478"/>
    <n v="2616400"/>
    <n v="3800.3561100441489"/>
    <n v="4729.4761974015128"/>
    <n v="5511.6802743038234"/>
    <n v="4576.9356254172308"/>
    <n v="5530.4014426054873"/>
    <n v="5402.350293629851"/>
    <n v="5416.3911698560996"/>
    <n v="3962.8936216807451"/>
    <n v="3679.7154235212547"/>
    <n v="4069.5550147678568"/>
    <n v="3508.617904009885"/>
    <n v="3520.0312478429169"/>
    <n v="14041.512581749485"/>
    <n v="15509.68736165257"/>
    <n v="13059.000215058099"/>
    <n v="11098.204166620659"/>
    <n v="25606.099795200003"/>
    <n v="0"/>
    <n v="28102.304529880807"/>
    <n v="0"/>
    <n v="53708.40432508081"/>
  </r>
  <r>
    <s v="AME25-094"/>
    <s v="R13"/>
    <s v="REC"/>
    <d v="2027-01-01T00:00:00"/>
    <d v="2027-12-01T00:00:00"/>
    <x v="2"/>
    <x v="2"/>
    <x v="28"/>
    <n v="5.1515176470588253E-3"/>
    <n v="0"/>
    <n v="1.0740828822000002E-2"/>
    <n v="0"/>
    <n v="1.5892346469058828E-2"/>
    <m/>
    <n v="0"/>
    <n v="0"/>
    <n v="0"/>
    <n v="0"/>
    <n v="0"/>
    <n v="0"/>
    <n v="0"/>
    <n v="0"/>
    <n v="0"/>
    <n v="0"/>
    <n v="0"/>
    <n v="0"/>
    <n v="0"/>
    <n v="0"/>
    <n v="0"/>
    <n v="0"/>
    <n v="0"/>
    <n v="0"/>
    <n v="0"/>
    <n v="0"/>
    <n v="0"/>
    <n v="0"/>
    <n v="0"/>
    <n v="0"/>
    <n v="0"/>
    <n v="0"/>
    <n v="0"/>
    <n v="0"/>
    <n v="0"/>
    <b v="1"/>
    <n v="0"/>
    <n v="0"/>
    <n v="0"/>
    <n v="0"/>
    <n v="0"/>
    <n v="185134"/>
    <n v="230396"/>
    <n v="268501"/>
    <n v="222965"/>
    <n v="269413"/>
    <n v="263175"/>
    <n v="263859"/>
    <n v="193052"/>
    <n v="179257"/>
    <n v="198248"/>
    <n v="170922"/>
    <n v="171478"/>
    <n v="2616400"/>
    <n v="2942.2136712027373"/>
    <n v="3661.533057085278"/>
    <n v="4267.1109192887643"/>
    <n v="3543.4370304737017"/>
    <n v="4281.6047392685459"/>
    <n v="4182.4682819945574"/>
    <n v="4193.3386469793932"/>
    <n v="3068.049270544745"/>
    <n v="2848.8143510040782"/>
    <n v="3150.6259027979745"/>
    <n v="2716.3516431844732"/>
    <n v="2725.1877878212699"/>
    <n v="10870.85764757678"/>
    <n v="12007.510051736805"/>
    <n v="10110.202268528217"/>
    <n v="8592.1653338037177"/>
    <n v="13478.43077176471"/>
    <n v="0"/>
    <n v="28102.304529880807"/>
    <n v="0"/>
    <n v="41580.735301645516"/>
  </r>
  <r>
    <s v="AME25-045"/>
    <s v="R55"/>
    <s v="REC"/>
    <d v="2026-11-01T00:00:00"/>
    <d v="2027-10-01T00:00:00"/>
    <x v="2"/>
    <x v="2"/>
    <x v="29"/>
    <n v="5.1515176470588253E-3"/>
    <n v="0"/>
    <n v="1.0740828822000002E-2"/>
    <n v="0"/>
    <n v="1.5892346469058828E-2"/>
    <m/>
    <n v="0"/>
    <n v="0"/>
    <n v="0"/>
    <n v="0"/>
    <n v="0"/>
    <n v="0"/>
    <n v="0"/>
    <n v="0"/>
    <n v="0"/>
    <n v="0"/>
    <n v="87805.5"/>
    <n v="293636"/>
    <n v="381441.5"/>
    <n v="0"/>
    <n v="0"/>
    <n v="0"/>
    <n v="0"/>
    <n v="0"/>
    <n v="0"/>
    <n v="0"/>
    <n v="0"/>
    <n v="0"/>
    <n v="0"/>
    <n v="1395.435427888945"/>
    <n v="4666.5650477885583"/>
    <n v="0"/>
    <n v="0"/>
    <n v="0"/>
    <n v="6062.0004756775033"/>
    <b v="1"/>
    <n v="1965.002618570589"/>
    <n v="0"/>
    <n v="4096.9978571069141"/>
    <n v="0"/>
    <n v="6062.0004756775033"/>
    <n v="335575"/>
    <n v="337974"/>
    <n v="430223"/>
    <n v="350908"/>
    <n v="405026"/>
    <n v="396641"/>
    <n v="346573"/>
    <n v="253570"/>
    <n v="240535"/>
    <n v="339478"/>
    <n v="292685"/>
    <n v="293636"/>
    <n v="4022824"/>
    <n v="5333.0741663544159"/>
    <n v="5371.1999055336883"/>
    <n v="6837.2529749578962"/>
    <n v="5576.7515147644954"/>
    <n v="6436.8135209770207"/>
    <n v="6303.5561958339631"/>
    <n v="5507.8581928211252"/>
    <n v="4029.8222941592471"/>
    <n v="3822.6655579350654"/>
    <n v="5395.1019946231527"/>
    <n v="4651.4514262964831"/>
    <n v="4666.5650477885583"/>
    <n v="17541.527046846"/>
    <n v="18317.121231575478"/>
    <n v="13360.346044915437"/>
    <n v="14713.118468708195"/>
    <n v="20723.648827011773"/>
    <n v="0"/>
    <n v="43208.463965033334"/>
    <n v="0"/>
    <n v="63932.112792045111"/>
  </r>
  <r>
    <s v="AME25-045"/>
    <s v="R56"/>
    <s v="REC"/>
    <d v="2026-11-01T00:00:00"/>
    <d v="2027-10-01T00:00:00"/>
    <x v="2"/>
    <x v="2"/>
    <x v="29"/>
    <n v="9.7867680000000012E-3"/>
    <n v="0"/>
    <n v="1.0740828822000002E-2"/>
    <n v="0"/>
    <n v="2.0527596822000005E-2"/>
    <m/>
    <n v="0"/>
    <n v="0"/>
    <n v="0"/>
    <n v="0"/>
    <n v="0"/>
    <n v="0"/>
    <n v="0"/>
    <n v="0"/>
    <n v="0"/>
    <n v="0"/>
    <n v="87805.5"/>
    <n v="293636"/>
    <n v="381441.5"/>
    <n v="0"/>
    <n v="0"/>
    <n v="0"/>
    <n v="0"/>
    <n v="0"/>
    <n v="0"/>
    <n v="0"/>
    <n v="0"/>
    <n v="0"/>
    <n v="0"/>
    <n v="1802.4359027541213"/>
    <n v="6027.6414204247931"/>
    <n v="0"/>
    <n v="0"/>
    <n v="0"/>
    <n v="7830.0773231789144"/>
    <b v="1"/>
    <n v="3733.0794660720003"/>
    <n v="0"/>
    <n v="4096.9978571069141"/>
    <n v="0"/>
    <n v="7830.0773231789144"/>
    <n v="335575"/>
    <n v="337974"/>
    <n v="430223"/>
    <n v="350908"/>
    <n v="405026"/>
    <n v="396641"/>
    <n v="346573"/>
    <n v="253570"/>
    <n v="240535"/>
    <n v="339478"/>
    <n v="292685"/>
    <n v="293636"/>
    <n v="4022824"/>
    <n v="6888.5483035426514"/>
    <n v="6937.7940083186295"/>
    <n v="8831.4442875513087"/>
    <n v="7203.2979456143776"/>
    <n v="8314.2104304273744"/>
    <n v="8142.0865310749041"/>
    <n v="7114.3108133910073"/>
    <n v="5205.1827261545413"/>
    <n v="4937.605501579771"/>
    <n v="6968.6675139389181"/>
    <n v="6008.1196758470714"/>
    <n v="6027.6414204247931"/>
    <n v="22657.78659941259"/>
    <n v="23659.594907116654"/>
    <n v="17257.099041125319"/>
    <n v="19004.428610210784"/>
    <n v="39370.445192832005"/>
    <n v="0"/>
    <n v="43208.463965033334"/>
    <n v="0"/>
    <n v="82578.909157865332"/>
  </r>
  <r>
    <s v="AME25-046"/>
    <s v="R89"/>
    <s v="REC"/>
    <d v="2026-11-01T00:00:00"/>
    <d v="2027-10-01T00:00:00"/>
    <x v="2"/>
    <x v="2"/>
    <x v="30"/>
    <n v="9.7867680000000012E-3"/>
    <n v="0"/>
    <n v="1.0740828822000002E-2"/>
    <n v="0"/>
    <n v="2.0527596822000005E-2"/>
    <m/>
    <n v="0"/>
    <n v="0"/>
    <n v="0"/>
    <n v="0"/>
    <n v="0"/>
    <n v="0"/>
    <n v="0"/>
    <n v="0"/>
    <n v="0"/>
    <n v="0"/>
    <n v="7165.5"/>
    <n v="23963"/>
    <n v="31128.5"/>
    <n v="0"/>
    <n v="0"/>
    <n v="0"/>
    <n v="0"/>
    <n v="0"/>
    <n v="0"/>
    <n v="0"/>
    <n v="0"/>
    <n v="0"/>
    <n v="0"/>
    <n v="147.09049502804103"/>
    <n v="491.90280264558612"/>
    <n v="0"/>
    <n v="0"/>
    <n v="0"/>
    <n v="638.99329767362713"/>
    <b v="1"/>
    <n v="304.64740768800004"/>
    <n v="0"/>
    <n v="334.34588998562708"/>
    <n v="0"/>
    <n v="638.99329767362713"/>
    <n v="179678"/>
    <n v="236254"/>
    <n v="134867"/>
    <n v="67750"/>
    <n v="78198"/>
    <n v="76580"/>
    <n v="41314"/>
    <n v="30227"/>
    <n v="28673"/>
    <n v="27704"/>
    <n v="23885"/>
    <n v="23963"/>
    <n v="949093"/>
    <n v="3688.3575417833167"/>
    <n v="4849.7268595847891"/>
    <n v="2768.4954005926747"/>
    <n v="1390.7446846905004"/>
    <n v="1605.2170162867565"/>
    <n v="1572.0033646287604"/>
    <n v="848.07713510410815"/>
    <n v="620.48766913859413"/>
    <n v="588.58778367720618"/>
    <n v="568.69654235668816"/>
    <n v="490.30165009347013"/>
    <n v="491.90280264558612"/>
    <n v="11306.579801960779"/>
    <n v="4567.9650656060176"/>
    <n v="2057.1525879199085"/>
    <n v="1550.9009950957443"/>
    <n v="9288.5530014240012"/>
    <n v="0"/>
    <n v="10194.045449158448"/>
    <n v="0"/>
    <n v="19482.598450582449"/>
  </r>
  <r>
    <s v="AME25-046"/>
    <s v="R90"/>
    <s v="REC"/>
    <d v="2026-11-01T00:00:00"/>
    <d v="2027-10-01T00:00:00"/>
    <x v="2"/>
    <x v="2"/>
    <x v="30"/>
    <n v="9.7867680000000012E-3"/>
    <n v="0"/>
    <n v="1.0740828822000002E-2"/>
    <n v="0"/>
    <n v="2.0527596822000005E-2"/>
    <m/>
    <n v="0"/>
    <n v="0"/>
    <n v="0"/>
    <n v="0"/>
    <n v="0"/>
    <n v="0"/>
    <n v="0"/>
    <n v="0"/>
    <n v="0"/>
    <n v="0"/>
    <n v="7165.5"/>
    <n v="23963"/>
    <n v="31128.5"/>
    <n v="0"/>
    <n v="0"/>
    <n v="0"/>
    <n v="0"/>
    <n v="0"/>
    <n v="0"/>
    <n v="0"/>
    <n v="0"/>
    <n v="0"/>
    <n v="0"/>
    <n v="147.09049502804103"/>
    <n v="491.90280264558612"/>
    <n v="0"/>
    <n v="0"/>
    <n v="0"/>
    <n v="638.99329767362713"/>
    <b v="1"/>
    <n v="304.64740768800004"/>
    <n v="0"/>
    <n v="334.34588998562708"/>
    <n v="0"/>
    <n v="638.99329767362713"/>
    <n v="179678"/>
    <n v="236254"/>
    <n v="134867"/>
    <n v="67750"/>
    <n v="78198"/>
    <n v="76580"/>
    <n v="41314"/>
    <n v="30227"/>
    <n v="28673"/>
    <n v="27704"/>
    <n v="23885"/>
    <n v="23963"/>
    <n v="949093"/>
    <n v="3688.3575417833167"/>
    <n v="4849.7268595847891"/>
    <n v="2768.4954005926747"/>
    <n v="1390.7446846905004"/>
    <n v="1605.2170162867565"/>
    <n v="1572.0033646287604"/>
    <n v="848.07713510410815"/>
    <n v="620.48766913859413"/>
    <n v="588.58778367720618"/>
    <n v="568.69654235668816"/>
    <n v="490.30165009347013"/>
    <n v="491.90280264558612"/>
    <n v="11306.579801960779"/>
    <n v="4567.9650656060176"/>
    <n v="2057.1525879199085"/>
    <n v="1550.9009950957443"/>
    <n v="9288.5530014240012"/>
    <n v="0"/>
    <n v="10194.045449158448"/>
    <n v="0"/>
    <n v="19482.598450582449"/>
  </r>
  <r>
    <s v="AME25-047"/>
    <s v="R68"/>
    <s v="REC"/>
    <d v="2026-03-01T00:00:00"/>
    <d v="2027-02-01T00:00:00"/>
    <x v="2"/>
    <x v="2"/>
    <x v="31"/>
    <n v="9.7867680000000012E-3"/>
    <n v="0"/>
    <n v="1.0740828822000002E-2"/>
    <n v="0"/>
    <n v="2.0527596822000005E-2"/>
    <m/>
    <n v="0"/>
    <n v="0"/>
    <n v="102642.3"/>
    <n v="354371"/>
    <n v="405156"/>
    <n v="366126"/>
    <n v="417726"/>
    <n v="329603"/>
    <n v="340790"/>
    <n v="318150"/>
    <n v="300655"/>
    <n v="267146"/>
    <n v="3202365.3"/>
    <n v="0"/>
    <n v="0"/>
    <n v="2106.9997512827713"/>
    <n v="7274.3850134089635"/>
    <n v="8316.8790180142332"/>
    <n v="7515.6869140515737"/>
    <n v="8574.9109100667738"/>
    <n v="6765.9574953216679"/>
    <n v="6995.5997209693815"/>
    <n v="6530.8549289193015"/>
    <n v="6171.7246225184117"/>
    <n v="5483.8653806100137"/>
    <n v="2106.9997512827713"/>
    <n v="23106.950945474771"/>
    <n v="22336.468126357824"/>
    <n v="18186.444932047729"/>
    <b v="1"/>
    <n v="31340.806242350402"/>
    <n v="0"/>
    <n v="34396.05751281268"/>
    <n v="0"/>
    <n v="65736.863755163082"/>
    <n v="388434"/>
    <n v="251443"/>
    <n v="342141"/>
    <n v="354371"/>
    <n v="405156"/>
    <n v="366126"/>
    <n v="417726"/>
    <n v="329603"/>
    <n v="340790"/>
    <n v="318150"/>
    <n v="300655"/>
    <n v="267146"/>
    <n v="4081741"/>
    <n v="7973.6165439567503"/>
    <n v="5161.5205277141476"/>
    <n v="7023.3325042759034"/>
    <n v="7274.3850134089635"/>
    <n v="8316.8790180142332"/>
    <n v="7515.6869140515737"/>
    <n v="8574.9109100667738"/>
    <n v="6765.9574953216679"/>
    <n v="6995.5997209693815"/>
    <n v="6530.8549289193015"/>
    <n v="6171.7246225184117"/>
    <n v="5483.8653806100137"/>
    <n v="20158.469575946801"/>
    <n v="23106.950945474771"/>
    <n v="22336.468126357824"/>
    <n v="18186.444932047729"/>
    <n v="39947.052203088002"/>
    <n v="0"/>
    <n v="43841.281376739113"/>
    <n v="0"/>
    <n v="83788.333579827115"/>
  </r>
  <r>
    <s v="AME25-047"/>
    <s v="R69"/>
    <s v="REC"/>
    <d v="2026-03-01T00:00:00"/>
    <d v="2027-02-01T00:00:00"/>
    <x v="2"/>
    <x v="2"/>
    <x v="31"/>
    <n v="9.7799840000000002E-3"/>
    <n v="0"/>
    <n v="1.3071317186230006E-2"/>
    <n v="0"/>
    <n v="2.2851301186230008E-2"/>
    <m/>
    <n v="0"/>
    <n v="0"/>
    <n v="102642.3"/>
    <n v="354371"/>
    <n v="405156"/>
    <n v="366126"/>
    <n v="417726"/>
    <n v="329603"/>
    <n v="340790"/>
    <n v="318150"/>
    <n v="300655"/>
    <n v="267146"/>
    <n v="3202365.3"/>
    <n v="0"/>
    <n v="0"/>
    <n v="2345.5101117473764"/>
    <n v="8097.8384526655145"/>
    <n v="9258.3417834082047"/>
    <n v="8366.455498109648"/>
    <n v="9545.5826393191164"/>
    <n v="7531.8574248849691"/>
    <n v="7787.4949312553244"/>
    <n v="7270.1414723990774"/>
    <n v="6870.3579581459835"/>
    <n v="6104.6337066966016"/>
    <n v="2345.5101117473764"/>
    <n v="25722.635734183368"/>
    <n v="24864.934995459411"/>
    <n v="20245.133137241661"/>
    <b v="1"/>
    <n v="31319.081396155198"/>
    <n v="0"/>
    <n v="41859.13258247661"/>
    <n v="0"/>
    <n v="73178.2139786318"/>
    <n v="388434"/>
    <n v="251443"/>
    <n v="342141"/>
    <n v="354371"/>
    <n v="405156"/>
    <n v="366126"/>
    <n v="417726"/>
    <n v="329603"/>
    <n v="340790"/>
    <n v="318150"/>
    <n v="300655"/>
    <n v="267146"/>
    <n v="4081741"/>
    <n v="8876.2223249720664"/>
    <n v="5745.7997241692319"/>
    <n v="7818.3670391579208"/>
    <n v="8097.8384526655145"/>
    <n v="9258.3417834082047"/>
    <n v="8366.455498109648"/>
    <n v="9545.5826393191164"/>
    <n v="7531.8574248849691"/>
    <n v="7787.4949312553244"/>
    <n v="7270.1414723990774"/>
    <n v="6870.3579581459835"/>
    <n v="6104.6337066966016"/>
    <n v="22440.38908829922"/>
    <n v="25722.635734183368"/>
    <n v="24864.934995459411"/>
    <n v="20245.133137241661"/>
    <n v="39919.361672143998"/>
    <n v="0"/>
    <n v="53353.731283039648"/>
    <n v="0"/>
    <n v="93273.092955183645"/>
  </r>
  <r>
    <s v="AME25-048"/>
    <s v="R81"/>
    <s v="REC"/>
    <d v="2026-04-01T00:00:00"/>
    <d v="2027-03-01T00:00:00"/>
    <x v="2"/>
    <x v="2"/>
    <x v="32"/>
    <n v="9.7799840000000002E-3"/>
    <n v="0"/>
    <n v="1.3071317186230006E-2"/>
    <n v="0"/>
    <n v="2.2851301186230008E-2"/>
    <m/>
    <n v="0"/>
    <n v="0"/>
    <n v="0"/>
    <n v="81400.5"/>
    <n v="161181"/>
    <n v="0"/>
    <n v="309606"/>
    <n v="241230"/>
    <n v="234130"/>
    <n v="208152"/>
    <n v="230519"/>
    <n v="178094"/>
    <n v="1644312.5"/>
    <n v="0"/>
    <n v="0"/>
    <n v="0"/>
    <n v="1860.1073422097159"/>
    <n v="3683.1955764977388"/>
    <n v="0"/>
    <n v="7074.8999550639282"/>
    <n v="5512.419385154265"/>
    <n v="5350.1751467320319"/>
    <n v="4756.5440445161485"/>
    <n v="5267.6590981485551"/>
    <n v="4069.6796334604469"/>
    <n v="0"/>
    <n v="5543.3029187074544"/>
    <n v="17937.494486950225"/>
    <n v="14093.882776125152"/>
    <b v="1"/>
    <n v="16081.349941"/>
    <n v="0"/>
    <n v="21493.330240782827"/>
    <n v="0"/>
    <n v="37574.680181782824"/>
    <n v="324387"/>
    <n v="290516"/>
    <n v="0"/>
    <n v="271335"/>
    <n v="161181"/>
    <n v="0"/>
    <n v="309606"/>
    <n v="241230"/>
    <n v="234130"/>
    <n v="208152"/>
    <n v="230519"/>
    <n v="178094"/>
    <n v="2449150"/>
    <n v="7412.6650378975937"/>
    <n v="6638.6686154187973"/>
    <n v="0"/>
    <n v="6200.3578073657191"/>
    <n v="3683.1955764977388"/>
    <n v="0"/>
    <n v="7074.8999550639282"/>
    <n v="5512.419385154265"/>
    <n v="5350.1751467320319"/>
    <n v="4756.5440445161485"/>
    <n v="5267.6590981485551"/>
    <n v="4069.6796334604469"/>
    <n v="14051.333653316391"/>
    <n v="9883.5533838634583"/>
    <n v="17937.494486950225"/>
    <n v="14093.882776125152"/>
    <n v="23952.647813600001"/>
    <n v="0"/>
    <n v="32013.616486655221"/>
    <n v="0"/>
    <n v="55966.264300255221"/>
  </r>
  <r>
    <s v="AME25-050"/>
    <s v="R23"/>
    <s v="REC"/>
    <d v="2026-04-01T00:00:00"/>
    <d v="2027-03-01T00:00:00"/>
    <x v="2"/>
    <x v="2"/>
    <x v="33"/>
    <n v="1.8376159999999989E-3"/>
    <n v="0"/>
    <n v="-7.202972883000092E-5"/>
    <n v="0"/>
    <n v="1.7655862711699981E-3"/>
    <m/>
    <n v="0"/>
    <n v="0"/>
    <n v="0"/>
    <n v="30627"/>
    <n v="125834"/>
    <n v="111253"/>
    <n v="107294"/>
    <n v="83598"/>
    <n v="89239"/>
    <n v="131136"/>
    <n v="145227"/>
    <n v="112199"/>
    <n v="936407"/>
    <n v="0"/>
    <n v="0"/>
    <n v="0"/>
    <n v="54.074610727123535"/>
    <n v="222.17078284640553"/>
    <n v="196.4267694264758"/>
    <n v="189.43681337891377"/>
    <n v="147.59948109726949"/>
    <n v="157.55915325293947"/>
    <n v="231.53192125614888"/>
    <n v="256.41079740320532"/>
    <n v="198.09701403900263"/>
    <n v="0"/>
    <n v="472.67216300000484"/>
    <n v="494.59544772912272"/>
    <n v="686.03973269835683"/>
    <b v="1"/>
    <n v="1720.7564857119989"/>
    <n v="0"/>
    <n v="-67.449142284514664"/>
    <n v="0"/>
    <n v="1653.3073434274843"/>
    <n v="37986"/>
    <n v="48894"/>
    <n v="62463"/>
    <n v="102090"/>
    <n v="125834"/>
    <n v="111253"/>
    <n v="107294"/>
    <n v="83598"/>
    <n v="89239"/>
    <n v="131136"/>
    <n v="145227"/>
    <n v="112199"/>
    <n v="1157213"/>
    <n v="67.067560096663541"/>
    <n v="86.326575142585881"/>
    <n v="110.28381525609159"/>
    <n v="180.2487024237451"/>
    <n v="222.17078284640553"/>
    <n v="196.4267694264758"/>
    <n v="189.43681337891377"/>
    <n v="147.59948109726949"/>
    <n v="157.55915325293947"/>
    <n v="231.53192125614888"/>
    <n v="256.41079740320532"/>
    <n v="198.09701403900263"/>
    <n v="263.67795049534101"/>
    <n v="598.84625469662637"/>
    <n v="494.59544772912272"/>
    <n v="686.03973269835683"/>
    <n v="2126.5131242079988"/>
    <n v="0"/>
    <n v="-83.353738588551849"/>
    <n v="0"/>
    <n v="2043.159385619447"/>
  </r>
  <r>
    <s v="AME25-051"/>
    <s v="R53"/>
    <s v="REC"/>
    <d v="2026-04-01T00:00:00"/>
    <d v="2027-03-01T00:00:00"/>
    <x v="2"/>
    <x v="2"/>
    <x v="34"/>
    <n v="1.8376159999999989E-3"/>
    <n v="0"/>
    <n v="3.2731530485999294E-4"/>
    <n v="0"/>
    <n v="2.164931304859992E-3"/>
    <m/>
    <n v="0"/>
    <n v="0"/>
    <n v="0"/>
    <n v="96459.599999999991"/>
    <n v="377165"/>
    <n v="454259"/>
    <n v="349854"/>
    <n v="291888"/>
    <n v="360560"/>
    <n v="259150"/>
    <n v="290454"/>
    <n v="231522"/>
    <n v="2711311.6"/>
    <n v="0"/>
    <n v="0"/>
    <n v="0"/>
    <n v="208.82840769427287"/>
    <n v="816.53631559751886"/>
    <n v="983.43952961439516"/>
    <n v="757.40987673048767"/>
    <n v="631.91746871297335"/>
    <n v="780.58763128031876"/>
    <n v="561.04194765446698"/>
    <n v="628.81295722180414"/>
    <n v="501.22922556379507"/>
    <n v="0"/>
    <n v="2008.8042529061868"/>
    <n v="2169.91497672378"/>
    <n v="1691.0841304400662"/>
    <b v="1"/>
    <n v="4982.3495771455973"/>
    <n v="0"/>
    <n v="887.45378292443525"/>
    <n v="0"/>
    <n v="5869.8033600700328"/>
    <n v="437923"/>
    <n v="334093"/>
    <n v="495989"/>
    <n v="321532"/>
    <n v="377165"/>
    <n v="454259"/>
    <n v="349854"/>
    <n v="291888"/>
    <n v="360560"/>
    <n v="259150"/>
    <n v="290454"/>
    <n v="231522"/>
    <n v="4204389"/>
    <n v="948.07321181820225"/>
    <n v="723.28839443458935"/>
    <n v="1073.7821129662025"/>
    <n v="696.09469231424293"/>
    <n v="816.53631559751886"/>
    <n v="983.43952961439516"/>
    <n v="757.40987673048767"/>
    <n v="631.91746871297335"/>
    <n v="780.58763128031876"/>
    <n v="561.04194765446698"/>
    <n v="628.81295722180414"/>
    <n v="501.22922556379507"/>
    <n v="2745.1437192189942"/>
    <n v="2496.0705375261568"/>
    <n v="2169.91497672378"/>
    <n v="1691.0841304400662"/>
    <n v="7726.0524966239955"/>
    <n v="0"/>
    <n v="1376.1608672850009"/>
    <n v="0"/>
    <n v="9102.2133639089971"/>
  </r>
  <r>
    <s v="AME25-052"/>
    <s v="R182"/>
    <s v="REC"/>
    <d v="2026-10-01T00:00:00"/>
    <d v="2027-09-01T00:00:00"/>
    <x v="2"/>
    <x v="2"/>
    <x v="35"/>
    <n v="1.8376159999999989E-3"/>
    <n v="0"/>
    <n v="3.2731530485999294E-4"/>
    <n v="0"/>
    <n v="2.164931304859992E-3"/>
    <m/>
    <n v="0"/>
    <n v="0"/>
    <n v="0"/>
    <n v="0"/>
    <n v="0"/>
    <n v="0"/>
    <n v="0"/>
    <n v="0"/>
    <n v="0"/>
    <n v="0"/>
    <n v="0"/>
    <n v="0"/>
    <n v="0"/>
    <n v="0"/>
    <n v="0"/>
    <n v="0"/>
    <n v="0"/>
    <n v="0"/>
    <n v="0"/>
    <n v="0"/>
    <n v="0"/>
    <n v="0"/>
    <n v="0"/>
    <n v="0"/>
    <n v="0"/>
    <n v="0"/>
    <n v="0"/>
    <n v="0"/>
    <n v="0"/>
    <b v="1"/>
    <n v="0"/>
    <n v="0"/>
    <n v="0"/>
    <n v="0"/>
    <n v="0"/>
    <n v="0"/>
    <n v="0"/>
    <n v="0"/>
    <n v="0"/>
    <n v="0"/>
    <n v="0"/>
    <n v="0"/>
    <n v="0"/>
    <n v="0"/>
    <n v="0"/>
    <n v="0"/>
    <n v="0"/>
    <n v="0"/>
    <n v="0"/>
    <n v="0"/>
    <n v="0"/>
    <n v="0"/>
    <n v="0"/>
    <n v="0"/>
    <n v="0"/>
    <n v="0"/>
    <n v="0"/>
    <n v="0"/>
    <n v="0"/>
    <n v="0"/>
    <n v="0"/>
    <n v="0"/>
    <n v="0"/>
    <n v="0"/>
    <n v="0"/>
    <n v="0"/>
    <n v="0"/>
    <n v="0"/>
    <n v="0"/>
  </r>
  <r>
    <s v="AME25-052"/>
    <s v="R183"/>
    <s v="REC"/>
    <d v="2026-10-01T00:00:00"/>
    <d v="2027-09-01T00:00:00"/>
    <x v="2"/>
    <x v="2"/>
    <x v="35"/>
    <n v="8.9854079999999985E-3"/>
    <n v="0"/>
    <n v="0"/>
    <n v="0"/>
    <n v="8.9854079999999985E-3"/>
    <m/>
    <n v="0"/>
    <n v="0"/>
    <n v="0"/>
    <n v="0"/>
    <n v="0"/>
    <n v="0"/>
    <n v="0"/>
    <n v="0"/>
    <n v="0"/>
    <n v="0"/>
    <n v="0"/>
    <n v="0"/>
    <n v="0"/>
    <n v="0"/>
    <n v="0"/>
    <n v="0"/>
    <n v="0"/>
    <n v="0"/>
    <n v="0"/>
    <n v="0"/>
    <n v="0"/>
    <n v="0"/>
    <n v="0"/>
    <n v="0"/>
    <n v="0"/>
    <n v="0"/>
    <n v="0"/>
    <n v="0"/>
    <n v="0"/>
    <b v="1"/>
    <n v="0"/>
    <n v="0"/>
    <n v="0"/>
    <n v="0"/>
    <n v="0"/>
    <n v="0"/>
    <n v="0"/>
    <n v="0"/>
    <n v="0"/>
    <n v="0"/>
    <n v="0"/>
    <n v="0"/>
    <n v="0"/>
    <n v="0"/>
    <n v="0"/>
    <n v="0"/>
    <n v="0"/>
    <n v="0"/>
    <n v="0"/>
    <n v="0"/>
    <n v="0"/>
    <n v="0"/>
    <n v="0"/>
    <n v="0"/>
    <n v="0"/>
    <n v="0"/>
    <n v="0"/>
    <n v="0"/>
    <n v="0"/>
    <n v="0"/>
    <n v="0"/>
    <n v="0"/>
    <n v="0"/>
    <n v="0"/>
    <n v="0"/>
    <n v="0"/>
    <n v="0"/>
    <n v="0"/>
    <n v="0"/>
  </r>
  <r>
    <s v="AME25-053"/>
    <s v="R150"/>
    <s v="REC"/>
    <d v="2026-11-01T00:00:00"/>
    <d v="2027-10-01T00:00:00"/>
    <x v="2"/>
    <x v="2"/>
    <x v="36"/>
    <n v="8.9854079999999985E-3"/>
    <n v="0"/>
    <n v="0"/>
    <n v="0"/>
    <n v="8.9854079999999985E-3"/>
    <m/>
    <n v="0"/>
    <n v="0"/>
    <n v="0"/>
    <n v="0"/>
    <n v="0"/>
    <n v="0"/>
    <n v="0"/>
    <n v="0"/>
    <n v="0"/>
    <n v="0"/>
    <n v="6564.9"/>
    <n v="13859"/>
    <n v="20423.900000000001"/>
    <n v="0"/>
    <n v="0"/>
    <n v="0"/>
    <n v="0"/>
    <n v="0"/>
    <n v="0"/>
    <n v="0"/>
    <n v="0"/>
    <n v="0"/>
    <n v="0"/>
    <n v="58.988304979199988"/>
    <n v="124.52876947199998"/>
    <n v="0"/>
    <n v="0"/>
    <n v="0"/>
    <n v="183.51707445119996"/>
    <b v="1"/>
    <n v="183.51707445119999"/>
    <n v="0"/>
    <n v="0"/>
    <n v="0"/>
    <n v="183.51707445119999"/>
    <n v="34275"/>
    <n v="35147"/>
    <n v="163306"/>
    <n v="56425"/>
    <n v="64357"/>
    <n v="61804"/>
    <n v="67857"/>
    <n v="57021"/>
    <n v="27952"/>
    <n v="27430"/>
    <n v="21883"/>
    <n v="13859"/>
    <n v="631316"/>
    <n v="307.97485919999997"/>
    <n v="315.81013497599997"/>
    <n v="1467.3710388479997"/>
    <n v="507.00164639999991"/>
    <n v="578.2739026559999"/>
    <n v="555.3341560319999"/>
    <n v="609.72283065599993"/>
    <n v="512.35694956799989"/>
    <n v="251.16012441599995"/>
    <n v="246.46974143999995"/>
    <n v="196.62768326399996"/>
    <n v="124.52876947199998"/>
    <n v="2091.1560330239995"/>
    <n v="1640.6097050879998"/>
    <n v="1373.2399046399998"/>
    <n v="567.6261941759999"/>
    <n v="5672.6318369279988"/>
    <n v="0"/>
    <n v="0"/>
    <n v="0"/>
    <n v="5672.6318369279988"/>
  </r>
  <r>
    <s v="AME25-053"/>
    <s v="R151"/>
    <s v="REC"/>
    <d v="2026-11-01T00:00:00"/>
    <d v="2027-10-01T00:00:00"/>
    <x v="2"/>
    <x v="2"/>
    <x v="36"/>
    <n v="8.9854079999999985E-3"/>
    <n v="0"/>
    <n v="0"/>
    <n v="0"/>
    <n v="8.9854079999999985E-3"/>
    <m/>
    <n v="0"/>
    <n v="0"/>
    <n v="0"/>
    <n v="0"/>
    <n v="0"/>
    <n v="0"/>
    <n v="0"/>
    <n v="0"/>
    <n v="0"/>
    <n v="0"/>
    <n v="6564.9"/>
    <n v="13859"/>
    <n v="20423.900000000001"/>
    <n v="0"/>
    <n v="0"/>
    <n v="0"/>
    <n v="0"/>
    <n v="0"/>
    <n v="0"/>
    <n v="0"/>
    <n v="0"/>
    <n v="0"/>
    <n v="0"/>
    <n v="58.988304979199988"/>
    <n v="124.52876947199998"/>
    <n v="0"/>
    <n v="0"/>
    <n v="0"/>
    <n v="183.51707445119996"/>
    <b v="1"/>
    <n v="183.51707445119999"/>
    <n v="0"/>
    <n v="0"/>
    <n v="0"/>
    <n v="183.51707445119999"/>
    <n v="34275"/>
    <n v="35147"/>
    <n v="163306"/>
    <n v="56425"/>
    <n v="64357"/>
    <n v="61804"/>
    <n v="67857"/>
    <n v="57021"/>
    <n v="27952"/>
    <n v="27430"/>
    <n v="21883"/>
    <n v="13859"/>
    <n v="631316"/>
    <n v="307.97485919999997"/>
    <n v="315.81013497599997"/>
    <n v="1467.3710388479997"/>
    <n v="507.00164639999991"/>
    <n v="578.2739026559999"/>
    <n v="555.3341560319999"/>
    <n v="609.72283065599993"/>
    <n v="512.35694956799989"/>
    <n v="251.16012441599995"/>
    <n v="246.46974143999995"/>
    <n v="196.62768326399996"/>
    <n v="124.52876947199998"/>
    <n v="2091.1560330239995"/>
    <n v="1640.6097050879998"/>
    <n v="1373.2399046399998"/>
    <n v="567.6261941759999"/>
    <n v="5672.6318369279988"/>
    <n v="0"/>
    <n v="0"/>
    <n v="0"/>
    <n v="5672.6318369279988"/>
  </r>
  <r>
    <s v="AME25-058"/>
    <s v="R52"/>
    <s v="REC"/>
    <d v="2026-08-01T00:00:00"/>
    <d v="2027-07-01T00:00:00"/>
    <x v="1"/>
    <x v="2"/>
    <x v="37"/>
    <n v="8.9854079999999985E-3"/>
    <n v="0"/>
    <n v="0"/>
    <n v="0"/>
    <n v="8.9854079999999985E-3"/>
    <m/>
    <n v="0"/>
    <n v="0"/>
    <n v="0"/>
    <n v="0"/>
    <n v="0"/>
    <n v="0"/>
    <n v="0"/>
    <n v="160212"/>
    <n v="637583"/>
    <n v="584430"/>
    <n v="459465"/>
    <n v="454091"/>
    <n v="2295781"/>
    <n v="0"/>
    <n v="0"/>
    <n v="0"/>
    <n v="0"/>
    <n v="0"/>
    <n v="0"/>
    <n v="0"/>
    <n v="1439.5701864959997"/>
    <n v="5728.9433888639987"/>
    <n v="5251.3419974399994"/>
    <n v="4128.4804867199991"/>
    <n v="4080.1929041279996"/>
    <n v="0"/>
    <n v="0"/>
    <n v="7168.5135753599989"/>
    <n v="13460.015388287999"/>
    <b v="1"/>
    <n v="20628.528963647997"/>
    <n v="0"/>
    <n v="0"/>
    <n v="0"/>
    <n v="20628.528963647997"/>
    <n v="632256"/>
    <n v="734887"/>
    <n v="743478"/>
    <n v="625525"/>
    <n v="713514"/>
    <n v="727708"/>
    <n v="691684"/>
    <n v="534040"/>
    <n v="637583"/>
    <n v="584430"/>
    <n v="459465"/>
    <n v="454091"/>
    <n v="7538661"/>
    <n v="5681.078120447999"/>
    <n v="6603.2595288959992"/>
    <n v="6680.4531690239992"/>
    <n v="5620.5973391999987"/>
    <n v="6411.2144037119988"/>
    <n v="6538.7532848639994"/>
    <n v="6215.0629470719987"/>
    <n v="4798.5672883199995"/>
    <n v="5728.9433888639987"/>
    <n v="5251.3419974399994"/>
    <n v="4128.4804867199991"/>
    <n v="4080.1929041279996"/>
    <n v="18964.790818367997"/>
    <n v="18570.565027775996"/>
    <n v="16742.573624255998"/>
    <n v="13460.015388287999"/>
    <n v="67737.944858687988"/>
    <n v="0"/>
    <n v="0"/>
    <n v="0"/>
    <n v="67737.944858687988"/>
  </r>
  <r>
    <s v="AME25-059"/>
    <s v="R68"/>
    <s v="REC"/>
    <d v="2026-03-01T00:00:00"/>
    <d v="2027-02-01T00:00:00"/>
    <x v="1"/>
    <x v="2"/>
    <x v="38"/>
    <n v="0"/>
    <n v="0"/>
    <n v="3.6873452453199985E-2"/>
    <n v="0"/>
    <n v="3.6873452453199985E-2"/>
    <m/>
    <n v="0"/>
    <n v="0"/>
    <n v="102642.3"/>
    <n v="354371"/>
    <n v="405156"/>
    <n v="366126"/>
    <n v="417726"/>
    <n v="329603"/>
    <n v="340790"/>
    <n v="318150"/>
    <n v="300655"/>
    <n v="267146"/>
    <n v="3202365.3"/>
    <n v="0"/>
    <n v="0"/>
    <n v="3784.775968737089"/>
    <n v="13066.882219292933"/>
    <n v="14939.500502128692"/>
    <n v="13500.329652880298"/>
    <n v="15402.999799465417"/>
    <n v="12153.600548932074"/>
    <n v="12566.103861526022"/>
    <n v="11731.288897985576"/>
    <n v="11086.187847316842"/>
    <n v="9850.5953290625639"/>
    <n v="3784.775968737089"/>
    <n v="41506.712374301926"/>
    <n v="40122.704209923511"/>
    <n v="32668.07207436498"/>
    <b v="1"/>
    <n v="0"/>
    <n v="0"/>
    <n v="118082.2646273275"/>
    <n v="0"/>
    <n v="118082.2646273275"/>
    <n v="388434"/>
    <n v="251443"/>
    <n v="342141"/>
    <n v="354371"/>
    <n v="405156"/>
    <n v="366126"/>
    <n v="417726"/>
    <n v="329603"/>
    <n v="340790"/>
    <n v="318150"/>
    <n v="300655"/>
    <n v="267146"/>
    <n v="4081741"/>
    <n v="14322.902630206283"/>
    <n v="9271.5715051899642"/>
    <n v="12615.919895790295"/>
    <n v="13066.882219292933"/>
    <n v="14939.500502128692"/>
    <n v="13500.329652880298"/>
    <n v="15402.999799465417"/>
    <n v="12153.600548932074"/>
    <n v="12566.103861526022"/>
    <n v="11731.288897985576"/>
    <n v="11086.187847316842"/>
    <n v="9850.5953290625639"/>
    <n v="36210.394031186544"/>
    <n v="41506.712374301926"/>
    <n v="40122.704209923511"/>
    <n v="32668.07207436498"/>
    <n v="0"/>
    <n v="0"/>
    <n v="150507.88268977698"/>
    <n v="0"/>
    <n v="150507.88268977698"/>
  </r>
  <r>
    <s v="AME25-059"/>
    <s v="R69"/>
    <s v="REC"/>
    <d v="2026-03-01T00:00:00"/>
    <d v="2027-02-01T00:00:00"/>
    <x v="1"/>
    <x v="2"/>
    <x v="38"/>
    <n v="0"/>
    <n v="0"/>
    <n v="1.700147638331E-2"/>
    <n v="0"/>
    <n v="1.700147638331E-2"/>
    <m/>
    <n v="0"/>
    <n v="0"/>
    <n v="102642.3"/>
    <n v="354371"/>
    <n v="405156"/>
    <n v="366126"/>
    <n v="417726"/>
    <n v="329603"/>
    <n v="340790"/>
    <n v="318150"/>
    <n v="300655"/>
    <n v="267146"/>
    <n v="3202365.3"/>
    <n v="0"/>
    <n v="0"/>
    <n v="1745.0706393786199"/>
    <n v="6024.8301874299477"/>
    <n v="6888.2501655563465"/>
    <n v="6224.682542315757"/>
    <n v="7101.9587236945526"/>
    <n v="5603.737620368126"/>
    <n v="5793.9331366682145"/>
    <n v="5409.0197113500762"/>
    <n v="5111.5788820240678"/>
    <n v="4541.8764098957336"/>
    <n v="1745.0706393786199"/>
    <n v="19137.76289530205"/>
    <n v="18499.629480730895"/>
    <n v="15062.475003269876"/>
    <b v="1"/>
    <n v="0"/>
    <n v="0"/>
    <n v="54444.938018681438"/>
    <n v="0"/>
    <n v="54444.938018681438"/>
    <n v="388434"/>
    <n v="251443"/>
    <n v="342141"/>
    <n v="354371"/>
    <n v="405156"/>
    <n v="366126"/>
    <n v="417726"/>
    <n v="329603"/>
    <n v="340790"/>
    <n v="318150"/>
    <n v="300655"/>
    <n v="267146"/>
    <n v="4081741"/>
    <n v="6603.9514774746367"/>
    <n v="4274.902226248616"/>
    <n v="5816.9021312620671"/>
    <n v="6024.8301874299477"/>
    <n v="6888.2501655563465"/>
    <n v="6224.682542315757"/>
    <n v="7101.9587236945526"/>
    <n v="5603.737620368126"/>
    <n v="5793.9331366682145"/>
    <n v="5409.0197113500762"/>
    <n v="5111.5788820240678"/>
    <n v="4541.8764098957336"/>
    <n v="16695.755834985321"/>
    <n v="19137.76289530205"/>
    <n v="18499.629480730895"/>
    <n v="15062.475003269876"/>
    <n v="0"/>
    <n v="0"/>
    <n v="69395.623214288149"/>
    <n v="0"/>
    <n v="69395.623214288149"/>
  </r>
  <r>
    <s v="AME25-060"/>
    <s v="R194"/>
    <s v="REC"/>
    <d v="2025-10-01T00:00:00"/>
    <d v="2026-09-01T00:00:00"/>
    <x v="3"/>
    <x v="0"/>
    <x v="39"/>
    <n v="0"/>
    <n v="0"/>
    <n v="1.700147638331E-2"/>
    <n v="0"/>
    <n v="1.700147638331E-2"/>
    <m/>
    <n v="0"/>
    <n v="0"/>
    <n v="0"/>
    <n v="0"/>
    <n v="0"/>
    <n v="0"/>
    <n v="0"/>
    <n v="0"/>
    <n v="0"/>
    <n v="0"/>
    <n v="0"/>
    <n v="0"/>
    <n v="0"/>
    <n v="0"/>
    <n v="0"/>
    <n v="0"/>
    <n v="0"/>
    <n v="0"/>
    <n v="0"/>
    <n v="0"/>
    <n v="0"/>
    <n v="0"/>
    <n v="0"/>
    <n v="0"/>
    <n v="0"/>
    <n v="0"/>
    <n v="0"/>
    <n v="0"/>
    <n v="0"/>
    <b v="1"/>
    <n v="0"/>
    <n v="0"/>
    <n v="0"/>
    <n v="0"/>
    <n v="0"/>
    <n v="0"/>
    <n v="0"/>
    <n v="0"/>
    <n v="0"/>
    <n v="0"/>
    <n v="0"/>
    <n v="0"/>
    <n v="0"/>
    <n v="0"/>
    <n v="0"/>
    <n v="0"/>
    <n v="0"/>
    <n v="0"/>
    <n v="0"/>
    <n v="0"/>
    <n v="0"/>
    <n v="0"/>
    <n v="0"/>
    <n v="0"/>
    <n v="0"/>
    <n v="0"/>
    <n v="0"/>
    <n v="0"/>
    <n v="0"/>
    <n v="0"/>
    <n v="0"/>
    <n v="0"/>
    <n v="0"/>
    <n v="0"/>
    <n v="0"/>
    <n v="0"/>
    <n v="0"/>
    <n v="0"/>
    <n v="0"/>
  </r>
  <r>
    <s v="AME25-061"/>
    <s v="R68"/>
    <s v="REC"/>
    <d v="2025-11-01T00:00:00"/>
    <d v="2026-10-01T00:00:00"/>
    <x v="3"/>
    <x v="0"/>
    <x v="40"/>
    <n v="1.6649663994818234E-3"/>
    <n v="0.02"/>
    <n v="0"/>
    <n v="0"/>
    <n v="2.1664966399481823E-2"/>
    <m/>
    <n v="388434"/>
    <n v="251443"/>
    <n v="342141"/>
    <n v="354371"/>
    <n v="405156"/>
    <n v="366126"/>
    <n v="417726"/>
    <n v="329603"/>
    <n v="340790"/>
    <n v="318150"/>
    <n v="0"/>
    <n v="0"/>
    <n v="3513940"/>
    <n v="8415.4095584163224"/>
    <n v="5447.5041463849084"/>
    <n v="7412.4732688851109"/>
    <n v="7677.4358079507729"/>
    <n v="8777.6911265484578"/>
    <n v="7932.107487976682"/>
    <n v="9050.0197541899433"/>
    <n v="7140.8379201684074"/>
    <n v="7383.2038992794105"/>
    <n v="6892.7090599951425"/>
    <n v="0"/>
    <n v="0"/>
    <n v="21275.386973686342"/>
    <n v="24387.234422475914"/>
    <n v="23574.061573637762"/>
    <n v="6892.7090599951425"/>
    <b v="1"/>
    <n v="5850.5920297951589"/>
    <n v="70278.8"/>
    <n v="0"/>
    <n v="0"/>
    <n v="76129.392029795155"/>
    <n v="388434"/>
    <n v="251443"/>
    <n v="342141"/>
    <n v="354371"/>
    <n v="405156"/>
    <n v="366126"/>
    <n v="417726"/>
    <n v="329603"/>
    <n v="340790"/>
    <n v="318150"/>
    <n v="300655"/>
    <n v="267146"/>
    <n v="4081741"/>
    <n v="8415.4095584163224"/>
    <n v="5447.5041463849084"/>
    <n v="7412.4732688851109"/>
    <n v="7677.4358079507729"/>
    <n v="8777.6911265484578"/>
    <n v="7932.107487976682"/>
    <n v="9050.0197541899433"/>
    <n v="7140.8379201684074"/>
    <n v="7383.2038992794105"/>
    <n v="6892.7090599951425"/>
    <n v="6513.6804728362076"/>
    <n v="5787.709113755971"/>
    <n v="21275.386973686342"/>
    <n v="24387.234422475914"/>
    <n v="23574.061573637762"/>
    <n v="19194.098646587321"/>
    <n v="6795.961616387337"/>
    <n v="81634.820000000007"/>
    <n v="0"/>
    <n v="0"/>
    <n v="88430.78161638735"/>
  </r>
  <r>
    <s v="AME25-061"/>
    <s v="R69"/>
    <s v="REC"/>
    <d v="2025-11-01T00:00:00"/>
    <d v="2026-10-01T00:00:00"/>
    <x v="3"/>
    <x v="0"/>
    <x v="40"/>
    <n v="5.0000000000000001E-4"/>
    <n v="1.4500000000000001E-2"/>
    <n v="0"/>
    <n v="0"/>
    <n v="1.5000000000000001E-2"/>
    <m/>
    <n v="388434"/>
    <n v="251443"/>
    <n v="342141"/>
    <n v="354371"/>
    <n v="405156"/>
    <n v="366126"/>
    <n v="417726"/>
    <n v="329603"/>
    <n v="340790"/>
    <n v="318150"/>
    <n v="0"/>
    <n v="0"/>
    <n v="3513940"/>
    <n v="5826.51"/>
    <n v="3771.6450000000004"/>
    <n v="5132.1150000000007"/>
    <n v="5315.5650000000005"/>
    <n v="6077.34"/>
    <n v="5491.89"/>
    <n v="6265.89"/>
    <n v="4944.0450000000001"/>
    <n v="5111.8500000000004"/>
    <n v="4772.25"/>
    <n v="0"/>
    <n v="0"/>
    <n v="14730.27"/>
    <n v="16884.795000000002"/>
    <n v="16321.785000000002"/>
    <n v="4772.25"/>
    <b v="1"/>
    <n v="1756.97"/>
    <n v="50952.130000000005"/>
    <n v="0"/>
    <n v="0"/>
    <n v="52709.100000000006"/>
    <n v="388434"/>
    <n v="251443"/>
    <n v="342141"/>
    <n v="354371"/>
    <n v="405156"/>
    <n v="366126"/>
    <n v="417726"/>
    <n v="329603"/>
    <n v="340790"/>
    <n v="318150"/>
    <n v="300655"/>
    <n v="267146"/>
    <n v="4081741"/>
    <n v="5826.51"/>
    <n v="3771.6450000000004"/>
    <n v="5132.1150000000007"/>
    <n v="5315.5650000000005"/>
    <n v="6077.34"/>
    <n v="5491.89"/>
    <n v="6265.89"/>
    <n v="4944.0450000000001"/>
    <n v="5111.8500000000004"/>
    <n v="4772.25"/>
    <n v="4509.8250000000007"/>
    <n v="4007.1900000000005"/>
    <n v="14730.27"/>
    <n v="16884.795000000002"/>
    <n v="16321.785000000002"/>
    <n v="13289.265000000001"/>
    <n v="2040.8705"/>
    <n v="59185.244500000001"/>
    <n v="0"/>
    <n v="0"/>
    <n v="61226.114999999998"/>
  </r>
  <r>
    <s v="AME25-063"/>
    <s v="V7"/>
    <s v="VAM"/>
    <d v="2026-07-01T00:00:00"/>
    <d v="2027-06-01T00:00:00"/>
    <x v="3"/>
    <x v="0"/>
    <x v="41"/>
    <n v="5.0000000000000001E-4"/>
    <n v="1.4500000000000001E-2"/>
    <n v="0"/>
    <n v="0"/>
    <n v="1.5000000000000001E-2"/>
    <m/>
    <n v="0"/>
    <n v="0"/>
    <n v="0"/>
    <n v="0"/>
    <n v="0"/>
    <n v="0"/>
    <n v="7117.8"/>
    <n v="22908"/>
    <n v="23726"/>
    <n v="24983"/>
    <n v="22565"/>
    <n v="20148"/>
    <n v="121447.8"/>
    <n v="0"/>
    <n v="0"/>
    <n v="0"/>
    <n v="0"/>
    <n v="0"/>
    <n v="0"/>
    <n v="106.76700000000001"/>
    <n v="343.62"/>
    <n v="355.89000000000004"/>
    <n v="374.745"/>
    <n v="338.47500000000002"/>
    <n v="302.22000000000003"/>
    <n v="0"/>
    <n v="0"/>
    <n v="806.27700000000004"/>
    <n v="1015.44"/>
    <b v="1"/>
    <n v="60.7239"/>
    <n v="1760.9931000000001"/>
    <n v="0"/>
    <n v="0"/>
    <n v="1821.7170000000001"/>
    <n v="0"/>
    <n v="33412"/>
    <n v="0"/>
    <n v="15689"/>
    <n v="18199"/>
    <n v="17572"/>
    <n v="23726"/>
    <n v="22908"/>
    <n v="23726"/>
    <n v="24983"/>
    <n v="22565"/>
    <n v="20148"/>
    <n v="222928"/>
    <n v="0"/>
    <n v="501.18000000000006"/>
    <n v="0"/>
    <n v="235.33500000000001"/>
    <n v="272.98500000000001"/>
    <n v="263.58000000000004"/>
    <n v="355.89000000000004"/>
    <n v="343.62"/>
    <n v="355.89000000000004"/>
    <n v="374.745"/>
    <n v="338.47500000000002"/>
    <n v="302.22000000000003"/>
    <n v="501.18000000000006"/>
    <n v="771.90000000000009"/>
    <n v="1055.4000000000001"/>
    <n v="1015.44"/>
    <n v="111.464"/>
    <n v="3232.4560000000001"/>
    <n v="0"/>
    <n v="0"/>
    <n v="3343.92"/>
  </r>
  <r>
    <s v="AME25-063"/>
    <s v="V8"/>
    <s v="VAM"/>
    <d v="2026-07-01T00:00:00"/>
    <d v="2027-06-01T00:00:00"/>
    <x v="3"/>
    <x v="0"/>
    <x v="41"/>
    <n v="0"/>
    <n v="0"/>
    <n v="0"/>
    <n v="0"/>
    <n v="0"/>
    <m/>
    <n v="0"/>
    <n v="0"/>
    <n v="0"/>
    <n v="0"/>
    <n v="0"/>
    <n v="0"/>
    <n v="5364"/>
    <n v="17263"/>
    <n v="17880"/>
    <n v="8739"/>
    <n v="7893"/>
    <n v="7047"/>
    <n v="64186"/>
    <n v="0"/>
    <n v="0"/>
    <n v="0"/>
    <n v="0"/>
    <n v="0"/>
    <n v="0"/>
    <n v="0"/>
    <n v="0"/>
    <n v="0"/>
    <n v="0"/>
    <n v="0"/>
    <n v="0"/>
    <n v="0"/>
    <n v="0"/>
    <n v="0"/>
    <n v="0"/>
    <b v="1"/>
    <n v="0"/>
    <n v="0"/>
    <n v="0"/>
    <n v="0"/>
    <n v="0"/>
    <n v="0"/>
    <n v="8127"/>
    <n v="0"/>
    <n v="13412"/>
    <n v="15558"/>
    <n v="15022"/>
    <n v="17880"/>
    <n v="17263"/>
    <n v="17880"/>
    <n v="8739"/>
    <n v="7893"/>
    <n v="7047"/>
    <n v="128821"/>
    <n v="0"/>
    <n v="0"/>
    <n v="0"/>
    <n v="0"/>
    <n v="0"/>
    <n v="0"/>
    <n v="0"/>
    <n v="0"/>
    <n v="0"/>
    <n v="0"/>
    <n v="0"/>
    <n v="0"/>
    <n v="0"/>
    <n v="0"/>
    <n v="0"/>
    <n v="0"/>
    <n v="0"/>
    <n v="0"/>
    <n v="0"/>
    <n v="0"/>
    <n v="0"/>
  </r>
  <r>
    <s v="AME25-063"/>
    <s v="V9"/>
    <s v="VAM"/>
    <d v="2026-07-01T00:00:00"/>
    <d v="2027-06-01T00:00:00"/>
    <x v="3"/>
    <x v="0"/>
    <x v="41"/>
    <n v="0"/>
    <n v="0"/>
    <n v="0"/>
    <n v="0"/>
    <n v="0"/>
    <m/>
    <n v="0"/>
    <n v="0"/>
    <n v="0"/>
    <n v="0"/>
    <n v="0"/>
    <n v="0"/>
    <n v="24855"/>
    <n v="79993"/>
    <n v="82850"/>
    <n v="89636"/>
    <n v="80962"/>
    <n v="72287"/>
    <n v="430583"/>
    <n v="0"/>
    <n v="0"/>
    <n v="0"/>
    <n v="0"/>
    <n v="0"/>
    <n v="0"/>
    <n v="0"/>
    <n v="0"/>
    <n v="0"/>
    <n v="0"/>
    <n v="0"/>
    <n v="0"/>
    <n v="0"/>
    <n v="0"/>
    <n v="0"/>
    <n v="0"/>
    <b v="1"/>
    <n v="0"/>
    <n v="0"/>
    <n v="0"/>
    <n v="0"/>
    <n v="0"/>
    <n v="92359"/>
    <n v="73146"/>
    <n v="33673"/>
    <n v="69903"/>
    <n v="81087"/>
    <n v="78291"/>
    <n v="82850"/>
    <n v="79993"/>
    <n v="82850"/>
    <n v="89636"/>
    <n v="80962"/>
    <n v="72287"/>
    <n v="917037"/>
    <n v="0"/>
    <n v="0"/>
    <n v="0"/>
    <n v="0"/>
    <n v="0"/>
    <n v="0"/>
    <n v="0"/>
    <n v="0"/>
    <n v="0"/>
    <n v="0"/>
    <n v="0"/>
    <n v="0"/>
    <n v="0"/>
    <n v="0"/>
    <n v="0"/>
    <n v="0"/>
    <n v="0"/>
    <n v="0"/>
    <n v="0"/>
    <n v="0"/>
    <n v="0"/>
  </r>
  <r>
    <s v="AME25-063"/>
    <s v="V10"/>
    <s v="VAM"/>
    <d v="2026-07-01T00:00:00"/>
    <d v="2027-06-01T00:00:00"/>
    <x v="3"/>
    <x v="0"/>
    <x v="41"/>
    <n v="0"/>
    <n v="0"/>
    <n v="0"/>
    <n v="0"/>
    <n v="0"/>
    <m/>
    <n v="0"/>
    <n v="0"/>
    <n v="0"/>
    <n v="0"/>
    <n v="0"/>
    <n v="0"/>
    <n v="23541.3"/>
    <n v="75765"/>
    <n v="78471"/>
    <n v="84644"/>
    <n v="76453"/>
    <n v="68262"/>
    <n v="407136.3"/>
    <n v="0"/>
    <n v="0"/>
    <n v="0"/>
    <n v="0"/>
    <n v="0"/>
    <n v="0"/>
    <n v="0"/>
    <n v="0"/>
    <n v="0"/>
    <n v="0"/>
    <n v="0"/>
    <n v="0"/>
    <n v="0"/>
    <n v="0"/>
    <n v="0"/>
    <n v="0"/>
    <b v="1"/>
    <n v="0"/>
    <n v="0"/>
    <n v="0"/>
    <n v="0"/>
    <n v="0"/>
    <n v="52278"/>
    <n v="65922"/>
    <n v="150797"/>
    <n v="67044"/>
    <n v="77771"/>
    <n v="75090"/>
    <n v="78471"/>
    <n v="75765"/>
    <n v="78471"/>
    <n v="84644"/>
    <n v="76453"/>
    <n v="68262"/>
    <n v="950968"/>
    <n v="0"/>
    <n v="0"/>
    <n v="0"/>
    <n v="0"/>
    <n v="0"/>
    <n v="0"/>
    <n v="0"/>
    <n v="0"/>
    <n v="0"/>
    <n v="0"/>
    <n v="0"/>
    <n v="0"/>
    <n v="0"/>
    <n v="0"/>
    <n v="0"/>
    <n v="0"/>
    <n v="0"/>
    <n v="0"/>
    <n v="0"/>
    <n v="0"/>
    <n v="0"/>
  </r>
  <r>
    <s v="AME25-063"/>
    <s v="V11"/>
    <s v="VAM"/>
    <d v="2026-07-01T00:00:00"/>
    <d v="2027-06-01T00:00:00"/>
    <x v="3"/>
    <x v="0"/>
    <x v="41"/>
    <n v="0"/>
    <n v="0"/>
    <n v="0"/>
    <n v="0"/>
    <n v="0"/>
    <m/>
    <n v="0"/>
    <n v="0"/>
    <n v="0"/>
    <n v="0"/>
    <n v="0"/>
    <n v="0"/>
    <n v="45000"/>
    <n v="144828"/>
    <n v="150000"/>
    <n v="160250"/>
    <n v="144742"/>
    <n v="129234"/>
    <n v="774054"/>
    <n v="0"/>
    <n v="0"/>
    <n v="0"/>
    <n v="0"/>
    <n v="0"/>
    <n v="0"/>
    <n v="0"/>
    <n v="0"/>
    <n v="0"/>
    <n v="0"/>
    <n v="0"/>
    <n v="0"/>
    <n v="0"/>
    <n v="0"/>
    <n v="0"/>
    <n v="0"/>
    <b v="1"/>
    <n v="0"/>
    <n v="0"/>
    <n v="0"/>
    <n v="0"/>
    <n v="0"/>
    <n v="169905"/>
    <n v="97528"/>
    <n v="178614"/>
    <n v="136091"/>
    <n v="157866"/>
    <n v="152422"/>
    <n v="150000"/>
    <n v="144828"/>
    <n v="150000"/>
    <n v="160250"/>
    <n v="144742"/>
    <n v="129234"/>
    <n v="1771480"/>
    <n v="0"/>
    <n v="0"/>
    <n v="0"/>
    <n v="0"/>
    <n v="0"/>
    <n v="0"/>
    <n v="0"/>
    <n v="0"/>
    <n v="0"/>
    <n v="0"/>
    <n v="0"/>
    <n v="0"/>
    <n v="0"/>
    <n v="0"/>
    <n v="0"/>
    <n v="0"/>
    <n v="0"/>
    <n v="0"/>
    <n v="0"/>
    <n v="0"/>
    <n v="0"/>
  </r>
  <r>
    <s v="AME25-063"/>
    <s v="V12"/>
    <s v="VAM"/>
    <d v="2026-07-01T00:00:00"/>
    <d v="2027-06-01T00:00:00"/>
    <x v="3"/>
    <x v="0"/>
    <x v="41"/>
    <n v="0"/>
    <n v="0"/>
    <n v="0"/>
    <n v="0"/>
    <n v="0"/>
    <m/>
    <n v="0"/>
    <n v="0"/>
    <n v="0"/>
    <n v="0"/>
    <n v="0"/>
    <n v="0"/>
    <n v="44234.7"/>
    <n v="142364"/>
    <n v="147449"/>
    <n v="157749"/>
    <n v="142483"/>
    <n v="127217"/>
    <n v="761496.7"/>
    <n v="0"/>
    <n v="0"/>
    <n v="0"/>
    <n v="0"/>
    <n v="0"/>
    <n v="0"/>
    <n v="0"/>
    <n v="0"/>
    <n v="0"/>
    <n v="0"/>
    <n v="0"/>
    <n v="0"/>
    <n v="0"/>
    <n v="0"/>
    <n v="0"/>
    <n v="0"/>
    <b v="1"/>
    <n v="0"/>
    <n v="0"/>
    <n v="0"/>
    <n v="0"/>
    <n v="0"/>
    <n v="139409"/>
    <n v="155323"/>
    <n v="224000"/>
    <n v="134379"/>
    <n v="155880"/>
    <n v="150505"/>
    <n v="147449"/>
    <n v="142364"/>
    <n v="147449"/>
    <n v="157749"/>
    <n v="142483"/>
    <n v="127217"/>
    <n v="1824207"/>
    <n v="0"/>
    <n v="0"/>
    <n v="0"/>
    <n v="0"/>
    <n v="0"/>
    <n v="0"/>
    <n v="0"/>
    <n v="0"/>
    <n v="0"/>
    <n v="0"/>
    <n v="0"/>
    <n v="0"/>
    <n v="0"/>
    <n v="0"/>
    <n v="0"/>
    <n v="0"/>
    <n v="0"/>
    <n v="0"/>
    <n v="0"/>
    <n v="0"/>
    <n v="0"/>
  </r>
  <r>
    <s v="AME25-063"/>
    <s v="V13"/>
    <s v="VAM"/>
    <d v="2026-07-01T00:00:00"/>
    <d v="2027-06-01T00:00:00"/>
    <x v="3"/>
    <x v="0"/>
    <x v="41"/>
    <n v="0"/>
    <n v="0"/>
    <n v="0"/>
    <n v="0"/>
    <n v="0"/>
    <m/>
    <n v="0"/>
    <n v="0"/>
    <n v="0"/>
    <n v="0"/>
    <n v="0"/>
    <n v="0"/>
    <n v="23757.899999999998"/>
    <n v="76463"/>
    <n v="79193"/>
    <n v="84644"/>
    <n v="76453"/>
    <n v="68262"/>
    <n v="408772.9"/>
    <n v="0"/>
    <n v="0"/>
    <n v="0"/>
    <n v="0"/>
    <n v="0"/>
    <n v="0"/>
    <n v="0"/>
    <n v="0"/>
    <n v="0"/>
    <n v="0"/>
    <n v="0"/>
    <n v="0"/>
    <n v="0"/>
    <n v="0"/>
    <n v="0"/>
    <n v="0"/>
    <b v="1"/>
    <n v="0"/>
    <n v="0"/>
    <n v="0"/>
    <n v="0"/>
    <n v="0"/>
    <n v="78418"/>
    <n v="51473"/>
    <n v="67346"/>
    <n v="67044"/>
    <n v="77771"/>
    <n v="75090"/>
    <n v="79193"/>
    <n v="76463"/>
    <n v="79193"/>
    <n v="84644"/>
    <n v="76453"/>
    <n v="68262"/>
    <n v="881350"/>
    <n v="0"/>
    <n v="0"/>
    <n v="0"/>
    <n v="0"/>
    <n v="0"/>
    <n v="0"/>
    <n v="0"/>
    <n v="0"/>
    <n v="0"/>
    <n v="0"/>
    <n v="0"/>
    <n v="0"/>
    <n v="0"/>
    <n v="0"/>
    <n v="0"/>
    <n v="0"/>
    <n v="0"/>
    <n v="0"/>
    <n v="0"/>
    <n v="0"/>
    <n v="0"/>
  </r>
  <r>
    <s v="AME25-063"/>
    <s v="V14"/>
    <s v="VAM"/>
    <d v="2026-07-01T00:00:00"/>
    <d v="2027-06-01T00:00:00"/>
    <x v="3"/>
    <x v="0"/>
    <x v="41"/>
    <n v="0"/>
    <n v="0"/>
    <n v="0"/>
    <n v="0"/>
    <n v="0"/>
    <m/>
    <n v="0"/>
    <n v="0"/>
    <n v="0"/>
    <n v="0"/>
    <n v="0"/>
    <n v="0"/>
    <n v="23212.799999999999"/>
    <n v="74708"/>
    <n v="77376"/>
    <n v="83388"/>
    <n v="75318"/>
    <n v="67248"/>
    <n v="401250.8"/>
    <n v="0"/>
    <n v="0"/>
    <n v="0"/>
    <n v="0"/>
    <n v="0"/>
    <n v="0"/>
    <n v="0"/>
    <n v="0"/>
    <n v="0"/>
    <n v="0"/>
    <n v="0"/>
    <n v="0"/>
    <n v="0"/>
    <n v="0"/>
    <n v="0"/>
    <n v="0"/>
    <b v="1"/>
    <n v="0"/>
    <n v="0"/>
    <n v="0"/>
    <n v="0"/>
    <n v="0"/>
    <n v="90616"/>
    <n v="113783"/>
    <n v="0"/>
    <n v="65623"/>
    <n v="76123"/>
    <n v="73498"/>
    <n v="77376"/>
    <n v="74708"/>
    <n v="77376"/>
    <n v="83388"/>
    <n v="75318"/>
    <n v="67248"/>
    <n v="875057"/>
    <n v="0"/>
    <n v="0"/>
    <n v="0"/>
    <n v="0"/>
    <n v="0"/>
    <n v="0"/>
    <n v="0"/>
    <n v="0"/>
    <n v="0"/>
    <n v="0"/>
    <n v="0"/>
    <n v="0"/>
    <n v="0"/>
    <n v="0"/>
    <n v="0"/>
    <n v="0"/>
    <n v="0"/>
    <n v="0"/>
    <n v="0"/>
    <n v="0"/>
    <n v="0"/>
  </r>
  <r>
    <s v="AME25-063"/>
    <s v="V15"/>
    <s v="VAM"/>
    <d v="2026-07-01T00:00:00"/>
    <d v="2027-06-01T00:00:00"/>
    <x v="3"/>
    <x v="0"/>
    <x v="41"/>
    <n v="0"/>
    <n v="0"/>
    <n v="0"/>
    <n v="0"/>
    <n v="0"/>
    <m/>
    <n v="0"/>
    <n v="0"/>
    <n v="0"/>
    <n v="0"/>
    <n v="0"/>
    <n v="0"/>
    <n v="6569.4"/>
    <n v="21143"/>
    <n v="21898"/>
    <n v="21236"/>
    <n v="19181"/>
    <n v="17126"/>
    <n v="107153.4"/>
    <n v="0"/>
    <n v="0"/>
    <n v="0"/>
    <n v="0"/>
    <n v="0"/>
    <n v="0"/>
    <n v="0"/>
    <n v="0"/>
    <n v="0"/>
    <n v="0"/>
    <n v="0"/>
    <n v="0"/>
    <n v="0"/>
    <n v="0"/>
    <n v="0"/>
    <n v="0"/>
    <b v="1"/>
    <n v="0"/>
    <n v="0"/>
    <n v="0"/>
    <n v="0"/>
    <n v="0"/>
    <n v="13070"/>
    <n v="5418"/>
    <n v="8784"/>
    <n v="14551"/>
    <n v="16879"/>
    <n v="16297"/>
    <n v="21898"/>
    <n v="21143"/>
    <n v="21898"/>
    <n v="21236"/>
    <n v="19181"/>
    <n v="17126"/>
    <n v="197481"/>
    <n v="0"/>
    <n v="0"/>
    <n v="0"/>
    <n v="0"/>
    <n v="0"/>
    <n v="0"/>
    <n v="0"/>
    <n v="0"/>
    <n v="0"/>
    <n v="0"/>
    <n v="0"/>
    <n v="0"/>
    <n v="0"/>
    <n v="0"/>
    <n v="0"/>
    <n v="0"/>
    <n v="0"/>
    <n v="0"/>
    <n v="0"/>
    <n v="0"/>
    <n v="0"/>
  </r>
  <r>
    <s v="AME25-063"/>
    <s v="V16"/>
    <s v="VAM"/>
    <d v="2026-07-01T00:00:00"/>
    <d v="2027-06-01T00:00:00"/>
    <x v="3"/>
    <x v="0"/>
    <x v="41"/>
    <n v="0"/>
    <n v="0"/>
    <n v="0"/>
    <n v="0"/>
    <n v="0"/>
    <m/>
    <n v="0"/>
    <n v="0"/>
    <n v="0"/>
    <n v="0"/>
    <n v="0"/>
    <n v="0"/>
    <n v="5147.0999999999995"/>
    <n v="16565"/>
    <n v="17157"/>
    <n v="28730"/>
    <n v="25949"/>
    <n v="23169"/>
    <n v="116717.1"/>
    <n v="0"/>
    <n v="0"/>
    <n v="0"/>
    <n v="0"/>
    <n v="0"/>
    <n v="0"/>
    <n v="0"/>
    <n v="0"/>
    <n v="0"/>
    <n v="0"/>
    <n v="0"/>
    <n v="0"/>
    <n v="0"/>
    <n v="0"/>
    <n v="0"/>
    <n v="0"/>
    <b v="1"/>
    <n v="0"/>
    <n v="0"/>
    <n v="0"/>
    <n v="0"/>
    <n v="0"/>
    <n v="13941"/>
    <n v="19867"/>
    <n v="8784"/>
    <n v="16262"/>
    <n v="18864"/>
    <n v="18214"/>
    <n v="17157"/>
    <n v="16565"/>
    <n v="17157"/>
    <n v="28730"/>
    <n v="25949"/>
    <n v="23169"/>
    <n v="224659"/>
    <n v="0"/>
    <n v="0"/>
    <n v="0"/>
    <n v="0"/>
    <n v="0"/>
    <n v="0"/>
    <n v="0"/>
    <n v="0"/>
    <n v="0"/>
    <n v="0"/>
    <n v="0"/>
    <n v="0"/>
    <n v="0"/>
    <n v="0"/>
    <n v="0"/>
    <n v="0"/>
    <n v="0"/>
    <n v="0"/>
    <n v="0"/>
    <n v="0"/>
    <n v="0"/>
  </r>
  <r>
    <s v="AME25-064"/>
    <s v="V17"/>
    <s v="VAM"/>
    <d v="2026-07-01T00:00:00"/>
    <d v="2027-06-01T00:00:00"/>
    <x v="3"/>
    <x v="0"/>
    <x v="39"/>
    <n v="0"/>
    <n v="0"/>
    <n v="0"/>
    <n v="0"/>
    <n v="0"/>
    <m/>
    <n v="0"/>
    <n v="0"/>
    <n v="0"/>
    <n v="0"/>
    <n v="0"/>
    <n v="0"/>
    <n v="3824.7"/>
    <n v="12309"/>
    <n v="12749"/>
    <n v="15081"/>
    <n v="13621"/>
    <n v="12162"/>
    <n v="69746.7"/>
    <n v="0"/>
    <n v="0"/>
    <n v="0"/>
    <n v="0"/>
    <n v="0"/>
    <n v="0"/>
    <n v="0"/>
    <n v="0"/>
    <n v="0"/>
    <n v="0"/>
    <n v="0"/>
    <n v="0"/>
    <n v="0"/>
    <n v="0"/>
    <n v="0"/>
    <n v="0"/>
    <b v="1"/>
    <n v="0"/>
    <n v="0"/>
    <n v="0"/>
    <n v="0"/>
    <n v="0"/>
    <n v="17378"/>
    <n v="13642"/>
    <n v="8383"/>
    <n v="12018"/>
    <n v="13941"/>
    <n v="13460"/>
    <n v="12749"/>
    <n v="12309"/>
    <n v="12749"/>
    <n v="15081"/>
    <n v="13621"/>
    <n v="12162"/>
    <n v="157493"/>
    <n v="0"/>
    <n v="0"/>
    <n v="0"/>
    <n v="0"/>
    <n v="0"/>
    <n v="0"/>
    <n v="0"/>
    <n v="0"/>
    <n v="0"/>
    <n v="0"/>
    <n v="0"/>
    <n v="0"/>
    <n v="0"/>
    <n v="0"/>
    <n v="0"/>
    <n v="0"/>
    <n v="0"/>
    <n v="0"/>
    <n v="0"/>
    <n v="0"/>
    <n v="0"/>
  </r>
  <r>
    <s v="AME25-064"/>
    <s v="V18"/>
    <s v="VAM"/>
    <d v="2026-07-01T00:00:00"/>
    <d v="2027-06-01T00:00:00"/>
    <x v="3"/>
    <x v="0"/>
    <x v="39"/>
    <n v="0"/>
    <n v="0"/>
    <n v="0"/>
    <n v="0"/>
    <n v="0"/>
    <m/>
    <n v="0"/>
    <n v="0"/>
    <n v="0"/>
    <n v="0"/>
    <n v="0"/>
    <n v="0"/>
    <n v="2607"/>
    <n v="8391"/>
    <n v="8690"/>
    <n v="11062"/>
    <n v="9992"/>
    <n v="8921"/>
    <n v="49663"/>
    <n v="0"/>
    <n v="0"/>
    <n v="0"/>
    <n v="0"/>
    <n v="0"/>
    <n v="0"/>
    <n v="0"/>
    <n v="0"/>
    <n v="0"/>
    <n v="0"/>
    <n v="0"/>
    <n v="0"/>
    <n v="0"/>
    <n v="0"/>
    <n v="0"/>
    <n v="0"/>
    <b v="1"/>
    <n v="0"/>
    <n v="0"/>
    <n v="0"/>
    <n v="0"/>
    <n v="0"/>
    <n v="6319"/>
    <n v="7692"/>
    <n v="20120"/>
    <n v="8276"/>
    <n v="9601"/>
    <n v="9270"/>
    <n v="8690"/>
    <n v="8391"/>
    <n v="8690"/>
    <n v="11062"/>
    <n v="9992"/>
    <n v="8921"/>
    <n v="117024"/>
    <n v="0"/>
    <n v="0"/>
    <n v="0"/>
    <n v="0"/>
    <n v="0"/>
    <n v="0"/>
    <n v="0"/>
    <n v="0"/>
    <n v="0"/>
    <n v="0"/>
    <n v="0"/>
    <n v="0"/>
    <n v="0"/>
    <n v="0"/>
    <n v="0"/>
    <n v="0"/>
    <n v="0"/>
    <n v="0"/>
    <n v="0"/>
    <n v="0"/>
    <n v="0"/>
  </r>
  <r>
    <s v="AME25-064"/>
    <s v="V19"/>
    <s v="VAM"/>
    <d v="2026-07-01T00:00:00"/>
    <d v="2027-06-01T00:00:00"/>
    <x v="3"/>
    <x v="0"/>
    <x v="39"/>
    <n v="0"/>
    <n v="0"/>
    <n v="0"/>
    <n v="0"/>
    <n v="0"/>
    <m/>
    <n v="0"/>
    <n v="0"/>
    <n v="0"/>
    <n v="0"/>
    <n v="0"/>
    <n v="0"/>
    <n v="12949.5"/>
    <n v="41676"/>
    <n v="43165"/>
    <n v="45242"/>
    <n v="40864"/>
    <n v="36486"/>
    <n v="220382.5"/>
    <n v="0"/>
    <n v="0"/>
    <n v="0"/>
    <n v="0"/>
    <n v="0"/>
    <n v="0"/>
    <n v="0"/>
    <n v="0"/>
    <n v="0"/>
    <n v="0"/>
    <n v="0"/>
    <n v="0"/>
    <n v="0"/>
    <n v="0"/>
    <n v="0"/>
    <n v="0"/>
    <b v="1"/>
    <n v="0"/>
    <n v="0"/>
    <n v="0"/>
    <n v="0"/>
    <n v="0"/>
    <n v="45815"/>
    <n v="35678"/>
    <n v="25150"/>
    <n v="37921"/>
    <n v="43988"/>
    <n v="42471"/>
    <n v="43165"/>
    <n v="41676"/>
    <n v="43165"/>
    <n v="45242"/>
    <n v="40864"/>
    <n v="36486"/>
    <n v="481621"/>
    <n v="0"/>
    <n v="0"/>
    <n v="0"/>
    <n v="0"/>
    <n v="0"/>
    <n v="0"/>
    <n v="0"/>
    <n v="0"/>
    <n v="0"/>
    <n v="0"/>
    <n v="0"/>
    <n v="0"/>
    <n v="0"/>
    <n v="0"/>
    <n v="0"/>
    <n v="0"/>
    <n v="0"/>
    <n v="0"/>
    <n v="0"/>
    <n v="0"/>
    <n v="0"/>
  </r>
  <r>
    <s v="AME25-064"/>
    <s v="V20"/>
    <s v="VAM"/>
    <d v="2026-07-01T00:00:00"/>
    <d v="2027-06-01T00:00:00"/>
    <x v="3"/>
    <x v="0"/>
    <x v="39"/>
    <n v="0"/>
    <n v="0"/>
    <n v="0"/>
    <n v="0"/>
    <n v="0"/>
    <m/>
    <n v="0"/>
    <n v="0"/>
    <n v="0"/>
    <n v="0"/>
    <n v="0"/>
    <n v="0"/>
    <n v="12860.699999999999"/>
    <n v="41391"/>
    <n v="42869"/>
    <n v="46245"/>
    <n v="41769"/>
    <n v="37294"/>
    <n v="222428.7"/>
    <n v="0"/>
    <n v="0"/>
    <n v="0"/>
    <n v="0"/>
    <n v="0"/>
    <n v="0"/>
    <n v="0"/>
    <n v="0"/>
    <n v="0"/>
    <n v="0"/>
    <n v="0"/>
    <n v="0"/>
    <n v="0"/>
    <n v="0"/>
    <n v="0"/>
    <n v="0"/>
    <b v="1"/>
    <n v="0"/>
    <n v="0"/>
    <n v="0"/>
    <n v="0"/>
    <n v="0"/>
    <n v="45815"/>
    <n v="31827"/>
    <n v="50854"/>
    <n v="37656"/>
    <n v="43681"/>
    <n v="42175"/>
    <n v="42869"/>
    <n v="41391"/>
    <n v="42869"/>
    <n v="46245"/>
    <n v="41769"/>
    <n v="37294"/>
    <n v="504445"/>
    <n v="0"/>
    <n v="0"/>
    <n v="0"/>
    <n v="0"/>
    <n v="0"/>
    <n v="0"/>
    <n v="0"/>
    <n v="0"/>
    <n v="0"/>
    <n v="0"/>
    <n v="0"/>
    <n v="0"/>
    <n v="0"/>
    <n v="0"/>
    <n v="0"/>
    <n v="0"/>
    <n v="0"/>
    <n v="0"/>
    <n v="0"/>
    <n v="0"/>
    <n v="0"/>
  </r>
  <r>
    <s v="AME25-064"/>
    <s v="V21"/>
    <s v="VAM"/>
    <d v="2026-07-01T00:00:00"/>
    <d v="2027-06-01T00:00:00"/>
    <x v="3"/>
    <x v="0"/>
    <x v="39"/>
    <n v="0"/>
    <n v="0"/>
    <n v="0"/>
    <n v="0"/>
    <n v="0"/>
    <m/>
    <n v="0"/>
    <n v="0"/>
    <n v="0"/>
    <n v="0"/>
    <n v="0"/>
    <n v="0"/>
    <n v="35456.400000000001"/>
    <n v="114113"/>
    <n v="118188"/>
    <n v="128693"/>
    <n v="116239"/>
    <n v="103785"/>
    <n v="616474.4"/>
    <n v="0"/>
    <n v="0"/>
    <n v="0"/>
    <n v="0"/>
    <n v="0"/>
    <n v="0"/>
    <n v="0"/>
    <n v="0"/>
    <n v="0"/>
    <n v="0"/>
    <n v="0"/>
    <n v="0"/>
    <n v="0"/>
    <n v="0"/>
    <n v="0"/>
    <n v="0"/>
    <b v="1"/>
    <n v="0"/>
    <n v="0"/>
    <n v="0"/>
    <n v="0"/>
    <n v="0"/>
    <n v="20538"/>
    <n v="119280"/>
    <n v="125751"/>
    <n v="103619"/>
    <n v="120198"/>
    <n v="116053"/>
    <n v="118188"/>
    <n v="114113"/>
    <n v="118188"/>
    <n v="128693"/>
    <n v="116239"/>
    <n v="103785"/>
    <n v="1304645"/>
    <n v="0"/>
    <n v="0"/>
    <n v="0"/>
    <n v="0"/>
    <n v="0"/>
    <n v="0"/>
    <n v="0"/>
    <n v="0"/>
    <n v="0"/>
    <n v="0"/>
    <n v="0"/>
    <n v="0"/>
    <n v="0"/>
    <n v="0"/>
    <n v="0"/>
    <n v="0"/>
    <n v="0"/>
    <n v="0"/>
    <n v="0"/>
    <n v="0"/>
    <n v="0"/>
  </r>
  <r>
    <s v="AME25-064"/>
    <s v="V22"/>
    <s v="VAM"/>
    <d v="2026-07-01T00:00:00"/>
    <d v="2027-06-01T00:00:00"/>
    <x v="3"/>
    <x v="0"/>
    <x v="39"/>
    <n v="0"/>
    <n v="0"/>
    <n v="0"/>
    <n v="0"/>
    <n v="0"/>
    <m/>
    <n v="0"/>
    <n v="0"/>
    <n v="0"/>
    <n v="0"/>
    <n v="0"/>
    <n v="0"/>
    <n v="35891.699999999997"/>
    <n v="115514"/>
    <n v="119639"/>
    <n v="126679"/>
    <n v="114420"/>
    <n v="102160"/>
    <n v="614303.69999999995"/>
    <n v="0"/>
    <n v="0"/>
    <n v="0"/>
    <n v="0"/>
    <n v="0"/>
    <n v="0"/>
    <n v="0"/>
    <n v="0"/>
    <n v="0"/>
    <n v="0"/>
    <n v="0"/>
    <n v="0"/>
    <n v="0"/>
    <n v="0"/>
    <n v="0"/>
    <n v="0"/>
    <b v="1"/>
    <n v="0"/>
    <n v="0"/>
    <n v="0"/>
    <n v="0"/>
    <n v="0"/>
    <n v="153243"/>
    <n v="102836"/>
    <n v="134134"/>
    <n v="102553"/>
    <n v="118962"/>
    <n v="114860"/>
    <n v="119639"/>
    <n v="115514"/>
    <n v="119639"/>
    <n v="126679"/>
    <n v="114420"/>
    <n v="102160"/>
    <n v="1424639"/>
    <n v="0"/>
    <n v="0"/>
    <n v="0"/>
    <n v="0"/>
    <n v="0"/>
    <n v="0"/>
    <n v="0"/>
    <n v="0"/>
    <n v="0"/>
    <n v="0"/>
    <n v="0"/>
    <n v="0"/>
    <n v="0"/>
    <n v="0"/>
    <n v="0"/>
    <n v="0"/>
    <n v="0"/>
    <n v="0"/>
    <n v="0"/>
    <n v="0"/>
    <n v="0"/>
  </r>
  <r>
    <s v="AME25-064"/>
    <s v="V23"/>
    <s v="VAM"/>
    <d v="2026-07-01T00:00:00"/>
    <d v="2027-06-01T00:00:00"/>
    <x v="3"/>
    <x v="0"/>
    <x v="39"/>
    <n v="0"/>
    <n v="0"/>
    <n v="0"/>
    <n v="0"/>
    <n v="0"/>
    <m/>
    <n v="0"/>
    <n v="0"/>
    <n v="0"/>
    <n v="0"/>
    <n v="0"/>
    <n v="0"/>
    <n v="20421.3"/>
    <n v="65724"/>
    <n v="68071"/>
    <n v="71386"/>
    <n v="64477"/>
    <n v="57569"/>
    <n v="347648.3"/>
    <n v="0"/>
    <n v="0"/>
    <n v="0"/>
    <n v="0"/>
    <n v="0"/>
    <n v="0"/>
    <n v="0"/>
    <n v="0"/>
    <n v="0"/>
    <n v="0"/>
    <n v="0"/>
    <n v="0"/>
    <n v="0"/>
    <n v="0"/>
    <n v="0"/>
    <n v="0"/>
    <b v="1"/>
    <n v="0"/>
    <n v="0"/>
    <n v="0"/>
    <n v="0"/>
    <n v="0"/>
    <n v="123226"/>
    <n v="61209"/>
    <n v="67067"/>
    <n v="54217"/>
    <n v="62892"/>
    <n v="60723"/>
    <n v="68071"/>
    <n v="65724"/>
    <n v="68071"/>
    <n v="71386"/>
    <n v="64477"/>
    <n v="57569"/>
    <n v="824632"/>
    <n v="0"/>
    <n v="0"/>
    <n v="0"/>
    <n v="0"/>
    <n v="0"/>
    <n v="0"/>
    <n v="0"/>
    <n v="0"/>
    <n v="0"/>
    <n v="0"/>
    <n v="0"/>
    <n v="0"/>
    <n v="0"/>
    <n v="0"/>
    <n v="0"/>
    <n v="0"/>
    <n v="0"/>
    <n v="0"/>
    <n v="0"/>
    <n v="0"/>
    <n v="0"/>
  </r>
  <r>
    <s v="AME25-064"/>
    <s v="V24"/>
    <s v="VAM"/>
    <d v="2026-07-01T00:00:00"/>
    <d v="2027-06-01T00:00:00"/>
    <x v="3"/>
    <x v="0"/>
    <x v="39"/>
    <n v="0"/>
    <n v="0"/>
    <n v="0"/>
    <n v="0"/>
    <n v="0"/>
    <m/>
    <n v="0"/>
    <n v="0"/>
    <n v="0"/>
    <n v="0"/>
    <n v="0"/>
    <n v="0"/>
    <n v="19813.8"/>
    <n v="63769"/>
    <n v="66046"/>
    <n v="69372"/>
    <n v="62658"/>
    <n v="55945"/>
    <n v="337603.8"/>
    <n v="0"/>
    <n v="0"/>
    <n v="0"/>
    <n v="0"/>
    <n v="0"/>
    <n v="0"/>
    <n v="0"/>
    <n v="0"/>
    <n v="0"/>
    <n v="0"/>
    <n v="0"/>
    <n v="0"/>
    <n v="0"/>
    <n v="0"/>
    <n v="0"/>
    <n v="0"/>
    <b v="1"/>
    <n v="0"/>
    <n v="0"/>
    <n v="0"/>
    <n v="0"/>
    <n v="0"/>
    <n v="69512"/>
    <n v="65060"/>
    <n v="58684"/>
    <n v="57951"/>
    <n v="67223"/>
    <n v="64905"/>
    <n v="66046"/>
    <n v="63769"/>
    <n v="66046"/>
    <n v="69372"/>
    <n v="62658"/>
    <n v="55945"/>
    <n v="767171"/>
    <n v="0"/>
    <n v="0"/>
    <n v="0"/>
    <n v="0"/>
    <n v="0"/>
    <n v="0"/>
    <n v="0"/>
    <n v="0"/>
    <n v="0"/>
    <n v="0"/>
    <n v="0"/>
    <n v="0"/>
    <n v="0"/>
    <n v="0"/>
    <n v="0"/>
    <n v="0"/>
    <n v="0"/>
    <n v="0"/>
    <n v="0"/>
    <n v="0"/>
    <n v="0"/>
  </r>
  <r>
    <s v="AME25-064"/>
    <s v="V25"/>
    <s v="VAM"/>
    <d v="2026-07-01T00:00:00"/>
    <d v="2027-06-01T00:00:00"/>
    <x v="3"/>
    <x v="0"/>
    <x v="39"/>
    <n v="0"/>
    <n v="0"/>
    <n v="0"/>
    <n v="0"/>
    <n v="0"/>
    <m/>
    <n v="0"/>
    <n v="0"/>
    <n v="0"/>
    <n v="0"/>
    <n v="0"/>
    <n v="0"/>
    <n v="6864.5999999999995"/>
    <n v="22093"/>
    <n v="22882"/>
    <n v="23127"/>
    <n v="20889"/>
    <n v="18651"/>
    <n v="114506.6"/>
    <n v="0"/>
    <n v="0"/>
    <n v="0"/>
    <n v="0"/>
    <n v="0"/>
    <n v="0"/>
    <n v="0"/>
    <n v="0"/>
    <n v="0"/>
    <n v="0"/>
    <n v="0"/>
    <n v="0"/>
    <n v="0"/>
    <n v="0"/>
    <n v="0"/>
    <n v="0"/>
    <b v="1"/>
    <n v="0"/>
    <n v="0"/>
    <n v="0"/>
    <n v="0"/>
    <n v="0"/>
    <n v="0"/>
    <n v="18185"/>
    <n v="11737"/>
    <n v="18964"/>
    <n v="21999"/>
    <n v="21240"/>
    <n v="22882"/>
    <n v="22093"/>
    <n v="22882"/>
    <n v="23127"/>
    <n v="20889"/>
    <n v="18651"/>
    <n v="222649"/>
    <n v="0"/>
    <n v="0"/>
    <n v="0"/>
    <n v="0"/>
    <n v="0"/>
    <n v="0"/>
    <n v="0"/>
    <n v="0"/>
    <n v="0"/>
    <n v="0"/>
    <n v="0"/>
    <n v="0"/>
    <n v="0"/>
    <n v="0"/>
    <n v="0"/>
    <n v="0"/>
    <n v="0"/>
    <n v="0"/>
    <n v="0"/>
    <n v="0"/>
    <n v="0"/>
  </r>
  <r>
    <s v="AME25-064"/>
    <s v="V26"/>
    <s v="VAM"/>
    <d v="2026-07-01T00:00:00"/>
    <d v="2027-06-01T00:00:00"/>
    <x v="3"/>
    <x v="0"/>
    <x v="39"/>
    <n v="0"/>
    <n v="0"/>
    <n v="0"/>
    <n v="0"/>
    <n v="0"/>
    <m/>
    <n v="0"/>
    <n v="0"/>
    <n v="0"/>
    <n v="0"/>
    <n v="0"/>
    <n v="0"/>
    <n v="5910.3"/>
    <n v="19022"/>
    <n v="19701"/>
    <n v="21113"/>
    <n v="19070"/>
    <n v="17027"/>
    <n v="101843.3"/>
    <n v="0"/>
    <n v="0"/>
    <n v="0"/>
    <n v="0"/>
    <n v="0"/>
    <n v="0"/>
    <n v="0"/>
    <n v="0"/>
    <n v="0"/>
    <n v="0"/>
    <n v="0"/>
    <n v="0"/>
    <n v="0"/>
    <n v="0"/>
    <n v="0"/>
    <n v="0"/>
    <b v="1"/>
    <n v="0"/>
    <n v="0"/>
    <n v="0"/>
    <n v="0"/>
    <n v="0"/>
    <n v="4739"/>
    <n v="12592"/>
    <n v="20120"/>
    <n v="16825"/>
    <n v="19517"/>
    <n v="18844"/>
    <n v="19701"/>
    <n v="19022"/>
    <n v="19701"/>
    <n v="21113"/>
    <n v="19070"/>
    <n v="17027"/>
    <n v="208271"/>
    <n v="0"/>
    <n v="0"/>
    <n v="0"/>
    <n v="0"/>
    <n v="0"/>
    <n v="0"/>
    <n v="0"/>
    <n v="0"/>
    <n v="0"/>
    <n v="0"/>
    <n v="0"/>
    <n v="0"/>
    <n v="0"/>
    <n v="0"/>
    <n v="0"/>
    <n v="0"/>
    <n v="0"/>
    <n v="0"/>
    <n v="0"/>
    <n v="0"/>
    <n v="0"/>
  </r>
  <r>
    <s v="AME25-065"/>
    <e v="#N/A"/>
    <s v="VAM"/>
    <s v="For Confirmation"/>
    <e v="#VALUE!"/>
    <x v="3"/>
    <x v="0"/>
    <x v="42"/>
    <n v="0"/>
    <n v="0"/>
    <n v="0"/>
    <n v="0"/>
    <n v="0"/>
    <m/>
    <s v=""/>
    <s v=""/>
    <s v=""/>
    <s v=""/>
    <s v=""/>
    <s v=""/>
    <s v=""/>
    <s v=""/>
    <s v=""/>
    <s v=""/>
    <s v=""/>
    <s v=""/>
    <n v="0"/>
    <s v=""/>
    <s v=""/>
    <s v=""/>
    <s v=""/>
    <s v=""/>
    <s v=""/>
    <s v=""/>
    <s v=""/>
    <s v=""/>
    <s v=""/>
    <s v=""/>
    <s v=""/>
    <n v="0"/>
    <n v="0"/>
    <n v="0"/>
    <n v="0"/>
    <b v="1"/>
    <n v="0"/>
    <n v="0"/>
    <n v="0"/>
    <n v="0"/>
    <n v="0"/>
    <s v=""/>
    <s v=""/>
    <s v=""/>
    <s v=""/>
    <s v=""/>
    <s v=""/>
    <s v=""/>
    <s v=""/>
    <s v=""/>
    <s v=""/>
    <s v=""/>
    <s v=""/>
    <n v="0"/>
    <e v="#VALUE!"/>
    <e v="#VALUE!"/>
    <e v="#VALUE!"/>
    <e v="#VALUE!"/>
    <e v="#VALUE!"/>
    <e v="#VALUE!"/>
    <e v="#VALUE!"/>
    <e v="#VALUE!"/>
    <e v="#VALUE!"/>
    <e v="#VALUE!"/>
    <e v="#VALUE!"/>
    <e v="#VALUE!"/>
    <s v=""/>
    <s v=""/>
    <s v=""/>
    <s v=""/>
    <n v="0"/>
    <n v="0"/>
    <n v="0"/>
    <n v="0"/>
    <n v="0"/>
  </r>
  <r>
    <s v="AME25-030"/>
    <s v="R6"/>
    <s v="REC"/>
    <d v="2026-04-01T00:00:00"/>
    <d v="2027-03-01T00:00:00"/>
    <x v="2"/>
    <x v="2"/>
    <x v="43"/>
    <n v="1.0828147838875403E-3"/>
    <n v="0"/>
    <n v="0"/>
    <n v="0"/>
    <n v="1.0828147838875403E-3"/>
    <m/>
    <n v="0"/>
    <n v="0"/>
    <n v="0"/>
    <n v="27834.6"/>
    <n v="123265"/>
    <n v="115832"/>
    <n v="134937"/>
    <n v="83305"/>
    <n v="103716"/>
    <n v="62190"/>
    <n v="58078"/>
    <n v="62044"/>
    <n v="771201.6"/>
    <n v="0"/>
    <n v="0"/>
    <n v="0"/>
    <n v="30.139716383596127"/>
    <n v="133.47316433589765"/>
    <n v="125.42460204726156"/>
    <n v="146.11177849343301"/>
    <n v="90.203885571751542"/>
    <n v="112.30521812568013"/>
    <n v="67.340251409966129"/>
    <n v="62.887717018620563"/>
    <n v="67.182160451518541"/>
    <n v="0"/>
    <n v="289.03748276675532"/>
    <n v="348.62088219086468"/>
    <n v="197.41012888010522"/>
    <b v="1"/>
    <n v="835.06849383772521"/>
    <n v="0"/>
    <n v="0"/>
    <n v="0"/>
    <n v="835.06849383772521"/>
    <n v="128754"/>
    <n v="121787"/>
    <n v="148422"/>
    <n v="92782"/>
    <n v="123265"/>
    <n v="115832"/>
    <n v="134937"/>
    <n v="83305"/>
    <n v="103716"/>
    <n v="62190"/>
    <n v="58078"/>
    <n v="62044"/>
    <n v="1235112"/>
    <n v="139.41673468465635"/>
    <n v="131.87276408531187"/>
    <n v="160.7135358541565"/>
    <n v="100.46572127865376"/>
    <n v="133.47316433589765"/>
    <n v="125.42460204726156"/>
    <n v="146.11177849343301"/>
    <n v="90.203885571751542"/>
    <n v="112.30521812568013"/>
    <n v="67.340251409966129"/>
    <n v="62.887717018620563"/>
    <n v="67.182160451518541"/>
    <n v="432.00303462412467"/>
    <n v="359.36348766181294"/>
    <n v="348.62088219086468"/>
    <n v="197.41012888010522"/>
    <n v="1337.3975333569076"/>
    <n v="0"/>
    <n v="0"/>
    <n v="0"/>
    <n v="1337.3975333569076"/>
  </r>
  <r>
    <s v="AME25-030"/>
    <s v="R7"/>
    <s v="REC"/>
    <d v="2026-04-01T00:00:00"/>
    <d v="2027-03-01T00:00:00"/>
    <x v="2"/>
    <x v="2"/>
    <x v="43"/>
    <n v="5.912256000000002E-3"/>
    <n v="0"/>
    <n v="-5.8302508424000661E-4"/>
    <n v="0"/>
    <n v="5.3292309157599955E-3"/>
    <m/>
    <n v="0"/>
    <n v="0"/>
    <n v="0"/>
    <n v="27834.6"/>
    <n v="123265"/>
    <n v="115832"/>
    <n v="134937"/>
    <n v="83305"/>
    <n v="103716"/>
    <n v="62190"/>
    <n v="58078"/>
    <n v="62044"/>
    <n v="771201.6"/>
    <n v="0"/>
    <n v="0"/>
    <n v="0"/>
    <n v="148.33701084781316"/>
    <n v="656.90764883115583"/>
    <n v="617.29547543431181"/>
    <n v="719.11043207990656"/>
    <n v="443.95158143738644"/>
    <n v="552.72651365896365"/>
    <n v="331.42487065111413"/>
    <n v="309.51107312550903"/>
    <n v="330.64680293741316"/>
    <n v="0"/>
    <n v="1422.5401351132809"/>
    <n v="1715.7885271762566"/>
    <n v="971.58274671403638"/>
    <b v="1"/>
    <n v="4559.5412868096018"/>
    <n v="0"/>
    <n v="-449.62987780602788"/>
    <n v="0"/>
    <n v="4109.9114090035737"/>
    <n v="128754"/>
    <n v="121787"/>
    <n v="148422"/>
    <n v="92782"/>
    <n v="123265"/>
    <n v="115832"/>
    <n v="134937"/>
    <n v="83305"/>
    <n v="103716"/>
    <n v="62190"/>
    <n v="58078"/>
    <n v="62044"/>
    <n v="1235112"/>
    <n v="686.15979732776248"/>
    <n v="649.03104553766252"/>
    <n v="790.97511097893005"/>
    <n v="494.45670282604391"/>
    <n v="656.90764883115583"/>
    <n v="617.29547543431181"/>
    <n v="719.11043207990656"/>
    <n v="443.95158143738644"/>
    <n v="552.72651365896365"/>
    <n v="331.42487065111413"/>
    <n v="309.51107312550903"/>
    <n v="330.64680293741316"/>
    <n v="2126.165953844355"/>
    <n v="1768.6598270915115"/>
    <n v="1715.7885271762566"/>
    <n v="971.58274671403638"/>
    <n v="7302.2983326720023"/>
    <n v="0"/>
    <n v="-720.10127784584301"/>
    <n v="0"/>
    <n v="6582.1970548261597"/>
  </r>
  <r>
    <s v="AME25-038"/>
    <s v="R76"/>
    <s v="REC"/>
    <d v="2026-04-01T00:00:00"/>
    <d v="2027-03-01T00:00:00"/>
    <x v="2"/>
    <x v="2"/>
    <x v="22"/>
    <n v="5.912256000000002E-3"/>
    <n v="0"/>
    <n v="-5.8302508424000661E-4"/>
    <n v="0"/>
    <n v="5.3292309157599955E-3"/>
    <m/>
    <n v="0"/>
    <n v="0"/>
    <n v="0"/>
    <n v="8815.7999999999993"/>
    <n v="504"/>
    <n v="447"/>
    <n v="34310"/>
    <n v="24123"/>
    <n v="21023"/>
    <n v="20665"/>
    <n v="19299"/>
    <n v="13820"/>
    <n v="143006.79999999999"/>
    <n v="0"/>
    <n v="0"/>
    <n v="0"/>
    <n v="46.981433907156962"/>
    <n v="2.6859323815430378"/>
    <n v="2.3821662193447182"/>
    <n v="182.84591271972545"/>
    <n v="128.55703738087837"/>
    <n v="112.03642154202238"/>
    <n v="110.1285568741803"/>
    <n v="102.84882744325215"/>
    <n v="73.649971255803138"/>
    <n v="0"/>
    <n v="52.04953250804472"/>
    <n v="423.43937164262616"/>
    <n v="286.6273555732356"/>
    <b v="1"/>
    <n v="845.49281134080024"/>
    <n v="0"/>
    <n v="-83.376551616893764"/>
    <n v="0"/>
    <n v="762.11625972390652"/>
    <n v="545"/>
    <n v="577"/>
    <n v="32005"/>
    <n v="29386"/>
    <n v="504"/>
    <n v="447"/>
    <n v="34310"/>
    <n v="24123"/>
    <n v="21023"/>
    <n v="20665"/>
    <n v="19299"/>
    <n v="13820"/>
    <n v="196704"/>
    <n v="2.9044308490891977"/>
    <n v="3.0749662383935172"/>
    <n v="170.56203545889866"/>
    <n v="156.60477969052323"/>
    <n v="2.6859323815430378"/>
    <n v="2.3821662193447182"/>
    <n v="182.84591271972545"/>
    <n v="128.55703738087837"/>
    <n v="112.03642154202238"/>
    <n v="110.1285568741803"/>
    <n v="102.84882744325215"/>
    <n v="73.649971255803138"/>
    <n v="176.54143254638137"/>
    <n v="161.672878291411"/>
    <n v="423.43937164262616"/>
    <n v="286.6273555732356"/>
    <n v="1162.9644042240004"/>
    <n v="0"/>
    <n v="-114.68336617034626"/>
    <n v="0"/>
    <n v="1048.2810380536541"/>
  </r>
  <r>
    <s v="AME25-090"/>
    <s v="R144"/>
    <s v="REC"/>
    <d v="2026-05-01T00:00:00"/>
    <d v="2027-04-01T00:00:00"/>
    <x v="2"/>
    <x v="2"/>
    <x v="23"/>
    <n v="5.912256000000002E-3"/>
    <n v="0"/>
    <n v="-5.8302508424000661E-4"/>
    <n v="0"/>
    <n v="5.3292309157599955E-3"/>
    <m/>
    <n v="0"/>
    <n v="0"/>
    <n v="0"/>
    <n v="0"/>
    <n v="0"/>
    <n v="0"/>
    <n v="0"/>
    <n v="0"/>
    <n v="0"/>
    <n v="0"/>
    <n v="0"/>
    <n v="0"/>
    <n v="0"/>
    <n v="0"/>
    <n v="0"/>
    <n v="0"/>
    <n v="0"/>
    <n v="0"/>
    <n v="0"/>
    <n v="0"/>
    <n v="0"/>
    <n v="0"/>
    <n v="0"/>
    <n v="0"/>
    <n v="0"/>
    <n v="0"/>
    <n v="0"/>
    <n v="0"/>
    <n v="0"/>
    <b v="1"/>
    <n v="0"/>
    <n v="0"/>
    <n v="0"/>
    <n v="0"/>
    <n v="0"/>
    <n v="0"/>
    <n v="0"/>
    <n v="0"/>
    <n v="0"/>
    <n v="0"/>
    <n v="0"/>
    <n v="0"/>
    <n v="0"/>
    <n v="0"/>
    <n v="0"/>
    <n v="0"/>
    <n v="0"/>
    <n v="0"/>
    <n v="0"/>
    <n v="0"/>
    <n v="0"/>
    <n v="0"/>
    <n v="0"/>
    <n v="0"/>
    <n v="0"/>
    <n v="0"/>
    <n v="0"/>
    <n v="0"/>
    <n v="0"/>
    <n v="0"/>
    <n v="0"/>
    <n v="0"/>
    <n v="0"/>
    <n v="0"/>
    <n v="0"/>
    <n v="0"/>
    <n v="0"/>
    <n v="0"/>
    <n v="0"/>
  </r>
  <r>
    <s v="AME25-090"/>
    <s v="R145"/>
    <s v="REC"/>
    <d v="2026-05-01T00:00:00"/>
    <d v="2027-04-01T00:00:00"/>
    <x v="2"/>
    <x v="2"/>
    <x v="23"/>
    <n v="1.7194975588760087E-2"/>
    <n v="0"/>
    <n v="0.02"/>
    <n v="0"/>
    <n v="3.7194975588760087E-2"/>
    <m/>
    <n v="0"/>
    <n v="0"/>
    <n v="0"/>
    <n v="0"/>
    <n v="0"/>
    <n v="0"/>
    <n v="0"/>
    <n v="0"/>
    <n v="0"/>
    <n v="0"/>
    <n v="0"/>
    <n v="0"/>
    <n v="0"/>
    <n v="0"/>
    <n v="0"/>
    <n v="0"/>
    <n v="0"/>
    <n v="0"/>
    <n v="0"/>
    <n v="0"/>
    <n v="0"/>
    <n v="0"/>
    <n v="0"/>
    <n v="0"/>
    <n v="0"/>
    <n v="0"/>
    <n v="0"/>
    <n v="0"/>
    <n v="0"/>
    <b v="1"/>
    <n v="0"/>
    <n v="0"/>
    <n v="0"/>
    <n v="0"/>
    <n v="0"/>
    <n v="3293"/>
    <n v="8814"/>
    <n v="1029"/>
    <n v="0"/>
    <n v="0"/>
    <n v="0"/>
    <n v="0"/>
    <n v="0"/>
    <n v="0"/>
    <n v="0"/>
    <n v="0"/>
    <n v="0"/>
    <n v="13136"/>
    <n v="122.48305461378696"/>
    <n v="327.83651483933141"/>
    <n v="38.273629880834129"/>
    <n v="0"/>
    <n v="0"/>
    <n v="0"/>
    <n v="0"/>
    <n v="0"/>
    <n v="0"/>
    <n v="0"/>
    <n v="0"/>
    <n v="0"/>
    <n v="488.5931993339525"/>
    <n v="0"/>
    <n v="0"/>
    <n v="0"/>
    <n v="225.8731993339525"/>
    <n v="0"/>
    <n v="262.72000000000003"/>
    <n v="0"/>
    <n v="488.5931993339525"/>
  </r>
  <r>
    <s v="AME25-090"/>
    <s v="R179"/>
    <s v="REC"/>
    <d v="2026-05-01T00:00:00"/>
    <d v="2027-04-01T00:00:00"/>
    <x v="2"/>
    <x v="2"/>
    <x v="23"/>
    <n v="1.7194975588760087E-2"/>
    <n v="0"/>
    <n v="0.02"/>
    <n v="0"/>
    <n v="3.7194975588760087E-2"/>
    <m/>
    <n v="0"/>
    <n v="0"/>
    <n v="0"/>
    <n v="0"/>
    <n v="0"/>
    <n v="0"/>
    <n v="0"/>
    <n v="0"/>
    <n v="0"/>
    <n v="0"/>
    <n v="0"/>
    <n v="0"/>
    <n v="0"/>
    <n v="0"/>
    <n v="0"/>
    <n v="0"/>
    <n v="0"/>
    <n v="0"/>
    <n v="0"/>
    <n v="0"/>
    <n v="0"/>
    <n v="0"/>
    <n v="0"/>
    <n v="0"/>
    <n v="0"/>
    <n v="0"/>
    <n v="0"/>
    <n v="0"/>
    <n v="0"/>
    <b v="1"/>
    <n v="0"/>
    <n v="0"/>
    <n v="0"/>
    <n v="0"/>
    <n v="0"/>
    <n v="0"/>
    <n v="0"/>
    <n v="0"/>
    <n v="0"/>
    <n v="0"/>
    <n v="0"/>
    <n v="0"/>
    <n v="0"/>
    <n v="0"/>
    <n v="0"/>
    <n v="0"/>
    <n v="0"/>
    <n v="0"/>
    <n v="0"/>
    <n v="0"/>
    <n v="0"/>
    <n v="0"/>
    <n v="0"/>
    <n v="0"/>
    <n v="0"/>
    <n v="0"/>
    <n v="0"/>
    <n v="0"/>
    <n v="0"/>
    <n v="0"/>
    <n v="0"/>
    <n v="0"/>
    <n v="0"/>
    <n v="0"/>
    <n v="0"/>
    <n v="0"/>
    <n v="0"/>
    <n v="0"/>
    <n v="0"/>
  </r>
  <r>
    <s v="AME25-013"/>
    <s v="R180"/>
    <s v="REC"/>
    <d v="2026-06-01T00:00:00"/>
    <d v="2027-05-01T00:00:00"/>
    <x v="0"/>
    <x v="0"/>
    <x v="44"/>
    <n v="1.7194975588760087E-2"/>
    <n v="0"/>
    <n v="0.02"/>
    <n v="0"/>
    <n v="3.7194975588760087E-2"/>
    <m/>
    <n v="0"/>
    <n v="0"/>
    <n v="0"/>
    <n v="0"/>
    <n v="0"/>
    <n v="0"/>
    <n v="0"/>
    <n v="0"/>
    <n v="0"/>
    <n v="0"/>
    <n v="0"/>
    <n v="0"/>
    <n v="0"/>
    <n v="0"/>
    <n v="0"/>
    <n v="0"/>
    <n v="0"/>
    <n v="0"/>
    <n v="0"/>
    <n v="0"/>
    <n v="0"/>
    <n v="0"/>
    <n v="0"/>
    <n v="0"/>
    <n v="0"/>
    <n v="0"/>
    <n v="0"/>
    <n v="0"/>
    <n v="0"/>
    <b v="1"/>
    <n v="0"/>
    <n v="0"/>
    <n v="0"/>
    <n v="0"/>
    <n v="0"/>
    <n v="0"/>
    <n v="0"/>
    <n v="0"/>
    <n v="0"/>
    <n v="0"/>
    <n v="0"/>
    <n v="0"/>
    <n v="0"/>
    <n v="0"/>
    <n v="0"/>
    <n v="0"/>
    <n v="0"/>
    <n v="0"/>
    <n v="0"/>
    <n v="0"/>
    <n v="0"/>
    <n v="0"/>
    <n v="0"/>
    <n v="0"/>
    <n v="0"/>
    <n v="0"/>
    <n v="0"/>
    <n v="0"/>
    <n v="0"/>
    <n v="0"/>
    <n v="0"/>
    <n v="0"/>
    <n v="0"/>
    <n v="0"/>
    <n v="0"/>
    <n v="0"/>
    <n v="0"/>
    <n v="0"/>
    <n v="0"/>
  </r>
  <r>
    <s v="AME25-013"/>
    <s v="R181"/>
    <s v="REC"/>
    <d v="2026-06-01T00:00:00"/>
    <d v="2027-05-01T00:00:00"/>
    <x v="0"/>
    <x v="0"/>
    <x v="44"/>
    <n v="3.8074818399999995E-2"/>
    <n v="0"/>
    <n v="-1.0478671151700001E-3"/>
    <n v="0"/>
    <n v="3.7026951284829995E-2"/>
    <m/>
    <n v="0"/>
    <n v="0"/>
    <n v="0"/>
    <n v="0"/>
    <n v="0"/>
    <n v="0"/>
    <n v="0"/>
    <n v="0"/>
    <n v="0"/>
    <n v="0"/>
    <n v="0"/>
    <n v="0"/>
    <n v="0"/>
    <n v="0"/>
    <n v="0"/>
    <n v="0"/>
    <n v="0"/>
    <n v="0"/>
    <n v="0"/>
    <n v="0"/>
    <n v="0"/>
    <n v="0"/>
    <n v="0"/>
    <n v="0"/>
    <n v="0"/>
    <n v="0"/>
    <n v="0"/>
    <n v="0"/>
    <n v="0"/>
    <b v="1"/>
    <n v="0"/>
    <n v="0"/>
    <n v="0"/>
    <n v="0"/>
    <n v="0"/>
    <n v="0"/>
    <n v="0"/>
    <n v="0"/>
    <n v="0"/>
    <n v="0"/>
    <n v="0"/>
    <n v="0"/>
    <n v="0"/>
    <n v="0"/>
    <n v="0"/>
    <n v="0"/>
    <n v="0"/>
    <n v="0"/>
    <n v="0"/>
    <n v="0"/>
    <n v="0"/>
    <n v="0"/>
    <n v="0"/>
    <n v="0"/>
    <n v="0"/>
    <n v="0"/>
    <n v="0"/>
    <n v="0"/>
    <n v="0"/>
    <n v="0"/>
    <n v="0"/>
    <n v="0"/>
    <n v="0"/>
    <n v="0"/>
    <n v="0"/>
    <n v="0"/>
    <n v="0"/>
    <n v="0"/>
    <n v="0"/>
  </r>
  <r>
    <s v="AME25-034"/>
    <s v="R157"/>
    <s v="REC"/>
    <d v="2026-04-01T00:00:00"/>
    <d v="2027-03-01T00:00:00"/>
    <x v="2"/>
    <x v="2"/>
    <x v="19"/>
    <n v="3.7749822399999994E-2"/>
    <n v="0"/>
    <n v="-1.0478671151700001E-3"/>
    <n v="0"/>
    <n v="3.6701955284829994E-2"/>
    <m/>
    <n v="0"/>
    <n v="0"/>
    <n v="0"/>
    <n v="8906.4"/>
    <n v="34679"/>
    <n v="34861"/>
    <n v="36051"/>
    <n v="13213"/>
    <n v="15416"/>
    <n v="4379"/>
    <n v="2986"/>
    <n v="2613"/>
    <n v="153104.4"/>
    <n v="0"/>
    <n v="0"/>
    <n v="0"/>
    <n v="326.88229454880985"/>
    <n v="1272.7871073226195"/>
    <n v="1279.4668631844584"/>
    <n v="1323.1421899734062"/>
    <n v="484.9429351784587"/>
    <n v="565.7973426709392"/>
    <n v="160.71786219227056"/>
    <n v="109.59203848050237"/>
    <n v="95.902209159260778"/>
    <n v="0"/>
    <n v="2879.1362650558876"/>
    <n v="2373.8824678228038"/>
    <n v="366.21210983203372"/>
    <b v="0"/>
    <n v="5779.6639086585592"/>
    <n v="0"/>
    <n v="-160.43306594783377"/>
    <n v="0"/>
    <n v="5619.2308427107255"/>
    <n v="11332"/>
    <n v="28163"/>
    <n v="33166"/>
    <n v="29688"/>
    <n v="34679"/>
    <n v="34861"/>
    <n v="36051"/>
    <n v="13213"/>
    <n v="15416"/>
    <n v="4379"/>
    <n v="2986"/>
    <n v="2613"/>
    <n v="246547"/>
    <n v="415.90655728769349"/>
    <n v="1033.6371666866671"/>
    <n v="1217.2570489766715"/>
    <n v="1089.6076484960329"/>
    <n v="1272.7871073226195"/>
    <n v="1279.4668631844584"/>
    <n v="1323.1421899734062"/>
    <n v="484.9429351784587"/>
    <n v="565.7973426709392"/>
    <n v="160.71786219227056"/>
    <n v="109.59203848050237"/>
    <n v="95.902209159260778"/>
    <n v="2666.8007729510318"/>
    <n v="3641.8616190031107"/>
    <n v="2373.8824678228038"/>
    <n v="366.21210983203372"/>
    <n v="9307.1054632527976"/>
    <n v="0"/>
    <n v="-258.34849364381802"/>
    <n v="0"/>
    <n v="9048.7569696089795"/>
  </r>
  <r>
    <s v="AME25-034"/>
    <s v="R158"/>
    <s v="REC"/>
    <d v="2026-04-01T00:00:00"/>
    <d v="2027-03-01T00:00:00"/>
    <x v="2"/>
    <x v="2"/>
    <x v="19"/>
    <n v="1.3110928000000004E-2"/>
    <n v="0"/>
    <n v="0.02"/>
    <n v="0"/>
    <n v="3.3110928000000005E-2"/>
    <m/>
    <n v="0"/>
    <n v="0"/>
    <n v="0"/>
    <n v="50475.299999999996"/>
    <n v="196749"/>
    <n v="197439"/>
    <n v="213929"/>
    <n v="78409"/>
    <n v="91478"/>
    <n v="12509"/>
    <n v="8529"/>
    <n v="7463"/>
    <n v="856980.3"/>
    <n v="0"/>
    <n v="0"/>
    <n v="0"/>
    <n v="1671.2840240784001"/>
    <n v="6514.5419730720014"/>
    <n v="6537.3885133920012"/>
    <n v="7083.3877161120008"/>
    <n v="2596.1947535520003"/>
    <n v="3028.9214715840003"/>
    <n v="414.18459835200008"/>
    <n v="282.40310491200006"/>
    <n v="247.10685566400002"/>
    <n v="0"/>
    <n v="14723.214510542402"/>
    <n v="12708.503941248002"/>
    <n v="943.69455892800011"/>
    <b v="1"/>
    <n v="11235.807010718405"/>
    <n v="0"/>
    <n v="17139.606"/>
    <n v="0"/>
    <n v="28375.413010718403"/>
    <n v="151426"/>
    <n v="154079"/>
    <n v="187967"/>
    <n v="168251"/>
    <n v="196749"/>
    <n v="197439"/>
    <n v="213929"/>
    <n v="78409"/>
    <n v="91478"/>
    <n v="12509"/>
    <n v="8529"/>
    <n v="7463"/>
    <n v="1468228"/>
    <n v="5013.8553833280012"/>
    <n v="5101.6986753120009"/>
    <n v="6223.7618033760009"/>
    <n v="5570.9467469280007"/>
    <n v="6514.5419730720014"/>
    <n v="6537.3885133920012"/>
    <n v="7083.3877161120008"/>
    <n v="2596.1947535520003"/>
    <n v="3028.9214715840003"/>
    <n v="414.18459835200008"/>
    <n v="282.40310491200006"/>
    <n v="247.10685566400002"/>
    <n v="16339.315862016003"/>
    <n v="18622.877233392002"/>
    <n v="12708.503941248002"/>
    <n v="943.69455892800011"/>
    <n v="19249.831595584008"/>
    <n v="0"/>
    <n v="29364.560000000001"/>
    <n v="0"/>
    <n v="48614.391595584006"/>
  </r>
  <r>
    <s v="AME25-034"/>
    <s v="R160"/>
    <s v="REC"/>
    <d v="2026-04-01T00:00:00"/>
    <d v="2027-03-01T00:00:00"/>
    <x v="2"/>
    <x v="2"/>
    <x v="19"/>
    <n v="1.3110928000000004E-2"/>
    <n v="0"/>
    <n v="0.02"/>
    <n v="0"/>
    <n v="3.3110928000000005E-2"/>
    <m/>
    <n v="0"/>
    <n v="0"/>
    <n v="0"/>
    <n v="0"/>
    <n v="0"/>
    <n v="0"/>
    <n v="0"/>
    <n v="0"/>
    <n v="0"/>
    <n v="0"/>
    <n v="0"/>
    <n v="0"/>
    <n v="0"/>
    <n v="0"/>
    <n v="0"/>
    <n v="0"/>
    <n v="0"/>
    <n v="0"/>
    <n v="0"/>
    <n v="0"/>
    <n v="0"/>
    <n v="0"/>
    <n v="0"/>
    <n v="0"/>
    <n v="0"/>
    <n v="0"/>
    <n v="0"/>
    <n v="0"/>
    <n v="0"/>
    <b v="1"/>
    <n v="0"/>
    <n v="0"/>
    <n v="0"/>
    <n v="0"/>
    <n v="0"/>
    <n v="0"/>
    <n v="0"/>
    <n v="0"/>
    <n v="0"/>
    <n v="0"/>
    <n v="0"/>
    <n v="0"/>
    <n v="0"/>
    <n v="0"/>
    <n v="0"/>
    <n v="0"/>
    <n v="0"/>
    <n v="0"/>
    <n v="0"/>
    <n v="0"/>
    <n v="0"/>
    <n v="0"/>
    <n v="0"/>
    <n v="0"/>
    <n v="0"/>
    <n v="0"/>
    <n v="0"/>
    <n v="0"/>
    <n v="0"/>
    <n v="0"/>
    <n v="0"/>
    <n v="0"/>
    <n v="0"/>
    <n v="0"/>
    <n v="0"/>
    <n v="0"/>
    <n v="0"/>
    <n v="0"/>
    <n v="0"/>
  </r>
  <r>
    <s v="AME25-034"/>
    <s v="R162"/>
    <s v="REC"/>
    <d v="2026-04-01T00:00:00"/>
    <d v="2027-03-01T00:00:00"/>
    <x v="2"/>
    <x v="2"/>
    <x v="19"/>
    <n v="1.3110928000000004E-2"/>
    <n v="0"/>
    <n v="0.02"/>
    <n v="0"/>
    <n v="3.3110928000000005E-2"/>
    <m/>
    <n v="0"/>
    <n v="0"/>
    <n v="0"/>
    <n v="0"/>
    <n v="0"/>
    <n v="0"/>
    <n v="0"/>
    <n v="0"/>
    <n v="0"/>
    <n v="0"/>
    <n v="0"/>
    <n v="0"/>
    <n v="0"/>
    <n v="0"/>
    <n v="0"/>
    <n v="0"/>
    <n v="0"/>
    <n v="0"/>
    <n v="0"/>
    <n v="0"/>
    <n v="0"/>
    <n v="0"/>
    <n v="0"/>
    <n v="0"/>
    <n v="0"/>
    <n v="0"/>
    <n v="0"/>
    <n v="0"/>
    <n v="0"/>
    <b v="1"/>
    <n v="0"/>
    <n v="0"/>
    <n v="0"/>
    <n v="0"/>
    <n v="0"/>
    <n v="0"/>
    <n v="0"/>
    <n v="0"/>
    <n v="0"/>
    <n v="0"/>
    <n v="0"/>
    <n v="0"/>
    <n v="0"/>
    <n v="0"/>
    <n v="0"/>
    <n v="0"/>
    <n v="0"/>
    <n v="0"/>
    <n v="0"/>
    <n v="0"/>
    <n v="0"/>
    <n v="0"/>
    <n v="0"/>
    <n v="0"/>
    <n v="0"/>
    <n v="0"/>
    <n v="0"/>
    <n v="0"/>
    <n v="0"/>
    <n v="0"/>
    <n v="0"/>
    <n v="0"/>
    <n v="0"/>
    <n v="0"/>
    <n v="0"/>
    <n v="0"/>
    <n v="0"/>
    <n v="0"/>
    <n v="0"/>
  </r>
  <r>
    <s v="AME25-034"/>
    <s v="R164"/>
    <s v="REC"/>
    <d v="2026-04-01T00:00:00"/>
    <d v="2027-03-01T00:00:00"/>
    <x v="2"/>
    <x v="2"/>
    <x v="19"/>
    <n v="1.3110928000000004E-2"/>
    <n v="0"/>
    <n v="0.02"/>
    <n v="0"/>
    <n v="3.3110928000000005E-2"/>
    <m/>
    <n v="0"/>
    <n v="0"/>
    <n v="0"/>
    <n v="0"/>
    <n v="0"/>
    <n v="0"/>
    <n v="0"/>
    <n v="0"/>
    <n v="0"/>
    <n v="0"/>
    <n v="0"/>
    <n v="0"/>
    <n v="0"/>
    <n v="0"/>
    <n v="0"/>
    <n v="0"/>
    <n v="0"/>
    <n v="0"/>
    <n v="0"/>
    <n v="0"/>
    <n v="0"/>
    <n v="0"/>
    <n v="0"/>
    <n v="0"/>
    <n v="0"/>
    <n v="0"/>
    <n v="0"/>
    <n v="0"/>
    <n v="0"/>
    <b v="1"/>
    <n v="0"/>
    <n v="0"/>
    <n v="0"/>
    <n v="0"/>
    <n v="0"/>
    <n v="0"/>
    <n v="0"/>
    <n v="0"/>
    <n v="0"/>
    <n v="0"/>
    <n v="0"/>
    <n v="0"/>
    <n v="0"/>
    <n v="0"/>
    <n v="0"/>
    <n v="0"/>
    <n v="0"/>
    <n v="0"/>
    <n v="0"/>
    <n v="0"/>
    <n v="0"/>
    <n v="0"/>
    <n v="0"/>
    <n v="0"/>
    <n v="0"/>
    <n v="0"/>
    <n v="0"/>
    <n v="0"/>
    <n v="0"/>
    <n v="0"/>
    <n v="0"/>
    <n v="0"/>
    <n v="0"/>
    <n v="0"/>
    <n v="0"/>
    <n v="0"/>
    <n v="0"/>
    <n v="0"/>
    <n v="0"/>
  </r>
  <r>
    <s v="AME25-034"/>
    <s v="R165"/>
    <s v="REC"/>
    <d v="2026-04-01T00:00:00"/>
    <d v="2027-03-01T00:00:00"/>
    <x v="2"/>
    <x v="2"/>
    <x v="19"/>
    <n v="1.3110928000000004E-2"/>
    <n v="0"/>
    <n v="0.02"/>
    <n v="0"/>
    <n v="3.3110928000000005E-2"/>
    <m/>
    <n v="0"/>
    <n v="0"/>
    <n v="0"/>
    <n v="0"/>
    <n v="0"/>
    <n v="0"/>
    <n v="0"/>
    <n v="0"/>
    <n v="0"/>
    <n v="0"/>
    <n v="0"/>
    <n v="0"/>
    <n v="0"/>
    <n v="0"/>
    <n v="0"/>
    <n v="0"/>
    <n v="0"/>
    <n v="0"/>
    <n v="0"/>
    <n v="0"/>
    <n v="0"/>
    <n v="0"/>
    <n v="0"/>
    <n v="0"/>
    <n v="0"/>
    <n v="0"/>
    <n v="0"/>
    <n v="0"/>
    <n v="0"/>
    <b v="1"/>
    <n v="0"/>
    <n v="0"/>
    <n v="0"/>
    <n v="0"/>
    <n v="0"/>
    <n v="0"/>
    <n v="0"/>
    <n v="0"/>
    <n v="0"/>
    <n v="0"/>
    <n v="0"/>
    <n v="0"/>
    <n v="0"/>
    <n v="0"/>
    <n v="0"/>
    <n v="0"/>
    <n v="0"/>
    <n v="0"/>
    <n v="0"/>
    <n v="0"/>
    <n v="0"/>
    <n v="0"/>
    <n v="0"/>
    <n v="0"/>
    <n v="0"/>
    <n v="0"/>
    <n v="0"/>
    <n v="0"/>
    <n v="0"/>
    <n v="0"/>
    <n v="0"/>
    <n v="0"/>
    <n v="0"/>
    <n v="0"/>
    <n v="0"/>
    <n v="0"/>
    <n v="0"/>
    <n v="0"/>
    <n v="0"/>
  </r>
  <r>
    <s v="AME25-034"/>
    <s v="R166"/>
    <s v="REC"/>
    <d v="2026-04-01T00:00:00"/>
    <d v="2027-03-01T00:00:00"/>
    <x v="2"/>
    <x v="2"/>
    <x v="19"/>
    <n v="1.3110928000000004E-2"/>
    <n v="0"/>
    <n v="0.02"/>
    <n v="0"/>
    <n v="3.3110928000000005E-2"/>
    <m/>
    <n v="0"/>
    <n v="0"/>
    <n v="0"/>
    <n v="0"/>
    <n v="0"/>
    <n v="0"/>
    <n v="0"/>
    <n v="0"/>
    <n v="0"/>
    <n v="0"/>
    <n v="0"/>
    <n v="0"/>
    <n v="0"/>
    <n v="0"/>
    <n v="0"/>
    <n v="0"/>
    <n v="0"/>
    <n v="0"/>
    <n v="0"/>
    <n v="0"/>
    <n v="0"/>
    <n v="0"/>
    <n v="0"/>
    <n v="0"/>
    <n v="0"/>
    <n v="0"/>
    <n v="0"/>
    <n v="0"/>
    <n v="0"/>
    <b v="1"/>
    <n v="0"/>
    <n v="0"/>
    <n v="0"/>
    <n v="0"/>
    <n v="0"/>
    <n v="0"/>
    <n v="0"/>
    <n v="0"/>
    <n v="0"/>
    <n v="0"/>
    <n v="0"/>
    <n v="0"/>
    <n v="0"/>
    <n v="0"/>
    <n v="0"/>
    <n v="0"/>
    <n v="0"/>
    <n v="0"/>
    <n v="0"/>
    <n v="0"/>
    <n v="0"/>
    <n v="0"/>
    <n v="0"/>
    <n v="0"/>
    <n v="0"/>
    <n v="0"/>
    <n v="0"/>
    <n v="0"/>
    <n v="0"/>
    <n v="0"/>
    <n v="0"/>
    <n v="0"/>
    <n v="0"/>
    <n v="0"/>
    <n v="0"/>
    <n v="0"/>
    <n v="0"/>
    <n v="0"/>
    <n v="0"/>
  </r>
  <r>
    <s v="AME25-034"/>
    <s v="R142"/>
    <s v="REC"/>
    <d v="2026-04-01T00:00:00"/>
    <d v="2027-03-01T00:00:00"/>
    <x v="2"/>
    <x v="2"/>
    <x v="19"/>
    <n v="1.3110928000000004E-2"/>
    <n v="0"/>
    <n v="0.02"/>
    <n v="0"/>
    <n v="3.3110928000000005E-2"/>
    <m/>
    <n v="0"/>
    <n v="0"/>
    <n v="0"/>
    <n v="644.69999999999993"/>
    <n v="0"/>
    <n v="0"/>
    <n v="0"/>
    <n v="0"/>
    <n v="0"/>
    <n v="637"/>
    <n v="435"/>
    <n v="380"/>
    <n v="2096.6999999999998"/>
    <n v="0"/>
    <n v="0"/>
    <n v="0"/>
    <n v="21.346615281600002"/>
    <n v="0"/>
    <n v="0"/>
    <n v="0"/>
    <n v="0"/>
    <n v="0"/>
    <n v="21.091661136000003"/>
    <n v="14.403253680000002"/>
    <n v="12.582152640000002"/>
    <n v="0"/>
    <n v="21.346615281600002"/>
    <n v="0"/>
    <n v="48.077067456000009"/>
    <b v="1"/>
    <n v="27.489682737600006"/>
    <n v="0"/>
    <n v="41.933999999999997"/>
    <n v="0"/>
    <n v="69.423682737600004"/>
    <n v="1698"/>
    <n v="3562"/>
    <n v="1354"/>
    <n v="2149"/>
    <n v="0"/>
    <n v="0"/>
    <n v="0"/>
    <n v="0"/>
    <n v="0"/>
    <n v="637"/>
    <n v="435"/>
    <n v="380"/>
    <n v="10215"/>
    <n v="56.222355744000005"/>
    <n v="117.94112553600002"/>
    <n v="44.832196512000003"/>
    <n v="71.155384272000006"/>
    <n v="0"/>
    <n v="0"/>
    <n v="0"/>
    <n v="0"/>
    <n v="0"/>
    <n v="21.091661136000003"/>
    <n v="14.403253680000002"/>
    <n v="12.582152640000002"/>
    <n v="218.99567779200001"/>
    <n v="71.155384272000006"/>
    <n v="0"/>
    <n v="48.077067456000009"/>
    <n v="133.92812952000006"/>
    <n v="0"/>
    <n v="204.3"/>
    <n v="0"/>
    <n v="338.22812952000004"/>
  </r>
  <r>
    <s v="AME25-034"/>
    <s v="R143"/>
    <s v="REC"/>
    <d v="2026-04-01T00:00:00"/>
    <d v="2027-03-01T00:00:00"/>
    <x v="2"/>
    <x v="2"/>
    <x v="19"/>
    <n v="1.3110928000000004E-2"/>
    <n v="0"/>
    <n v="0.02"/>
    <n v="0"/>
    <n v="3.3110928000000005E-2"/>
    <m/>
    <n v="0"/>
    <n v="0"/>
    <n v="0"/>
    <n v="639.9"/>
    <n v="0"/>
    <n v="0"/>
    <n v="0"/>
    <n v="0"/>
    <n v="0"/>
    <n v="637"/>
    <n v="435"/>
    <n v="380"/>
    <n v="2091.9"/>
    <n v="0"/>
    <n v="0"/>
    <n v="0"/>
    <n v="21.187682827200003"/>
    <n v="0"/>
    <n v="0"/>
    <n v="0"/>
    <n v="0"/>
    <n v="0"/>
    <n v="21.091661136000003"/>
    <n v="14.403253680000002"/>
    <n v="12.582152640000002"/>
    <n v="0"/>
    <n v="21.187682827200003"/>
    <n v="0"/>
    <n v="48.077067456000009"/>
    <b v="1"/>
    <n v="27.426750283200011"/>
    <n v="0"/>
    <n v="41.838000000000001"/>
    <n v="0"/>
    <n v="69.264750283200016"/>
    <n v="1820"/>
    <n v="3629"/>
    <n v="1336"/>
    <n v="2133"/>
    <n v="0"/>
    <n v="0"/>
    <n v="0"/>
    <n v="0"/>
    <n v="0"/>
    <n v="637"/>
    <n v="435"/>
    <n v="380"/>
    <n v="10370"/>
    <n v="60.261888960000007"/>
    <n v="120.15955771200002"/>
    <n v="44.236199808000009"/>
    <n v="70.625609424000004"/>
    <n v="0"/>
    <n v="0"/>
    <n v="0"/>
    <n v="0"/>
    <n v="0"/>
    <n v="21.091661136000003"/>
    <n v="14.403253680000002"/>
    <n v="12.582152640000002"/>
    <n v="224.65764648000004"/>
    <n v="70.625609424000004"/>
    <n v="0"/>
    <n v="48.077067456000009"/>
    <n v="135.96032336000005"/>
    <n v="0"/>
    <n v="207.4"/>
    <n v="0"/>
    <n v="343.36032336000005"/>
  </r>
  <r>
    <s v="AME25-034"/>
    <s v="R106"/>
    <s v="REC"/>
    <d v="2026-04-01T00:00:00"/>
    <d v="2027-03-01T00:00:00"/>
    <x v="2"/>
    <x v="2"/>
    <x v="19"/>
    <n v="1.3110928000000004E-2"/>
    <n v="0"/>
    <n v="0.02"/>
    <n v="0"/>
    <n v="3.3110928000000005E-2"/>
    <m/>
    <n v="0"/>
    <n v="0"/>
    <n v="0"/>
    <n v="285.89999999999998"/>
    <n v="1038"/>
    <n v="1082"/>
    <n v="2159"/>
    <n v="791"/>
    <n v="923"/>
    <n v="2103"/>
    <n v="1434"/>
    <n v="1255"/>
    <n v="11070.9"/>
    <n v="0"/>
    <n v="0"/>
    <n v="0"/>
    <n v="9.4664143151999998"/>
    <n v="34.369143264000002"/>
    <n v="35.826024096000005"/>
    <n v="71.486493552000013"/>
    <n v="26.190744048000003"/>
    <n v="30.561386544000005"/>
    <n v="69.632281584000012"/>
    <n v="47.481070752000008"/>
    <n v="41.554214640000005"/>
    <n v="0"/>
    <n v="79.661581675200011"/>
    <n v="128.23862414400003"/>
    <n v="158.66756697600002"/>
    <b v="1"/>
    <n v="145.14977279520005"/>
    <n v="0"/>
    <n v="221.41800000000001"/>
    <n v="0"/>
    <n v="366.56777279520009"/>
    <n v="4623"/>
    <n v="1672"/>
    <n v="1065"/>
    <n v="953"/>
    <n v="1038"/>
    <n v="1082"/>
    <n v="2159"/>
    <n v="791"/>
    <n v="923"/>
    <n v="2103"/>
    <n v="1434"/>
    <n v="1255"/>
    <n v="19098"/>
    <n v="153.07182014400001"/>
    <n v="55.36147161600001"/>
    <n v="35.263138320000003"/>
    <n v="31.554714384000004"/>
    <n v="34.369143264000002"/>
    <n v="35.826024096000005"/>
    <n v="71.486493552000013"/>
    <n v="26.190744048000003"/>
    <n v="30.561386544000005"/>
    <n v="69.632281584000012"/>
    <n v="47.481070752000008"/>
    <n v="41.554214640000005"/>
    <n v="243.69643008000003"/>
    <n v="101.74988174400002"/>
    <n v="128.23862414400003"/>
    <n v="158.66756697600002"/>
    <n v="250.39250294400009"/>
    <n v="0"/>
    <n v="381.96000000000004"/>
    <n v="0"/>
    <n v="632.35250294400009"/>
  </r>
  <r>
    <s v="AME25-034"/>
    <s v="R107"/>
    <s v="REC"/>
    <d v="2026-04-01T00:00:00"/>
    <d v="2027-03-01T00:00:00"/>
    <x v="2"/>
    <x v="2"/>
    <x v="19"/>
    <n v="1.3110928000000004E-2"/>
    <n v="0"/>
    <n v="0.02"/>
    <n v="0"/>
    <n v="3.3110928000000005E-2"/>
    <m/>
    <n v="0"/>
    <n v="0"/>
    <n v="0"/>
    <n v="0"/>
    <n v="0"/>
    <n v="0"/>
    <n v="0"/>
    <n v="0"/>
    <n v="0"/>
    <n v="2103"/>
    <n v="1434"/>
    <n v="1255"/>
    <n v="4792"/>
    <n v="0"/>
    <n v="0"/>
    <n v="0"/>
    <n v="0"/>
    <n v="0"/>
    <n v="0"/>
    <n v="0"/>
    <n v="0"/>
    <n v="0"/>
    <n v="69.632281584000012"/>
    <n v="47.481070752000008"/>
    <n v="41.554214640000005"/>
    <n v="0"/>
    <n v="0"/>
    <n v="0"/>
    <n v="158.66756697600002"/>
    <b v="1"/>
    <n v="62.827566976000021"/>
    <n v="0"/>
    <n v="95.84"/>
    <n v="0"/>
    <n v="158.66756697600002"/>
    <n v="3661"/>
    <n v="0"/>
    <n v="0"/>
    <n v="0"/>
    <n v="0"/>
    <n v="0"/>
    <n v="0"/>
    <n v="0"/>
    <n v="0"/>
    <n v="2103"/>
    <n v="1434"/>
    <n v="1255"/>
    <n v="8453"/>
    <n v="121.21910740800001"/>
    <n v="0"/>
    <n v="0"/>
    <n v="0"/>
    <n v="0"/>
    <n v="0"/>
    <n v="0"/>
    <n v="0"/>
    <n v="0"/>
    <n v="69.632281584000012"/>
    <n v="47.481070752000008"/>
    <n v="41.554214640000005"/>
    <n v="121.21910740800001"/>
    <n v="0"/>
    <n v="0"/>
    <n v="158.66756697600002"/>
    <n v="110.82667438400004"/>
    <n v="0"/>
    <n v="169.06"/>
    <n v="0"/>
    <n v="279.88667438400006"/>
  </r>
  <r>
    <s v="AME25-034"/>
    <s v="R108"/>
    <s v="REC"/>
    <d v="2026-04-01T00:00:00"/>
    <d v="2027-03-01T00:00:00"/>
    <x v="2"/>
    <x v="2"/>
    <x v="19"/>
    <n v="1.3110928000000004E-2"/>
    <n v="0"/>
    <n v="0.02"/>
    <n v="0"/>
    <n v="3.3110928000000005E-2"/>
    <m/>
    <n v="0"/>
    <n v="0"/>
    <n v="0"/>
    <n v="7044.5999999999995"/>
    <n v="27336"/>
    <n v="27346"/>
    <n v="29928"/>
    <n v="10969"/>
    <n v="12797"/>
    <n v="7365"/>
    <n v="5022"/>
    <n v="4394"/>
    <n v="132201.60000000001"/>
    <n v="0"/>
    <n v="0"/>
    <n v="0"/>
    <n v="233.2532433888"/>
    <n v="905.12032780800018"/>
    <n v="905.45143708800015"/>
    <n v="990.94385318400009"/>
    <n v="363.19376923200008"/>
    <n v="423.72054561600004"/>
    <n v="243.86198472000004"/>
    <n v="166.28308041600002"/>
    <n v="145.48941763200003"/>
    <n v="0"/>
    <n v="2043.8250082848003"/>
    <n v="1777.8581680320001"/>
    <n v="555.63448276800011"/>
    <b v="1"/>
    <n v="1733.2856590848007"/>
    <n v="0"/>
    <n v="2644.0320000000002"/>
    <n v="0"/>
    <n v="4377.3176590848007"/>
    <n v="18777"/>
    <n v="21842"/>
    <n v="26233"/>
    <n v="23482"/>
    <n v="27336"/>
    <n v="27346"/>
    <n v="29928"/>
    <n v="10969"/>
    <n v="12797"/>
    <n v="7365"/>
    <n v="5022"/>
    <n v="4394"/>
    <n v="215491"/>
    <n v="621.72389505600006"/>
    <n v="723.20888937600012"/>
    <n v="868.59897422400013"/>
    <n v="777.51081129600016"/>
    <n v="905.12032780800018"/>
    <n v="905.45143708800015"/>
    <n v="990.94385318400009"/>
    <n v="363.19376923200008"/>
    <n v="423.72054561600004"/>
    <n v="243.86198472000004"/>
    <n v="166.28308041600002"/>
    <n v="145.48941763200003"/>
    <n v="2213.5317586560004"/>
    <n v="2588.0825761920005"/>
    <n v="1777.8581680320001"/>
    <n v="555.63448276800011"/>
    <n v="2825.2869856480011"/>
    <n v="0"/>
    <n v="4309.82"/>
    <n v="0"/>
    <n v="7135.1069856480008"/>
  </r>
  <r>
    <s v="AME25-034"/>
    <s v="R109"/>
    <s v="REC"/>
    <d v="2026-04-01T00:00:00"/>
    <d v="2027-03-01T00:00:00"/>
    <x v="2"/>
    <x v="2"/>
    <x v="19"/>
    <n v="1.3110928000000004E-2"/>
    <n v="0"/>
    <n v="0.02"/>
    <n v="0"/>
    <n v="3.3110928000000005E-2"/>
    <m/>
    <n v="0"/>
    <n v="0"/>
    <n v="0"/>
    <n v="7078.5"/>
    <n v="27487"/>
    <n v="27517"/>
    <n v="30379"/>
    <n v="11135"/>
    <n v="12990"/>
    <n v="7365"/>
    <n v="5022"/>
    <n v="4394"/>
    <n v="133367.5"/>
    <n v="0"/>
    <n v="0"/>
    <n v="0"/>
    <n v="234.37570384800003"/>
    <n v="910.12007793600014"/>
    <n v="911.11340577600015"/>
    <n v="1005.8768817120001"/>
    <n v="368.69018328000004"/>
    <n v="430.11095472000005"/>
    <n v="243.86198472000004"/>
    <n v="166.28308041600002"/>
    <n v="145.48941763200003"/>
    <n v="0"/>
    <n v="2055.6091875600005"/>
    <n v="1804.6780197120004"/>
    <n v="555.63448276800011"/>
    <b v="1"/>
    <n v="1748.5716900400005"/>
    <n v="0"/>
    <n v="2667.35"/>
    <n v="0"/>
    <n v="4415.9216900400006"/>
    <n v="25016"/>
    <n v="27377"/>
    <n v="26360"/>
    <n v="23595"/>
    <n v="27487"/>
    <n v="27517"/>
    <n v="30379"/>
    <n v="11135"/>
    <n v="12990"/>
    <n v="7365"/>
    <n v="5022"/>
    <n v="4394"/>
    <n v="228637"/>
    <n v="828.30297484800008"/>
    <n v="906.47787585600008"/>
    <n v="872.80406208000011"/>
    <n v="781.25234616000012"/>
    <n v="910.12007793600014"/>
    <n v="911.11340577600015"/>
    <n v="1005.8768817120001"/>
    <n v="368.69018328000004"/>
    <n v="430.11095472000005"/>
    <n v="243.86198472000004"/>
    <n v="166.28308041600002"/>
    <n v="145.48941763200003"/>
    <n v="2607.5849127840002"/>
    <n v="2602.4858298720005"/>
    <n v="1804.6780197120004"/>
    <n v="555.63448276800011"/>
    <n v="2997.643245136001"/>
    <n v="0"/>
    <n v="4572.74"/>
    <n v="0"/>
    <n v="7570.3832451360013"/>
  </r>
  <r>
    <s v="AME25-034"/>
    <s v="R110"/>
    <s v="REC"/>
    <d v="2026-04-01T00:00:00"/>
    <d v="2027-03-01T00:00:00"/>
    <x v="2"/>
    <x v="2"/>
    <x v="19"/>
    <n v="1.3110928000000004E-2"/>
    <n v="0"/>
    <n v="0.02"/>
    <n v="0"/>
    <n v="3.3110928000000005E-2"/>
    <m/>
    <n v="0"/>
    <n v="0"/>
    <n v="0"/>
    <n v="0"/>
    <n v="0"/>
    <n v="0"/>
    <n v="0"/>
    <n v="0"/>
    <n v="0"/>
    <n v="21058"/>
    <n v="14358"/>
    <n v="12564"/>
    <n v="47980"/>
    <n v="0"/>
    <n v="0"/>
    <n v="0"/>
    <n v="0"/>
    <n v="0"/>
    <n v="0"/>
    <n v="0"/>
    <n v="0"/>
    <n v="0"/>
    <n v="697.24992182400013"/>
    <n v="475.40670422400007"/>
    <n v="416.00569939200005"/>
    <n v="0"/>
    <n v="0"/>
    <n v="0"/>
    <n v="1588.6623254400001"/>
    <b v="1"/>
    <n v="629.06232544000022"/>
    <n v="0"/>
    <n v="959.6"/>
    <n v="0"/>
    <n v="1588.6623254400001"/>
    <n v="11311"/>
    <n v="0"/>
    <n v="0"/>
    <n v="0"/>
    <n v="0"/>
    <n v="0"/>
    <n v="0"/>
    <n v="0"/>
    <n v="0"/>
    <n v="21058"/>
    <n v="14358"/>
    <n v="12564"/>
    <n v="59291"/>
    <n v="374.51770660800003"/>
    <n v="0"/>
    <n v="0"/>
    <n v="0"/>
    <n v="0"/>
    <n v="0"/>
    <n v="0"/>
    <n v="0"/>
    <n v="0"/>
    <n v="697.24992182400013"/>
    <n v="475.40670422400007"/>
    <n v="416.00569939200005"/>
    <n v="374.51770660800003"/>
    <n v="0"/>
    <n v="0"/>
    <n v="1588.6623254400001"/>
    <n v="777.36003204800022"/>
    <n v="0"/>
    <n v="1185.82"/>
    <n v="0"/>
    <n v="1963.1800320480002"/>
  </r>
  <r>
    <s v="AME25-034"/>
    <s v="R111"/>
    <s v="REC"/>
    <d v="2026-04-01T00:00:00"/>
    <d v="2027-03-01T00:00:00"/>
    <x v="2"/>
    <x v="2"/>
    <x v="19"/>
    <n v="1.3110928000000004E-2"/>
    <n v="0"/>
    <n v="0.02"/>
    <n v="0"/>
    <n v="3.3110928000000005E-2"/>
    <m/>
    <n v="0"/>
    <n v="0"/>
    <n v="0"/>
    <n v="0"/>
    <n v="0"/>
    <n v="0"/>
    <n v="0"/>
    <n v="0"/>
    <n v="0"/>
    <n v="21058"/>
    <n v="14358"/>
    <n v="12564"/>
    <n v="47980"/>
    <n v="0"/>
    <n v="0"/>
    <n v="0"/>
    <n v="0"/>
    <n v="0"/>
    <n v="0"/>
    <n v="0"/>
    <n v="0"/>
    <n v="0"/>
    <n v="697.24992182400013"/>
    <n v="475.40670422400007"/>
    <n v="416.00569939200005"/>
    <n v="0"/>
    <n v="0"/>
    <n v="0"/>
    <n v="1588.6623254400001"/>
    <b v="1"/>
    <n v="629.06232544000022"/>
    <n v="0"/>
    <n v="959.6"/>
    <n v="0"/>
    <n v="1588.6623254400001"/>
    <n v="8182"/>
    <n v="0"/>
    <n v="0"/>
    <n v="0"/>
    <n v="0"/>
    <n v="0"/>
    <n v="0"/>
    <n v="0"/>
    <n v="0"/>
    <n v="21058"/>
    <n v="14358"/>
    <n v="12564"/>
    <n v="56162"/>
    <n v="270.91361289600002"/>
    <n v="0"/>
    <n v="0"/>
    <n v="0"/>
    <n v="0"/>
    <n v="0"/>
    <n v="0"/>
    <n v="0"/>
    <n v="0"/>
    <n v="697.24992182400013"/>
    <n v="475.40670422400007"/>
    <n v="416.00569939200005"/>
    <n v="270.91361289600002"/>
    <n v="0"/>
    <n v="0"/>
    <n v="1588.6623254400001"/>
    <n v="736.33593833600025"/>
    <n v="0"/>
    <n v="1123.24"/>
    <n v="0"/>
    <n v="1859.5759383360003"/>
  </r>
  <r>
    <s v="AME25-034"/>
    <s v="R112"/>
    <s v="REC"/>
    <d v="2026-04-01T00:00:00"/>
    <d v="2027-03-01T00:00:00"/>
    <x v="2"/>
    <x v="2"/>
    <x v="19"/>
    <n v="1.3110928000000004E-2"/>
    <n v="0"/>
    <n v="0.02"/>
    <n v="0"/>
    <n v="3.3110928000000005E-2"/>
    <m/>
    <n v="0"/>
    <n v="0"/>
    <n v="0"/>
    <n v="4722.3"/>
    <n v="0"/>
    <n v="0"/>
    <n v="0"/>
    <n v="0"/>
    <n v="0"/>
    <n v="15787"/>
    <n v="10764"/>
    <n v="9419"/>
    <n v="40692.300000000003"/>
    <n v="0"/>
    <n v="0"/>
    <n v="0"/>
    <n v="156.35973529440002"/>
    <n v="0"/>
    <n v="0"/>
    <n v="0"/>
    <n v="0"/>
    <n v="0"/>
    <n v="522.72222033600008"/>
    <n v="356.40602899200007"/>
    <n v="311.87183083200006"/>
    <n v="0"/>
    <n v="156.35973529440002"/>
    <n v="0"/>
    <n v="1191.0000801600002"/>
    <b v="1"/>
    <n v="533.51381545440017"/>
    <n v="0"/>
    <n v="813.84600000000012"/>
    <n v="0"/>
    <n v="1347.3598154544002"/>
    <n v="111642"/>
    <n v="93889"/>
    <n v="50607"/>
    <n v="15741"/>
    <n v="0"/>
    <n v="0"/>
    <n v="0"/>
    <n v="0"/>
    <n v="0"/>
    <n v="15787"/>
    <n v="10764"/>
    <n v="9419"/>
    <n v="307849"/>
    <n v="3696.5702237760006"/>
    <n v="3108.7519189920004"/>
    <n v="1675.6447332960001"/>
    <n v="521.19911764800008"/>
    <n v="0"/>
    <n v="0"/>
    <n v="0"/>
    <n v="0"/>
    <n v="0"/>
    <n v="522.72222033600008"/>
    <n v="356.40602899200007"/>
    <n v="311.87183083200006"/>
    <n v="8480.9668760640016"/>
    <n v="521.19911764800008"/>
    <n v="0"/>
    <n v="1191.0000801600002"/>
    <n v="4036.1860738720015"/>
    <n v="0"/>
    <n v="6156.9800000000005"/>
    <n v="0"/>
    <n v="10193.166073872002"/>
  </r>
  <r>
    <s v="AME25-034"/>
    <s v="R113"/>
    <s v="REC"/>
    <d v="2026-04-01T00:00:00"/>
    <d v="2027-03-01T00:00:00"/>
    <x v="2"/>
    <x v="2"/>
    <x v="19"/>
    <n v="1.3110928000000004E-2"/>
    <n v="0"/>
    <n v="0.02"/>
    <n v="0"/>
    <n v="3.3110928000000005E-2"/>
    <m/>
    <n v="0"/>
    <n v="0"/>
    <n v="0"/>
    <n v="1090.8"/>
    <n v="0"/>
    <n v="0"/>
    <n v="0"/>
    <n v="0"/>
    <n v="0"/>
    <n v="15787"/>
    <n v="10764"/>
    <n v="9419"/>
    <n v="37060.800000000003"/>
    <n v="0"/>
    <n v="0"/>
    <n v="0"/>
    <n v="36.117400262400004"/>
    <n v="0"/>
    <n v="0"/>
    <n v="0"/>
    <n v="0"/>
    <n v="0"/>
    <n v="522.72222033600008"/>
    <n v="356.40602899200007"/>
    <n v="311.87183083200006"/>
    <n v="0"/>
    <n v="36.117400262400004"/>
    <n v="0"/>
    <n v="1191.0000801600002"/>
    <b v="1"/>
    <n v="485.9014804224002"/>
    <n v="0"/>
    <n v="741.21600000000012"/>
    <n v="0"/>
    <n v="1227.1174804224004"/>
    <n v="127330"/>
    <n v="18480"/>
    <n v="0"/>
    <n v="3636"/>
    <n v="0"/>
    <n v="0"/>
    <n v="0"/>
    <n v="0"/>
    <n v="0"/>
    <n v="15787"/>
    <n v="10764"/>
    <n v="9419"/>
    <n v="185416"/>
    <n v="4216.0144622400003"/>
    <n v="611.88994944000012"/>
    <n v="0"/>
    <n v="120.39133420800002"/>
    <n v="0"/>
    <n v="0"/>
    <n v="0"/>
    <n v="0"/>
    <n v="0"/>
    <n v="522.72222033600008"/>
    <n v="356.40602899200007"/>
    <n v="311.87183083200006"/>
    <n v="4827.9044116800005"/>
    <n v="120.39133420800002"/>
    <n v="0"/>
    <n v="1191.0000801600002"/>
    <n v="2430.9758260480007"/>
    <n v="0"/>
    <n v="3708.32"/>
    <n v="0"/>
    <n v="6139.2958260480009"/>
  </r>
  <r>
    <s v="AME25-034"/>
    <s v="R114"/>
    <s v="REC"/>
    <d v="2026-04-01T00:00:00"/>
    <d v="2027-03-01T00:00:00"/>
    <x v="2"/>
    <x v="2"/>
    <x v="19"/>
    <n v="1.3110928000000004E-2"/>
    <n v="0"/>
    <n v="0.02"/>
    <n v="0"/>
    <n v="3.3110928000000005E-2"/>
    <m/>
    <n v="0"/>
    <n v="0"/>
    <n v="0"/>
    <n v="484.79999999999995"/>
    <n v="0"/>
    <n v="0"/>
    <n v="0"/>
    <n v="0"/>
    <n v="0"/>
    <n v="5262"/>
    <n v="3588"/>
    <n v="3140"/>
    <n v="12474.8"/>
    <n v="0"/>
    <n v="0"/>
    <n v="0"/>
    <n v="16.0521778944"/>
    <n v="0"/>
    <n v="0"/>
    <n v="0"/>
    <n v="0"/>
    <n v="0"/>
    <n v="174.22970313600001"/>
    <n v="118.80200966400001"/>
    <n v="103.96831392000001"/>
    <n v="0"/>
    <n v="16.0521778944"/>
    <n v="0"/>
    <n v="397.00002672000005"/>
    <b v="1"/>
    <n v="163.55620461440003"/>
    <n v="0"/>
    <n v="249.49599999999998"/>
    <n v="0"/>
    <n v="413.05220461440001"/>
    <n v="21375"/>
    <n v="25253"/>
    <n v="8305"/>
    <n v="1616"/>
    <n v="0"/>
    <n v="0"/>
    <n v="0"/>
    <n v="0"/>
    <n v="0"/>
    <n v="5262"/>
    <n v="3588"/>
    <n v="3140"/>
    <n v="68539"/>
    <n v="707.7460860000001"/>
    <n v="836.15026478400011"/>
    <n v="274.98625704000005"/>
    <n v="53.507259648000009"/>
    <n v="0"/>
    <n v="0"/>
    <n v="0"/>
    <n v="0"/>
    <n v="0"/>
    <n v="174.22970313600001"/>
    <n v="118.80200966400001"/>
    <n v="103.96831392000001"/>
    <n v="1818.8826078240004"/>
    <n v="53.507259648000009"/>
    <n v="0"/>
    <n v="397.00002672000005"/>
    <n v="898.6098941920003"/>
    <n v="0"/>
    <n v="1370.78"/>
    <n v="0"/>
    <n v="2269.3898941920002"/>
  </r>
  <r>
    <s v="AME25-034"/>
    <s v="R115"/>
    <s v="REC"/>
    <d v="2026-04-01T00:00:00"/>
    <d v="2027-03-01T00:00:00"/>
    <x v="2"/>
    <x v="2"/>
    <x v="19"/>
    <n v="1.3110928000000004E-2"/>
    <n v="0"/>
    <n v="0.02"/>
    <n v="0"/>
    <n v="3.3110928000000005E-2"/>
    <m/>
    <n v="0"/>
    <n v="0"/>
    <n v="0"/>
    <n v="610.79999999999995"/>
    <n v="0"/>
    <n v="0"/>
    <n v="0"/>
    <n v="0"/>
    <n v="0"/>
    <n v="5262"/>
    <n v="3588"/>
    <n v="3140"/>
    <n v="12600.8"/>
    <n v="0"/>
    <n v="0"/>
    <n v="0"/>
    <n v="20.224154822400003"/>
    <n v="0"/>
    <n v="0"/>
    <n v="0"/>
    <n v="0"/>
    <n v="0"/>
    <n v="174.22970313600001"/>
    <n v="118.80200966400001"/>
    <n v="103.96831392000001"/>
    <n v="0"/>
    <n v="20.224154822400003"/>
    <n v="0"/>
    <n v="397.00002672000005"/>
    <b v="1"/>
    <n v="165.20818154240004"/>
    <n v="0"/>
    <n v="252.01599999999999"/>
    <n v="0"/>
    <n v="417.22418154240006"/>
    <n v="38618"/>
    <n v="37646"/>
    <n v="13090"/>
    <n v="2036"/>
    <n v="0"/>
    <n v="0"/>
    <n v="0"/>
    <n v="0"/>
    <n v="0"/>
    <n v="5262"/>
    <n v="3588"/>
    <n v="3140"/>
    <n v="103380"/>
    <n v="1278.6778175040001"/>
    <n v="1246.4939954880001"/>
    <n v="433.42204752000004"/>
    <n v="67.413849408000004"/>
    <n v="0"/>
    <n v="0"/>
    <n v="0"/>
    <n v="0"/>
    <n v="0"/>
    <n v="174.22970313600001"/>
    <n v="118.80200966400001"/>
    <n v="103.96831392000001"/>
    <n v="2958.593860512"/>
    <n v="67.413849408000004"/>
    <n v="0"/>
    <n v="397.00002672000005"/>
    <n v="1355.4077366400004"/>
    <n v="0"/>
    <n v="2067.6"/>
    <n v="0"/>
    <n v="3423.0077366400001"/>
  </r>
  <r>
    <s v="AME25-034"/>
    <s v="R116"/>
    <s v="REC"/>
    <d v="2026-04-01T00:00:00"/>
    <d v="2027-03-01T00:00:00"/>
    <x v="2"/>
    <x v="2"/>
    <x v="19"/>
    <n v="1.3110928000000004E-2"/>
    <n v="0"/>
    <n v="0.02"/>
    <n v="0"/>
    <n v="3.3110928000000005E-2"/>
    <m/>
    <n v="0"/>
    <n v="0"/>
    <n v="0"/>
    <n v="0"/>
    <n v="0"/>
    <n v="0"/>
    <n v="0"/>
    <n v="0"/>
    <n v="0"/>
    <n v="1056"/>
    <n v="720"/>
    <n v="630"/>
    <n v="2406"/>
    <n v="0"/>
    <n v="0"/>
    <n v="0"/>
    <n v="0"/>
    <n v="0"/>
    <n v="0"/>
    <n v="0"/>
    <n v="0"/>
    <n v="0"/>
    <n v="34.965139968000003"/>
    <n v="23.839868160000002"/>
    <n v="20.859884640000004"/>
    <n v="0"/>
    <n v="0"/>
    <n v="0"/>
    <n v="79.664892768000016"/>
    <b v="1"/>
    <n v="31.544892768000011"/>
    <n v="0"/>
    <n v="48.120000000000005"/>
    <n v="0"/>
    <n v="79.664892768000016"/>
    <n v="13868"/>
    <n v="6489"/>
    <n v="1228"/>
    <n v="0"/>
    <n v="0"/>
    <n v="0"/>
    <n v="0"/>
    <n v="0"/>
    <n v="0"/>
    <n v="1056"/>
    <n v="720"/>
    <n v="630"/>
    <n v="23991"/>
    <n v="459.18234950400006"/>
    <n v="214.85681179200003"/>
    <n v="40.660219584000004"/>
    <n v="0"/>
    <n v="0"/>
    <n v="0"/>
    <n v="0"/>
    <n v="0"/>
    <n v="0"/>
    <n v="34.965139968000003"/>
    <n v="23.839868160000002"/>
    <n v="20.859884640000004"/>
    <n v="714.69938088000004"/>
    <n v="0"/>
    <n v="0"/>
    <n v="79.664892768000016"/>
    <n v="314.54427364800011"/>
    <n v="0"/>
    <n v="479.82"/>
    <n v="0"/>
    <n v="794.36427364800011"/>
  </r>
  <r>
    <s v="AME25-034"/>
    <s v="R117"/>
    <s v="REC"/>
    <d v="2026-04-01T00:00:00"/>
    <d v="2027-03-01T00:00:00"/>
    <x v="2"/>
    <x v="2"/>
    <x v="19"/>
    <n v="1.3110928000000004E-2"/>
    <n v="0"/>
    <n v="0.02"/>
    <n v="0"/>
    <n v="3.3110928000000005E-2"/>
    <m/>
    <n v="0"/>
    <n v="0"/>
    <n v="0"/>
    <n v="252"/>
    <n v="0"/>
    <n v="0"/>
    <n v="0"/>
    <n v="0"/>
    <n v="0"/>
    <n v="1056"/>
    <n v="720"/>
    <n v="630"/>
    <n v="2658"/>
    <n v="0"/>
    <n v="0"/>
    <n v="0"/>
    <n v="8.3439538560000006"/>
    <n v="0"/>
    <n v="0"/>
    <n v="0"/>
    <n v="0"/>
    <n v="0"/>
    <n v="34.965139968000003"/>
    <n v="23.839868160000002"/>
    <n v="20.859884640000004"/>
    <n v="0"/>
    <n v="8.3439538560000006"/>
    <n v="0"/>
    <n v="79.664892768000016"/>
    <b v="1"/>
    <n v="34.848846624000011"/>
    <n v="0"/>
    <n v="53.160000000000004"/>
    <n v="0"/>
    <n v="88.008846624000014"/>
    <n v="11536"/>
    <n v="6221"/>
    <n v="3105"/>
    <n v="840"/>
    <n v="0"/>
    <n v="0"/>
    <n v="0"/>
    <n v="0"/>
    <n v="0"/>
    <n v="1056"/>
    <n v="720"/>
    <n v="630"/>
    <n v="24108"/>
    <n v="381.96766540800007"/>
    <n v="205.98308308800003"/>
    <n v="102.80943144000001"/>
    <n v="27.813179520000006"/>
    <n v="0"/>
    <n v="0"/>
    <n v="0"/>
    <n v="0"/>
    <n v="0"/>
    <n v="34.965139968000003"/>
    <n v="23.839868160000002"/>
    <n v="20.859884640000004"/>
    <n v="690.7601799360001"/>
    <n v="27.813179520000006"/>
    <n v="0"/>
    <n v="79.664892768000016"/>
    <n v="316.0782522240001"/>
    <n v="0"/>
    <n v="482.16"/>
    <n v="0"/>
    <n v="798.23825222400012"/>
  </r>
  <r>
    <s v="AME25-089"/>
    <s v="R130"/>
    <s v="REC"/>
    <d v="2026-03-01T00:00:00"/>
    <d v="2027-02-01T00:00:00"/>
    <x v="2"/>
    <x v="2"/>
    <x v="45"/>
    <n v="1.3110928000000004E-2"/>
    <n v="0"/>
    <n v="0.02"/>
    <n v="0"/>
    <n v="3.3110928000000005E-2"/>
    <m/>
    <n v="0"/>
    <n v="0"/>
    <n v="222"/>
    <n v="663"/>
    <n v="850"/>
    <n v="816"/>
    <n v="824"/>
    <n v="302"/>
    <n v="352"/>
    <n v="2003"/>
    <n v="1366"/>
    <n v="1195"/>
    <n v="8593"/>
    <n v="0"/>
    <n v="0"/>
    <n v="7.3506260160000014"/>
    <n v="21.952545264000005"/>
    <n v="28.144288800000005"/>
    <n v="27.018517248000006"/>
    <n v="27.283404672000003"/>
    <n v="9.999500256000001"/>
    <n v="11.655046656000001"/>
    <n v="66.321188784000014"/>
    <n v="45.229527648000008"/>
    <n v="39.567558960000007"/>
    <n v="7.3506260160000014"/>
    <n v="77.115351312000016"/>
    <n v="48.937951584000011"/>
    <n v="151.11827539200004"/>
    <b v="1"/>
    <n v="112.66220430400004"/>
    <n v="0"/>
    <n v="171.86"/>
    <n v="0"/>
    <n v="284.52220430400007"/>
    <n v="0"/>
    <n v="0"/>
    <n v="740"/>
    <n v="663"/>
    <n v="850"/>
    <n v="816"/>
    <n v="824"/>
    <n v="302"/>
    <n v="352"/>
    <n v="2003"/>
    <n v="1366"/>
    <n v="1195"/>
    <n v="9111"/>
    <n v="0"/>
    <n v="0"/>
    <n v="24.502086720000005"/>
    <n v="21.952545264000005"/>
    <n v="28.144288800000005"/>
    <n v="27.018517248000006"/>
    <n v="27.283404672000003"/>
    <n v="9.999500256000001"/>
    <n v="11.655046656000001"/>
    <n v="66.321188784000014"/>
    <n v="45.229527648000008"/>
    <n v="39.567558960000007"/>
    <n v="24.502086720000005"/>
    <n v="77.115351312000016"/>
    <n v="48.937951584000011"/>
    <n v="151.11827539200004"/>
    <n v="119.45366500800004"/>
    <n v="0"/>
    <n v="182.22"/>
    <n v="0"/>
    <n v="301.67366500800006"/>
  </r>
  <r>
    <s v="AME25-089"/>
    <s v="R131"/>
    <s v="REC"/>
    <d v="2026-03-01T00:00:00"/>
    <d v="2027-02-01T00:00:00"/>
    <x v="2"/>
    <x v="2"/>
    <x v="45"/>
    <n v="1.3110928000000004E-2"/>
    <n v="0"/>
    <n v="0.02"/>
    <n v="0"/>
    <n v="3.3110928000000005E-2"/>
    <m/>
    <n v="0"/>
    <n v="0"/>
    <n v="162.6"/>
    <n v="485"/>
    <n v="566"/>
    <n v="569"/>
    <n v="589"/>
    <n v="216"/>
    <n v="252"/>
    <n v="2003"/>
    <n v="1366"/>
    <n v="1195"/>
    <n v="7403.6"/>
    <n v="0"/>
    <n v="0"/>
    <n v="5.3838368928000007"/>
    <n v="16.058800080000001"/>
    <n v="18.740785248000002"/>
    <n v="18.840118032000003"/>
    <n v="19.502336592000002"/>
    <n v="7.1519604480000014"/>
    <n v="8.3439538560000006"/>
    <n v="66.321188784000014"/>
    <n v="45.229527648000008"/>
    <n v="39.567558960000007"/>
    <n v="5.3838368928000007"/>
    <n v="53.639703360000013"/>
    <n v="34.998250896000002"/>
    <n v="151.11827539200004"/>
    <b v="1"/>
    <n v="97.068066540800032"/>
    <n v="0"/>
    <n v="148.072"/>
    <n v="0"/>
    <n v="245.14006654080003"/>
    <n v="389"/>
    <n v="0"/>
    <n v="542"/>
    <n v="485"/>
    <n v="566"/>
    <n v="569"/>
    <n v="589"/>
    <n v="216"/>
    <n v="252"/>
    <n v="2003"/>
    <n v="1366"/>
    <n v="1195"/>
    <n v="8172"/>
    <n v="12.880150992000003"/>
    <n v="0"/>
    <n v="17.946122976000002"/>
    <n v="16.058800080000001"/>
    <n v="18.740785248000002"/>
    <n v="18.840118032000003"/>
    <n v="19.502336592000002"/>
    <n v="7.1519604480000014"/>
    <n v="8.3439538560000006"/>
    <n v="66.321188784000014"/>
    <n v="45.229527648000008"/>
    <n v="39.567558960000007"/>
    <n v="30.826273968000002"/>
    <n v="53.639703360000013"/>
    <n v="34.998250896000002"/>
    <n v="151.11827539200004"/>
    <n v="107.14250361600004"/>
    <n v="0"/>
    <n v="163.44"/>
    <n v="0"/>
    <n v="270.58250361600005"/>
  </r>
  <r>
    <s v="AME25-089"/>
    <s v="R132"/>
    <s v="REC"/>
    <d v="2026-03-01T00:00:00"/>
    <d v="2027-02-01T00:00:00"/>
    <x v="2"/>
    <x v="2"/>
    <x v="45"/>
    <n v="1.3110928000000004E-2"/>
    <n v="0"/>
    <n v="0.02"/>
    <n v="0"/>
    <n v="3.3110928000000005E-2"/>
    <m/>
    <n v="0"/>
    <n v="0"/>
    <n v="1359.6"/>
    <n v="4056"/>
    <n v="4833"/>
    <n v="4991"/>
    <n v="5573"/>
    <n v="2043"/>
    <n v="2383"/>
    <n v="7028"/>
    <n v="4792"/>
    <n v="4193"/>
    <n v="41251.599999999999"/>
    <n v="0"/>
    <n v="0"/>
    <n v="45.017617708800003"/>
    <n v="134.29792396800002"/>
    <n v="160.02511502400003"/>
    <n v="165.25664164800003"/>
    <n v="184.52720174400002"/>
    <n v="67.645625904000013"/>
    <n v="78.903341424000018"/>
    <n v="232.70360198400004"/>
    <n v="158.66756697600002"/>
    <n v="138.83412110400002"/>
    <n v="45.017617708800003"/>
    <n v="459.57968064000011"/>
    <n v="331.07616907200008"/>
    <n v="530.20529006400011"/>
    <b v="1"/>
    <n v="540.84675748480015"/>
    <n v="0"/>
    <n v="825.03200000000004"/>
    <n v="0"/>
    <n v="1365.8787574848002"/>
    <n v="35591"/>
    <n v="0"/>
    <n v="4532"/>
    <n v="4056"/>
    <n v="4833"/>
    <n v="4991"/>
    <n v="5573"/>
    <n v="2043"/>
    <n v="2383"/>
    <n v="7028"/>
    <n v="4792"/>
    <n v="4193"/>
    <n v="80015"/>
    <n v="1178.4510384480002"/>
    <n v="0"/>
    <n v="150.05872569600001"/>
    <n v="134.29792396800002"/>
    <n v="160.02511502400003"/>
    <n v="165.25664164800003"/>
    <n v="184.52720174400002"/>
    <n v="67.645625904000013"/>
    <n v="78.903341424000018"/>
    <n v="232.70360198400004"/>
    <n v="158.66756697600002"/>
    <n v="138.83412110400002"/>
    <n v="1328.5097641440002"/>
    <n v="459.57968064000011"/>
    <n v="331.07616907200008"/>
    <n v="530.20529006400011"/>
    <n v="1049.0709039200003"/>
    <n v="0"/>
    <n v="1600.3"/>
    <n v="0"/>
    <n v="2649.3709039200003"/>
  </r>
  <r>
    <s v="AME25-089"/>
    <s v="R133"/>
    <s v="REC"/>
    <d v="2026-03-01T00:00:00"/>
    <d v="2027-02-01T00:00:00"/>
    <x v="2"/>
    <x v="2"/>
    <x v="45"/>
    <n v="1.3110928000000004E-2"/>
    <n v="0"/>
    <n v="0.02"/>
    <n v="0"/>
    <n v="3.3110928000000005E-2"/>
    <m/>
    <n v="0"/>
    <n v="0"/>
    <n v="1283.7"/>
    <n v="3830"/>
    <n v="4550"/>
    <n v="4687"/>
    <n v="5259"/>
    <n v="1928"/>
    <n v="2249"/>
    <n v="7028"/>
    <n v="4792"/>
    <n v="4193"/>
    <n v="39799.699999999997"/>
    <n v="0"/>
    <n v="0"/>
    <n v="42.504498273600007"/>
    <n v="126.81485424000002"/>
    <n v="150.65472240000003"/>
    <n v="155.19091953600002"/>
    <n v="174.13037035200003"/>
    <n v="63.837869184000006"/>
    <n v="74.466477072000018"/>
    <n v="232.70360198400004"/>
    <n v="158.66756697600002"/>
    <n v="138.83412110400002"/>
    <n v="42.504498273600007"/>
    <n v="432.66049617600004"/>
    <n v="312.43471660800003"/>
    <n v="530.20529006400011"/>
    <b v="1"/>
    <n v="521.81100112160016"/>
    <n v="0"/>
    <n v="795.99399999999991"/>
    <n v="0"/>
    <n v="1317.8050011216001"/>
    <n v="33137"/>
    <n v="22728"/>
    <n v="4279"/>
    <n v="3830"/>
    <n v="4550"/>
    <n v="4687"/>
    <n v="5259"/>
    <n v="1928"/>
    <n v="2249"/>
    <n v="7028"/>
    <n v="4792"/>
    <n v="4193"/>
    <n v="98660"/>
    <n v="1097.1968211360002"/>
    <n v="752.54517158400006"/>
    <n v="141.68166091200001"/>
    <n v="126.81485424000002"/>
    <n v="150.65472240000003"/>
    <n v="155.19091953600002"/>
    <n v="174.13037035200003"/>
    <n v="63.837869184000006"/>
    <n v="74.466477072000018"/>
    <n v="232.70360198400004"/>
    <n v="158.66756697600002"/>
    <n v="138.83412110400002"/>
    <n v="1991.4236536320004"/>
    <n v="432.66049617600004"/>
    <n v="312.43471660800003"/>
    <n v="530.20529006400011"/>
    <n v="1293.5241564800003"/>
    <n v="0"/>
    <n v="1973.2"/>
    <n v="0"/>
    <n v="3266.7241564800006"/>
  </r>
  <r>
    <s v="AME25-089"/>
    <s v="R134"/>
    <s v="REC"/>
    <d v="2026-03-01T00:00:00"/>
    <d v="2027-02-01T00:00:00"/>
    <x v="2"/>
    <x v="2"/>
    <x v="45"/>
    <n v="1.3110928000000004E-2"/>
    <n v="0"/>
    <n v="0.02"/>
    <n v="0"/>
    <n v="3.3110928000000005E-2"/>
    <m/>
    <n v="0"/>
    <n v="0"/>
    <n v="4473.8999999999996"/>
    <n v="13349"/>
    <n v="15895"/>
    <n v="16586"/>
    <n v="18094"/>
    <n v="6632"/>
    <n v="7737"/>
    <n v="20084"/>
    <n v="13694"/>
    <n v="11982"/>
    <n v="128526.9"/>
    <n v="0"/>
    <n v="0"/>
    <n v="148.13498077920002"/>
    <n v="441.99777787200009"/>
    <n v="526.29820056000005"/>
    <n v="549.17785180800013"/>
    <n v="599.1091312320001"/>
    <n v="219.59167449600002"/>
    <n v="256.17924993600002"/>
    <n v="664.99987795200013"/>
    <n v="453.42104803200004"/>
    <n v="396.73513929600006"/>
    <n v="148.13498077920002"/>
    <n v="1517.4738302400001"/>
    <n v="1074.8800556640001"/>
    <n v="1515.1560652800003"/>
    <b v="1"/>
    <n v="1685.1069319632004"/>
    <n v="0"/>
    <n v="2570.538"/>
    <n v="0"/>
    <n v="4255.6449319632002"/>
    <n v="19023"/>
    <n v="4014"/>
    <n v="14913"/>
    <n v="13349"/>
    <n v="15895"/>
    <n v="16586"/>
    <n v="18094"/>
    <n v="6632"/>
    <n v="7737"/>
    <n v="20084"/>
    <n v="13694"/>
    <n v="11982"/>
    <n v="162003"/>
    <n v="629.86918334400013"/>
    <n v="132.90726499200002"/>
    <n v="493.78326926400007"/>
    <n v="441.99777787200009"/>
    <n v="526.29820056000005"/>
    <n v="549.17785180800013"/>
    <n v="599.1091312320001"/>
    <n v="219.59167449600002"/>
    <n v="256.17924993600002"/>
    <n v="664.99987795200013"/>
    <n v="453.42104803200004"/>
    <n v="396.73513929600006"/>
    <n v="1256.5597176000001"/>
    <n v="1517.4738302400001"/>
    <n v="1074.8800556640001"/>
    <n v="1515.1560652800003"/>
    <n v="2124.0096687840005"/>
    <n v="0"/>
    <n v="3240.06"/>
    <n v="0"/>
    <n v="5364.0696687840009"/>
  </r>
  <r>
    <s v="AME25-089"/>
    <s v="R135"/>
    <s v="REC"/>
    <d v="2026-03-01T00:00:00"/>
    <d v="2027-02-01T00:00:00"/>
    <x v="2"/>
    <x v="2"/>
    <x v="45"/>
    <n v="1.3110928000000004E-2"/>
    <n v="0"/>
    <n v="0.02"/>
    <n v="0"/>
    <n v="3.3110928000000005E-2"/>
    <m/>
    <n v="0"/>
    <n v="0"/>
    <n v="4744.8"/>
    <n v="14157"/>
    <n v="16330"/>
    <n v="16757"/>
    <n v="16936"/>
    <n v="6207"/>
    <n v="7242"/>
    <n v="20084"/>
    <n v="13694"/>
    <n v="11982"/>
    <n v="128133.8"/>
    <n v="0"/>
    <n v="0"/>
    <n v="157.10473117440003"/>
    <n v="468.75140769600006"/>
    <n v="540.70145424000009"/>
    <n v="554.83982049600013"/>
    <n v="560.76667660800013"/>
    <n v="205.51953009600004"/>
    <n v="239.78934057600003"/>
    <n v="664.99987795200013"/>
    <n v="453.42104803200004"/>
    <n v="396.73513929600006"/>
    <n v="157.10473117440003"/>
    <n v="1564.2926824320002"/>
    <n v="1006.0755472800001"/>
    <n v="1515.1560652800003"/>
    <b v="1"/>
    <n v="1679.9530261664006"/>
    <n v="0"/>
    <n v="2562.6759999999999"/>
    <n v="0"/>
    <n v="4242.6290261664008"/>
    <n v="34364"/>
    <n v="1003"/>
    <n v="15816"/>
    <n v="14157"/>
    <n v="16330"/>
    <n v="16757"/>
    <n v="16936"/>
    <n v="6207"/>
    <n v="7242"/>
    <n v="20084"/>
    <n v="13694"/>
    <n v="11982"/>
    <n v="174572"/>
    <n v="1137.8239297920002"/>
    <n v="33.210260784000006"/>
    <n v="523.68243724800004"/>
    <n v="468.75140769600006"/>
    <n v="540.70145424000009"/>
    <n v="554.83982049600013"/>
    <n v="560.76667660800013"/>
    <n v="205.51953009600004"/>
    <n v="239.78934057600003"/>
    <n v="664.99987795200013"/>
    <n v="453.42104803200004"/>
    <n v="396.73513929600006"/>
    <n v="1694.7166278240002"/>
    <n v="1564.2926824320002"/>
    <n v="1006.0755472800001"/>
    <n v="1515.1560652800003"/>
    <n v="2288.8009228160008"/>
    <n v="0"/>
    <n v="3491.44"/>
    <n v="0"/>
    <n v="5780.2409228160013"/>
  </r>
  <r>
    <s v="AME25-089"/>
    <s v="R136"/>
    <s v="REC"/>
    <d v="2026-03-01T00:00:00"/>
    <d v="2027-02-01T00:00:00"/>
    <x v="2"/>
    <x v="2"/>
    <x v="45"/>
    <n v="1.3110928000000004E-2"/>
    <n v="0"/>
    <n v="0.02"/>
    <n v="0"/>
    <n v="3.3110928000000005E-2"/>
    <m/>
    <n v="0"/>
    <n v="0"/>
    <n v="4603.8"/>
    <n v="0"/>
    <n v="0"/>
    <n v="0"/>
    <n v="0"/>
    <n v="0"/>
    <n v="0"/>
    <n v="15058"/>
    <n v="10267"/>
    <n v="8984"/>
    <n v="38912.800000000003"/>
    <n v="0"/>
    <n v="0"/>
    <n v="152.43609032640003"/>
    <n v="0"/>
    <n v="0"/>
    <n v="0"/>
    <n v="0"/>
    <n v="0"/>
    <n v="0"/>
    <n v="498.58435382400006"/>
    <n v="339.94989777600006"/>
    <n v="297.46857715200002"/>
    <n v="152.43609032640003"/>
    <n v="0"/>
    <n v="0"/>
    <n v="1136.0028287520001"/>
    <b v="1"/>
    <n v="510.18291907840023"/>
    <n v="0"/>
    <n v="778.25600000000009"/>
    <n v="0"/>
    <n v="1288.4389190784004"/>
    <n v="31091"/>
    <n v="2007"/>
    <n v="15346"/>
    <n v="0"/>
    <n v="0"/>
    <n v="0"/>
    <n v="0"/>
    <n v="0"/>
    <n v="0"/>
    <n v="15058"/>
    <n v="10267"/>
    <n v="8984"/>
    <n v="82753"/>
    <n v="1029.4518624480002"/>
    <n v="66.453632496000012"/>
    <n v="508.12030108800008"/>
    <n v="0"/>
    <n v="0"/>
    <n v="0"/>
    <n v="0"/>
    <n v="0"/>
    <n v="0"/>
    <n v="498.58435382400006"/>
    <n v="339.94989777600006"/>
    <n v="297.46857715200002"/>
    <n v="1604.0257960320002"/>
    <n v="0"/>
    <n v="0"/>
    <n v="1136.0028287520001"/>
    <n v="1084.9686247840004"/>
    <n v="0"/>
    <n v="1655.06"/>
    <n v="0"/>
    <n v="2740.0286247840004"/>
  </r>
  <r>
    <s v="AME25-089"/>
    <s v="R137"/>
    <s v="REC"/>
    <d v="2026-03-01T00:00:00"/>
    <d v="2027-02-01T00:00:00"/>
    <x v="2"/>
    <x v="2"/>
    <x v="45"/>
    <n v="1.3110928000000004E-2"/>
    <n v="0"/>
    <n v="0.02"/>
    <n v="0"/>
    <n v="3.3110928000000005E-2"/>
    <m/>
    <n v="0"/>
    <n v="0"/>
    <n v="9267.2999999999993"/>
    <n v="0"/>
    <n v="0"/>
    <n v="0"/>
    <n v="0"/>
    <n v="0"/>
    <n v="0"/>
    <n v="15058"/>
    <n v="10267"/>
    <n v="8984"/>
    <n v="43576.3"/>
    <n v="0"/>
    <n v="0"/>
    <n v="306.84890305440001"/>
    <n v="0"/>
    <n v="0"/>
    <n v="0"/>
    <n v="0"/>
    <n v="0"/>
    <n v="0"/>
    <n v="498.58435382400006"/>
    <n v="339.94989777600006"/>
    <n v="297.46857715200002"/>
    <n v="306.84890305440001"/>
    <n v="0"/>
    <n v="0"/>
    <n v="1136.0028287520001"/>
    <b v="1"/>
    <n v="571.3257318064002"/>
    <n v="0"/>
    <n v="871.52600000000007"/>
    <n v="0"/>
    <n v="1442.8517318064003"/>
    <n v="29557"/>
    <n v="25186"/>
    <n v="30891"/>
    <n v="0"/>
    <n v="0"/>
    <n v="0"/>
    <n v="0"/>
    <n v="0"/>
    <n v="0"/>
    <n v="15058"/>
    <n v="10267"/>
    <n v="8984"/>
    <n v="119943"/>
    <n v="978.65969889600012"/>
    <n v="833.93183260800015"/>
    <n v="1022.8296768480002"/>
    <n v="0"/>
    <n v="0"/>
    <n v="0"/>
    <n v="0"/>
    <n v="0"/>
    <n v="0"/>
    <n v="498.58435382400006"/>
    <n v="339.94989777600006"/>
    <n v="297.46857715200002"/>
    <n v="2835.4212083520006"/>
    <n v="0"/>
    <n v="0"/>
    <n v="1136.0028287520001"/>
    <n v="1572.5640371040006"/>
    <n v="0"/>
    <n v="2398.86"/>
    <n v="0"/>
    <n v="3971.4240371040005"/>
  </r>
  <r>
    <s v="AME25-089"/>
    <s v="R138"/>
    <s v="REC"/>
    <d v="2026-03-01T00:00:00"/>
    <d v="2027-02-01T00:00:00"/>
    <x v="2"/>
    <x v="2"/>
    <x v="45"/>
    <n v="1.3110928000000004E-2"/>
    <n v="0"/>
    <n v="0.02"/>
    <n v="0"/>
    <n v="3.3110928000000005E-2"/>
    <m/>
    <n v="0"/>
    <n v="0"/>
    <n v="1695.3"/>
    <n v="0"/>
    <n v="0"/>
    <n v="0"/>
    <n v="0"/>
    <n v="0"/>
    <n v="0"/>
    <n v="5026"/>
    <n v="3427"/>
    <n v="2998"/>
    <n v="13146.3"/>
    <n v="0"/>
    <n v="0"/>
    <n v="56.132956238400006"/>
    <n v="0"/>
    <n v="0"/>
    <n v="0"/>
    <n v="0"/>
    <n v="0"/>
    <n v="0"/>
    <n v="166.41552412800002"/>
    <n v="113.47115025600002"/>
    <n v="99.266562144000019"/>
    <n v="56.132956238400006"/>
    <n v="0"/>
    <n v="0"/>
    <n v="379.15323652800004"/>
    <b v="1"/>
    <n v="172.36019276640005"/>
    <n v="0"/>
    <n v="262.92599999999999"/>
    <n v="0"/>
    <n v="435.28619276640006"/>
    <n v="8448"/>
    <n v="2776"/>
    <n v="5651"/>
    <n v="0"/>
    <n v="0"/>
    <n v="0"/>
    <n v="0"/>
    <n v="0"/>
    <n v="0"/>
    <n v="5026"/>
    <n v="3427"/>
    <n v="2998"/>
    <n v="28326"/>
    <n v="279.72111974400002"/>
    <n v="91.915936128000013"/>
    <n v="187.10985412800002"/>
    <n v="0"/>
    <n v="0"/>
    <n v="0"/>
    <n v="0"/>
    <n v="0"/>
    <n v="0"/>
    <n v="166.41552412800002"/>
    <n v="113.47115025600002"/>
    <n v="99.266562144000019"/>
    <n v="558.74691000000007"/>
    <n v="0"/>
    <n v="0"/>
    <n v="379.15323652800004"/>
    <n v="371.38014652800013"/>
    <n v="0"/>
    <n v="566.52"/>
    <n v="0"/>
    <n v="937.90014652800005"/>
  </r>
  <r>
    <s v="AME25-089"/>
    <s v="R139"/>
    <s v="REC"/>
    <d v="2026-03-01T00:00:00"/>
    <d v="2027-02-01T00:00:00"/>
    <x v="2"/>
    <x v="2"/>
    <x v="45"/>
    <n v="1.3110928000000004E-2"/>
    <n v="0"/>
    <n v="0.02"/>
    <n v="0"/>
    <n v="3.3110928000000005E-2"/>
    <m/>
    <n v="0"/>
    <n v="0"/>
    <n v="1744.2"/>
    <n v="0"/>
    <n v="0"/>
    <n v="0"/>
    <n v="0"/>
    <n v="0"/>
    <n v="0"/>
    <n v="5026"/>
    <n v="3427"/>
    <n v="2998"/>
    <n v="13195.2"/>
    <n v="0"/>
    <n v="0"/>
    <n v="57.752080617600008"/>
    <n v="0"/>
    <n v="0"/>
    <n v="0"/>
    <n v="0"/>
    <n v="0"/>
    <n v="0"/>
    <n v="166.41552412800002"/>
    <n v="113.47115025600002"/>
    <n v="99.266562144000019"/>
    <n v="57.752080617600008"/>
    <n v="0"/>
    <n v="0"/>
    <n v="379.15323652800004"/>
    <b v="1"/>
    <n v="173.00131714560007"/>
    <n v="0"/>
    <n v="263.904"/>
    <n v="0"/>
    <n v="436.90531714560007"/>
    <n v="9000"/>
    <n v="0"/>
    <n v="5814"/>
    <n v="0"/>
    <n v="0"/>
    <n v="0"/>
    <n v="0"/>
    <n v="0"/>
    <n v="0"/>
    <n v="5026"/>
    <n v="3427"/>
    <n v="2998"/>
    <n v="26265"/>
    <n v="297.99835200000007"/>
    <n v="0"/>
    <n v="192.50693539200003"/>
    <n v="0"/>
    <n v="0"/>
    <n v="0"/>
    <n v="0"/>
    <n v="0"/>
    <n v="0"/>
    <n v="166.41552412800002"/>
    <n v="113.47115025600002"/>
    <n v="99.266562144000019"/>
    <n v="490.50528739200013"/>
    <n v="0"/>
    <n v="0"/>
    <n v="379.15323652800004"/>
    <n v="344.3585239200001"/>
    <n v="0"/>
    <n v="525.29999999999995"/>
    <n v="0"/>
    <n v="869.65852392000011"/>
  </r>
  <r>
    <s v="AME25-089"/>
    <s v="R140"/>
    <s v="REC"/>
    <d v="2026-03-01T00:00:00"/>
    <d v="2027-02-01T00:00:00"/>
    <x v="2"/>
    <x v="2"/>
    <x v="45"/>
    <n v="1.3110928000000004E-2"/>
    <n v="0"/>
    <n v="0.02"/>
    <n v="0"/>
    <n v="3.3110928000000005E-2"/>
    <m/>
    <n v="0"/>
    <n v="0"/>
    <n v="920.69999999999993"/>
    <n v="0"/>
    <n v="0"/>
    <n v="0"/>
    <n v="0"/>
    <n v="0"/>
    <n v="0"/>
    <n v="1011"/>
    <n v="689"/>
    <n v="603"/>
    <n v="3223.7"/>
    <n v="0"/>
    <n v="0"/>
    <n v="30.485231409600001"/>
    <n v="0"/>
    <n v="0"/>
    <n v="0"/>
    <n v="0"/>
    <n v="0"/>
    <n v="0"/>
    <n v="33.475148208000007"/>
    <n v="22.813429392000003"/>
    <n v="19.965889584000003"/>
    <n v="30.485231409600001"/>
    <n v="0"/>
    <n v="0"/>
    <n v="76.254467184000021"/>
    <b v="1"/>
    <n v="42.265698593600014"/>
    <n v="0"/>
    <n v="64.474000000000004"/>
    <n v="0"/>
    <n v="106.73969859360002"/>
    <n v="2802"/>
    <n v="3997"/>
    <n v="3069"/>
    <n v="0"/>
    <n v="0"/>
    <n v="0"/>
    <n v="0"/>
    <n v="0"/>
    <n v="0"/>
    <n v="1011"/>
    <n v="689"/>
    <n v="603"/>
    <n v="12171"/>
    <n v="92.776820256000008"/>
    <n v="132.34437921600002"/>
    <n v="101.61743803200001"/>
    <n v="0"/>
    <n v="0"/>
    <n v="0"/>
    <n v="0"/>
    <n v="0"/>
    <n v="0"/>
    <n v="33.475148208000007"/>
    <n v="22.813429392000003"/>
    <n v="19.965889584000003"/>
    <n v="326.73863750400005"/>
    <n v="0"/>
    <n v="0"/>
    <n v="76.254467184000021"/>
    <n v="159.57310468800006"/>
    <n v="0"/>
    <n v="243.42000000000002"/>
    <n v="0"/>
    <n v="402.99310468800007"/>
  </r>
  <r>
    <s v="AME25-089"/>
    <s v="R141"/>
    <s v="REC"/>
    <d v="2026-03-01T00:00:00"/>
    <d v="2027-02-01T00:00:00"/>
    <x v="2"/>
    <x v="2"/>
    <x v="45"/>
    <n v="1.3110928000000004E-2"/>
    <n v="0"/>
    <n v="0.02"/>
    <n v="0"/>
    <n v="3.3110928000000005E-2"/>
    <m/>
    <n v="0"/>
    <n v="0"/>
    <n v="893.69999999999993"/>
    <n v="0"/>
    <n v="0"/>
    <n v="0"/>
    <n v="0"/>
    <n v="0"/>
    <n v="0"/>
    <n v="1011"/>
    <n v="689"/>
    <n v="603"/>
    <n v="3196.7"/>
    <n v="0"/>
    <n v="0"/>
    <n v="29.591236353600003"/>
    <n v="0"/>
    <n v="0"/>
    <n v="0"/>
    <n v="0"/>
    <n v="0"/>
    <n v="0"/>
    <n v="33.475148208000007"/>
    <n v="22.813429392000003"/>
    <n v="19.965889584000003"/>
    <n v="29.591236353600003"/>
    <n v="0"/>
    <n v="0"/>
    <n v="76.254467184000021"/>
    <b v="1"/>
    <n v="41.911703537600012"/>
    <n v="0"/>
    <n v="63.933999999999997"/>
    <n v="0"/>
    <n v="105.8457035376"/>
    <n v="4766"/>
    <n v="3997"/>
    <n v="2979"/>
    <n v="0"/>
    <n v="0"/>
    <n v="0"/>
    <n v="0"/>
    <n v="0"/>
    <n v="0"/>
    <n v="1011"/>
    <n v="689"/>
    <n v="603"/>
    <n v="14045"/>
    <n v="157.80668284800004"/>
    <n v="132.34437921600002"/>
    <n v="98.637454512000019"/>
    <n v="0"/>
    <n v="0"/>
    <n v="0"/>
    <n v="0"/>
    <n v="0"/>
    <n v="0"/>
    <n v="33.475148208000007"/>
    <n v="22.813429392000003"/>
    <n v="19.965889584000003"/>
    <n v="388.78851657600006"/>
    <n v="0"/>
    <n v="0"/>
    <n v="76.254467184000021"/>
    <n v="184.14298376000005"/>
    <n v="0"/>
    <n v="280.90000000000003"/>
    <n v="0"/>
    <n v="465.04298376000008"/>
  </r>
  <r>
    <s v="AME25-039"/>
    <s v="R94"/>
    <s v="REC"/>
    <d v="2026-04-01T00:00:00"/>
    <d v="2027-03-01T00:00:00"/>
    <x v="2"/>
    <x v="2"/>
    <x v="46"/>
    <n v="1.3110928000000004E-2"/>
    <n v="0"/>
    <n v="0.02"/>
    <n v="0"/>
    <n v="3.3110928000000005E-2"/>
    <m/>
    <n v="0"/>
    <n v="0"/>
    <n v="0"/>
    <n v="1498.2"/>
    <n v="5833"/>
    <n v="5864"/>
    <n v="10480"/>
    <n v="3841"/>
    <n v="4481"/>
    <n v="4862"/>
    <n v="3315"/>
    <n v="2901"/>
    <n v="43075.199999999997"/>
    <n v="0"/>
    <n v="0"/>
    <n v="0"/>
    <n v="49.606792329600012"/>
    <n v="193.13604302400003"/>
    <n v="194.16248179200002"/>
    <n v="347.00252544000006"/>
    <n v="127.17907444800002"/>
    <n v="148.37006836800003"/>
    <n v="160.98533193600002"/>
    <n v="109.76272632000001"/>
    <n v="96.05480212800002"/>
    <n v="0"/>
    <n v="436.90531714560007"/>
    <n v="622.55166825600008"/>
    <n v="366.80286038400004"/>
    <b v="1"/>
    <n v="564.75584578560017"/>
    <n v="0"/>
    <n v="861.50399999999991"/>
    <n v="0"/>
    <n v="1426.2598457856002"/>
    <n v="0"/>
    <n v="5168"/>
    <n v="5579"/>
    <n v="4994"/>
    <n v="5833"/>
    <n v="5864"/>
    <n v="10480"/>
    <n v="3841"/>
    <n v="4481"/>
    <n v="4862"/>
    <n v="3315"/>
    <n v="2901"/>
    <n v="57318"/>
    <n v="0"/>
    <n v="171.11727590400002"/>
    <n v="184.72586731200002"/>
    <n v="165.35597443200001"/>
    <n v="193.13604302400003"/>
    <n v="194.16248179200002"/>
    <n v="347.00252544000006"/>
    <n v="127.17907444800002"/>
    <n v="148.37006836800003"/>
    <n v="160.98533193600002"/>
    <n v="109.76272632000001"/>
    <n v="96.05480212800002"/>
    <n v="355.84314321600004"/>
    <n v="552.65449924800009"/>
    <n v="622.55166825600008"/>
    <n v="366.80286038400004"/>
    <n v="751.49217110400025"/>
    <n v="0"/>
    <n v="1146.3600000000001"/>
    <n v="0"/>
    <n v="1897.8521711040003"/>
  </r>
  <r>
    <s v="AME25-039"/>
    <s v="R95"/>
    <s v="REC"/>
    <d v="2026-04-01T00:00:00"/>
    <d v="2027-03-01T00:00:00"/>
    <x v="2"/>
    <x v="2"/>
    <x v="46"/>
    <n v="1.7194975588760087E-2"/>
    <n v="0"/>
    <n v="0.02"/>
    <n v="0"/>
    <n v="3.7194975588760087E-2"/>
    <m/>
    <n v="0"/>
    <n v="0"/>
    <n v="0"/>
    <n v="1483.5"/>
    <n v="5777"/>
    <n v="5807"/>
    <n v="10146"/>
    <n v="3719"/>
    <n v="4338"/>
    <n v="4707"/>
    <n v="3209"/>
    <n v="2808"/>
    <n v="41994.5"/>
    <n v="0"/>
    <n v="0"/>
    <n v="0"/>
    <n v="55.178746285925591"/>
    <n v="214.87537397626701"/>
    <n v="215.99122324392982"/>
    <n v="377.38022232355985"/>
    <n v="138.32811421459877"/>
    <n v="161.35180410404126"/>
    <n v="175.07675009629372"/>
    <n v="119.35867666433111"/>
    <n v="104.44349145323832"/>
    <n v="0"/>
    <n v="486.04534350612244"/>
    <n v="677.06014064219994"/>
    <n v="398.87891821386319"/>
    <b v="1"/>
    <n v="722.09440236218552"/>
    <n v="0"/>
    <n v="839.89"/>
    <n v="0"/>
    <n v="1561.9844023621854"/>
    <n v="4970"/>
    <n v="5118"/>
    <n v="5525"/>
    <n v="4945"/>
    <n v="5777"/>
    <n v="5807"/>
    <n v="10146"/>
    <n v="3719"/>
    <n v="4338"/>
    <n v="4707"/>
    <n v="3209"/>
    <n v="2808"/>
    <n v="61069"/>
    <n v="184.85902867613763"/>
    <n v="190.36388506327413"/>
    <n v="205.50224012789948"/>
    <n v="183.92915428641862"/>
    <n v="214.87537397626701"/>
    <n v="215.99122324392982"/>
    <n v="377.38022232355985"/>
    <n v="138.32811421459877"/>
    <n v="161.35180410404126"/>
    <n v="175.07675009629372"/>
    <n v="119.35867666433111"/>
    <n v="104.44349145323832"/>
    <n v="580.72515386731129"/>
    <n v="614.79575150661549"/>
    <n v="677.06014064219994"/>
    <n v="398.87891821386319"/>
    <n v="1050.0799642299899"/>
    <n v="0"/>
    <n v="1221.3800000000001"/>
    <n v="0"/>
    <n v="2271.45996422999"/>
  </r>
  <r>
    <s v="AME25-039"/>
    <s v="R96"/>
    <s v="REC"/>
    <d v="2026-04-01T00:00:00"/>
    <d v="2027-03-01T00:00:00"/>
    <x v="2"/>
    <x v="2"/>
    <x v="46"/>
    <n v="1.7194975588760087E-2"/>
    <n v="0"/>
    <n v="0.02"/>
    <n v="0"/>
    <n v="3.7194975588760087E-2"/>
    <m/>
    <n v="0"/>
    <n v="0"/>
    <n v="0"/>
    <n v="10428.6"/>
    <n v="40531"/>
    <n v="40175"/>
    <n v="32184"/>
    <n v="11796"/>
    <n v="13762"/>
    <n v="14931"/>
    <n v="10180"/>
    <n v="8908"/>
    <n v="182895.6"/>
    <n v="0"/>
    <n v="0"/>
    <n v="0"/>
    <n v="387.89152242494345"/>
    <n v="1507.5495555880352"/>
    <n v="1494.3081442784364"/>
    <n v="1197.0830943486546"/>
    <n v="438.75193204501397"/>
    <n v="511.87725405251632"/>
    <n v="555.35818051577689"/>
    <n v="378.64485149357768"/>
    <n v="331.33284254467486"/>
    <n v="0"/>
    <n v="3389.7492222914152"/>
    <n v="2147.7122804461851"/>
    <n v="1265.3358745540295"/>
    <b v="1"/>
    <n v="3144.8853772916295"/>
    <n v="0"/>
    <n v="3657.9120000000003"/>
    <n v="0"/>
    <n v="6802.7973772916303"/>
    <n v="33341"/>
    <n v="39720"/>
    <n v="38835"/>
    <n v="34762"/>
    <n v="40531"/>
    <n v="40175"/>
    <n v="32184"/>
    <n v="11796"/>
    <n v="13762"/>
    <n v="14931"/>
    <n v="10180"/>
    <n v="8908"/>
    <n v="319125"/>
    <n v="1240.1176811048501"/>
    <n v="1477.3844303855508"/>
    <n v="1444.4668769894979"/>
    <n v="1292.9717414164782"/>
    <n v="1507.5495555880352"/>
    <n v="1494.3081442784364"/>
    <n v="1197.0830943486546"/>
    <n v="438.75193204501397"/>
    <n v="511.87725405251632"/>
    <n v="555.35818051577689"/>
    <n v="378.64485149357768"/>
    <n v="331.33284254467486"/>
    <n v="4161.9689884798991"/>
    <n v="4294.8294412829491"/>
    <n v="2147.7122804461851"/>
    <n v="1265.3358745540295"/>
    <n v="5487.3465847630632"/>
    <n v="0"/>
    <n v="6382.5"/>
    <n v="0"/>
    <n v="11869.846584763063"/>
  </r>
  <r>
    <s v="AME25-039"/>
    <s v="R97"/>
    <s v="REC"/>
    <d v="2026-04-01T00:00:00"/>
    <d v="2027-03-01T00:00:00"/>
    <x v="2"/>
    <x v="2"/>
    <x v="46"/>
    <n v="1.7194975588760087E-2"/>
    <n v="0"/>
    <n v="0.02"/>
    <n v="0"/>
    <n v="3.7194975588760087E-2"/>
    <m/>
    <n v="0"/>
    <n v="0"/>
    <n v="0"/>
    <n v="10937.699999999999"/>
    <n v="42514"/>
    <n v="42148"/>
    <n v="33637"/>
    <n v="12329"/>
    <n v="14383"/>
    <n v="15605"/>
    <n v="10640"/>
    <n v="9310"/>
    <n v="191503.7"/>
    <n v="0"/>
    <n v="0"/>
    <n v="0"/>
    <n v="406.82748449718116"/>
    <n v="1581.3071921805463"/>
    <n v="1567.6938311150602"/>
    <n v="1251.127393879123"/>
    <n v="458.57685403382311"/>
    <n v="534.97533389313639"/>
    <n v="580.4275940626012"/>
    <n v="395.75454026440735"/>
    <n v="346.28522273135644"/>
    <n v="0"/>
    <n v="3555.8285077927876"/>
    <n v="2244.6795818060828"/>
    <n v="1322.467357058365"/>
    <b v="0"/>
    <n v="3292.9014466572353"/>
    <n v="0"/>
    <n v="3830.0740000000005"/>
    <n v="0"/>
    <n v="7122.9754466572358"/>
    <n v="42116"/>
    <n v="40773"/>
    <n v="40731"/>
    <n v="36459"/>
    <n v="42514"/>
    <n v="42148"/>
    <n v="33637"/>
    <n v="12329"/>
    <n v="14383"/>
    <n v="15605"/>
    <n v="10640"/>
    <n v="9310"/>
    <n v="340645"/>
    <n v="1566.5035918962199"/>
    <n v="1516.5507396805151"/>
    <n v="1514.988550705787"/>
    <n v="1356.0916149906041"/>
    <n v="1581.3071921805463"/>
    <n v="1567.6938311150602"/>
    <n v="1251.127393879123"/>
    <n v="458.57685403382311"/>
    <n v="534.97533389313639"/>
    <n v="580.4275940626012"/>
    <n v="395.75454026440735"/>
    <n v="346.28522273135644"/>
    <n v="4598.0428822825215"/>
    <n v="4505.0926382862108"/>
    <n v="2244.6795818060828"/>
    <n v="1322.467357058365"/>
    <n v="5857.38245943318"/>
    <n v="0"/>
    <n v="6812.9000000000005"/>
    <n v="0"/>
    <n v="12670.28245943318"/>
  </r>
  <r>
    <s v="AME25-039"/>
    <s v="R98"/>
    <s v="REC"/>
    <d v="2026-04-01T00:00:00"/>
    <d v="2027-03-01T00:00:00"/>
    <x v="2"/>
    <x v="2"/>
    <x v="46"/>
    <n v="1.7194975588760087E-2"/>
    <n v="0"/>
    <n v="0.02"/>
    <n v="0"/>
    <n v="3.7194975588760087E-2"/>
    <m/>
    <n v="0"/>
    <n v="0"/>
    <n v="0"/>
    <n v="0"/>
    <n v="0"/>
    <n v="0"/>
    <n v="0"/>
    <n v="0"/>
    <n v="0"/>
    <n v="0"/>
    <n v="0"/>
    <n v="0"/>
    <n v="0"/>
    <n v="0"/>
    <n v="0"/>
    <n v="0"/>
    <n v="0"/>
    <n v="0"/>
    <n v="0"/>
    <n v="0"/>
    <n v="0"/>
    <n v="0"/>
    <n v="0"/>
    <n v="0"/>
    <n v="0"/>
    <n v="0"/>
    <n v="0"/>
    <n v="0"/>
    <n v="0"/>
    <b v="1"/>
    <n v="0"/>
    <n v="0"/>
    <n v="0"/>
    <n v="0"/>
    <n v="0"/>
    <n v="167340"/>
    <n v="39519"/>
    <n v="0"/>
    <n v="0"/>
    <n v="0"/>
    <n v="0"/>
    <n v="0"/>
    <n v="0"/>
    <n v="0"/>
    <n v="0"/>
    <n v="0"/>
    <n v="0"/>
    <n v="206859"/>
    <n v="6224.2072150231133"/>
    <n v="1469.9082402922099"/>
    <n v="0"/>
    <n v="0"/>
    <n v="0"/>
    <n v="0"/>
    <n v="0"/>
    <n v="0"/>
    <n v="0"/>
    <n v="0"/>
    <n v="0"/>
    <n v="0"/>
    <n v="7694.1154553153228"/>
    <n v="0"/>
    <n v="0"/>
    <n v="0"/>
    <n v="3556.935455315323"/>
    <n v="0"/>
    <n v="4137.18"/>
    <n v="0"/>
    <n v="7694.1154553153228"/>
  </r>
  <r>
    <s v="AME25-039"/>
    <s v="R99"/>
    <s v="REC"/>
    <d v="2026-04-01T00:00:00"/>
    <d v="2027-03-01T00:00:00"/>
    <x v="2"/>
    <x v="2"/>
    <x v="46"/>
    <n v="1.7194975588760087E-2"/>
    <n v="0"/>
    <n v="0.02"/>
    <n v="0"/>
    <n v="3.7194975588760087E-2"/>
    <m/>
    <n v="0"/>
    <n v="0"/>
    <n v="0"/>
    <n v="0"/>
    <n v="0"/>
    <n v="0"/>
    <n v="0"/>
    <n v="0"/>
    <n v="0"/>
    <n v="0"/>
    <n v="0"/>
    <n v="0"/>
    <n v="0"/>
    <n v="0"/>
    <n v="0"/>
    <n v="0"/>
    <n v="0"/>
    <n v="0"/>
    <n v="0"/>
    <n v="0"/>
    <n v="0"/>
    <n v="0"/>
    <n v="0"/>
    <n v="0"/>
    <n v="0"/>
    <n v="0"/>
    <n v="0"/>
    <n v="0"/>
    <n v="0"/>
    <b v="1"/>
    <n v="0"/>
    <n v="0"/>
    <n v="0"/>
    <n v="0"/>
    <n v="0"/>
    <n v="127392"/>
    <n v="0"/>
    <n v="0"/>
    <n v="0"/>
    <n v="0"/>
    <n v="0"/>
    <n v="0"/>
    <n v="0"/>
    <n v="0"/>
    <n v="0"/>
    <n v="0"/>
    <n v="0"/>
    <n v="127392"/>
    <n v="4738.3423302033252"/>
    <n v="0"/>
    <n v="0"/>
    <n v="0"/>
    <n v="0"/>
    <n v="0"/>
    <n v="0"/>
    <n v="0"/>
    <n v="0"/>
    <n v="0"/>
    <n v="0"/>
    <n v="0"/>
    <n v="4738.3423302033252"/>
    <n v="0"/>
    <n v="0"/>
    <n v="0"/>
    <n v="2190.5023302033251"/>
    <n v="0"/>
    <n v="2547.84"/>
    <n v="0"/>
    <n v="4738.3423302033252"/>
  </r>
  <r>
    <s v="AME25-039"/>
    <s v="R100"/>
    <s v="REC"/>
    <d v="2026-04-01T00:00:00"/>
    <d v="2027-03-01T00:00:00"/>
    <x v="2"/>
    <x v="2"/>
    <x v="46"/>
    <n v="1.7194975588760087E-2"/>
    <n v="0"/>
    <n v="0.02"/>
    <n v="0"/>
    <n v="3.7194975588760087E-2"/>
    <m/>
    <n v="0"/>
    <n v="0"/>
    <n v="0"/>
    <n v="0"/>
    <n v="0"/>
    <n v="0"/>
    <n v="0"/>
    <n v="0"/>
    <n v="0"/>
    <n v="0"/>
    <n v="0"/>
    <n v="0"/>
    <n v="0"/>
    <n v="0"/>
    <n v="0"/>
    <n v="0"/>
    <n v="0"/>
    <n v="0"/>
    <n v="0"/>
    <n v="0"/>
    <n v="0"/>
    <n v="0"/>
    <n v="0"/>
    <n v="0"/>
    <n v="0"/>
    <n v="0"/>
    <n v="0"/>
    <n v="0"/>
    <n v="0"/>
    <b v="1"/>
    <n v="0"/>
    <n v="0"/>
    <n v="0"/>
    <n v="0"/>
    <n v="0"/>
    <n v="207860"/>
    <n v="0"/>
    <n v="0"/>
    <n v="0"/>
    <n v="0"/>
    <n v="0"/>
    <n v="0"/>
    <n v="0"/>
    <n v="0"/>
    <n v="0"/>
    <n v="0"/>
    <n v="0"/>
    <n v="207860"/>
    <n v="7731.3476258796718"/>
    <n v="0"/>
    <n v="0"/>
    <n v="0"/>
    <n v="0"/>
    <n v="0"/>
    <n v="0"/>
    <n v="0"/>
    <n v="0"/>
    <n v="0"/>
    <n v="0"/>
    <n v="0"/>
    <n v="7731.3476258796718"/>
    <n v="0"/>
    <n v="0"/>
    <n v="0"/>
    <n v="3574.1476258796715"/>
    <n v="0"/>
    <n v="4157.2"/>
    <n v="0"/>
    <n v="7731.3476258796709"/>
  </r>
  <r>
    <s v="AME25-039"/>
    <s v="R101"/>
    <s v="REC"/>
    <d v="2026-04-01T00:00:00"/>
    <d v="2027-03-01T00:00:00"/>
    <x v="2"/>
    <x v="2"/>
    <x v="46"/>
    <n v="1.7194975588760087E-2"/>
    <n v="0"/>
    <n v="0.02"/>
    <n v="0"/>
    <n v="3.7194975588760087E-2"/>
    <m/>
    <n v="0"/>
    <n v="0"/>
    <n v="0"/>
    <n v="0"/>
    <n v="0"/>
    <n v="0"/>
    <n v="0"/>
    <n v="0"/>
    <n v="0"/>
    <n v="0"/>
    <n v="0"/>
    <n v="0"/>
    <n v="0"/>
    <n v="0"/>
    <n v="0"/>
    <n v="0"/>
    <n v="0"/>
    <n v="0"/>
    <n v="0"/>
    <n v="0"/>
    <n v="0"/>
    <n v="0"/>
    <n v="0"/>
    <n v="0"/>
    <n v="0"/>
    <n v="0"/>
    <n v="0"/>
    <n v="0"/>
    <n v="0"/>
    <b v="1"/>
    <n v="0"/>
    <n v="0"/>
    <n v="0"/>
    <n v="0"/>
    <n v="0"/>
    <n v="206858"/>
    <n v="0"/>
    <n v="0"/>
    <n v="0"/>
    <n v="0"/>
    <n v="0"/>
    <n v="0"/>
    <n v="0"/>
    <n v="0"/>
    <n v="0"/>
    <n v="0"/>
    <n v="0"/>
    <n v="206858"/>
    <n v="7694.0782603397338"/>
    <n v="0"/>
    <n v="0"/>
    <n v="0"/>
    <n v="0"/>
    <n v="0"/>
    <n v="0"/>
    <n v="0"/>
    <n v="0"/>
    <n v="0"/>
    <n v="0"/>
    <n v="0"/>
    <n v="7694.0782603397338"/>
    <n v="0"/>
    <n v="0"/>
    <n v="0"/>
    <n v="3556.9182603397339"/>
    <n v="0"/>
    <n v="4137.16"/>
    <n v="0"/>
    <n v="7694.0782603397338"/>
  </r>
  <r>
    <s v="AME25-039"/>
    <s v="R102"/>
    <s v="REC"/>
    <d v="2026-04-01T00:00:00"/>
    <d v="2027-03-01T00:00:00"/>
    <x v="2"/>
    <x v="2"/>
    <x v="46"/>
    <n v="1.7194975588760087E-2"/>
    <n v="0"/>
    <n v="0.02"/>
    <n v="0"/>
    <n v="3.7194975588760087E-2"/>
    <m/>
    <n v="0"/>
    <n v="0"/>
    <n v="0"/>
    <n v="0"/>
    <n v="0"/>
    <n v="0"/>
    <n v="0"/>
    <n v="0"/>
    <n v="0"/>
    <n v="0"/>
    <n v="0"/>
    <n v="0"/>
    <n v="0"/>
    <n v="0"/>
    <n v="0"/>
    <n v="0"/>
    <n v="0"/>
    <n v="0"/>
    <n v="0"/>
    <n v="0"/>
    <n v="0"/>
    <n v="0"/>
    <n v="0"/>
    <n v="0"/>
    <n v="0"/>
    <n v="0"/>
    <n v="0"/>
    <n v="0"/>
    <n v="0"/>
    <b v="1"/>
    <n v="0"/>
    <n v="0"/>
    <n v="0"/>
    <n v="0"/>
    <n v="0"/>
    <n v="88344"/>
    <n v="44202"/>
    <n v="0"/>
    <n v="0"/>
    <n v="0"/>
    <n v="0"/>
    <n v="0"/>
    <n v="0"/>
    <n v="0"/>
    <n v="0"/>
    <n v="0"/>
    <n v="0"/>
    <n v="132546"/>
    <n v="3285.9529234134211"/>
    <n v="1644.0923109743733"/>
    <n v="0"/>
    <n v="0"/>
    <n v="0"/>
    <n v="0"/>
    <n v="0"/>
    <n v="0"/>
    <n v="0"/>
    <n v="0"/>
    <n v="0"/>
    <n v="0"/>
    <n v="4930.0452343877942"/>
    <n v="0"/>
    <n v="0"/>
    <n v="0"/>
    <n v="2279.1252343877945"/>
    <n v="0"/>
    <n v="2650.92"/>
    <n v="0"/>
    <n v="4930.0452343877951"/>
  </r>
  <r>
    <s v="AME25-039"/>
    <s v="R103"/>
    <s v="REC"/>
    <d v="2026-04-01T00:00:00"/>
    <d v="2027-03-01T00:00:00"/>
    <x v="2"/>
    <x v="2"/>
    <x v="46"/>
    <n v="1.7194975588760087E-2"/>
    <n v="0"/>
    <n v="0.02"/>
    <n v="0"/>
    <n v="3.7194975588760087E-2"/>
    <m/>
    <n v="0"/>
    <n v="0"/>
    <n v="0"/>
    <n v="0"/>
    <n v="0"/>
    <n v="0"/>
    <n v="0"/>
    <n v="0"/>
    <n v="0"/>
    <n v="0"/>
    <n v="0"/>
    <n v="0"/>
    <n v="0"/>
    <n v="0"/>
    <n v="0"/>
    <n v="0"/>
    <n v="0"/>
    <n v="0"/>
    <n v="0"/>
    <n v="0"/>
    <n v="0"/>
    <n v="0"/>
    <n v="0"/>
    <n v="0"/>
    <n v="0"/>
    <n v="0"/>
    <n v="0"/>
    <n v="0"/>
    <n v="0"/>
    <b v="1"/>
    <n v="0"/>
    <n v="0"/>
    <n v="0"/>
    <n v="0"/>
    <n v="0"/>
    <n v="71816"/>
    <n v="16724"/>
    <n v="0"/>
    <n v="0"/>
    <n v="0"/>
    <n v="0"/>
    <n v="0"/>
    <n v="0"/>
    <n v="0"/>
    <n v="0"/>
    <n v="0"/>
    <n v="0"/>
    <n v="88540"/>
    <n v="2671.1943668823947"/>
    <n v="622.04877174642365"/>
    <n v="0"/>
    <n v="0"/>
    <n v="0"/>
    <n v="0"/>
    <n v="0"/>
    <n v="0"/>
    <n v="0"/>
    <n v="0"/>
    <n v="0"/>
    <n v="0"/>
    <n v="3293.2431386288181"/>
    <n v="0"/>
    <n v="0"/>
    <n v="0"/>
    <n v="1522.4431386288181"/>
    <n v="0"/>
    <n v="1770.8"/>
    <n v="0"/>
    <n v="3293.2431386288181"/>
  </r>
  <r>
    <s v="AME25-039"/>
    <s v="R104"/>
    <s v="REC"/>
    <d v="2026-04-01T00:00:00"/>
    <d v="2027-03-01T00:00:00"/>
    <x v="2"/>
    <x v="2"/>
    <x v="46"/>
    <n v="1.7194975588760087E-2"/>
    <n v="0"/>
    <n v="0.02"/>
    <n v="0"/>
    <n v="3.7194975588760087E-2"/>
    <m/>
    <n v="0"/>
    <n v="0"/>
    <n v="0"/>
    <n v="6971.7"/>
    <n v="27109"/>
    <n v="27175"/>
    <n v="22019"/>
    <n v="8070"/>
    <n v="9415"/>
    <n v="10215"/>
    <n v="6965"/>
    <n v="6094"/>
    <n v="124033.7"/>
    <n v="0"/>
    <n v="0"/>
    <n v="0"/>
    <n v="259.31221131215869"/>
    <n v="1008.3185932356972"/>
    <n v="1010.7734616245554"/>
    <n v="818.99616748890833"/>
    <n v="300.16345300129393"/>
    <n v="350.19069516817621"/>
    <n v="379.94667563918432"/>
    <n v="259.06300497571402"/>
    <n v="226.66618123790397"/>
    <n v="0"/>
    <n v="2278.4042661724111"/>
    <n v="1469.3503156583786"/>
    <n v="865.67586185280231"/>
    <b v="1"/>
    <n v="2132.7564436835919"/>
    <n v="0"/>
    <n v="2480.674"/>
    <n v="0"/>
    <n v="4613.4304436835919"/>
    <n v="26877"/>
    <n v="17075"/>
    <n v="24933"/>
    <n v="23239"/>
    <n v="27109"/>
    <n v="27175"/>
    <n v="22019"/>
    <n v="8070"/>
    <n v="9415"/>
    <n v="10215"/>
    <n v="6965"/>
    <n v="6094"/>
    <n v="209186"/>
    <n v="999.68935889910483"/>
    <n v="635.10420817807847"/>
    <n v="927.38232635455529"/>
    <n v="864.37403770719573"/>
    <n v="1008.3185932356972"/>
    <n v="1010.7734616245554"/>
    <n v="818.99616748890833"/>
    <n v="300.16345300129393"/>
    <n v="350.19069516817621"/>
    <n v="379.94667563918432"/>
    <n v="259.06300497571402"/>
    <n v="226.66618123790397"/>
    <n v="2562.1758934317386"/>
    <n v="2883.4660925674484"/>
    <n v="1469.3503156583786"/>
    <n v="865.67586185280231"/>
    <n v="3596.9481635103675"/>
    <n v="0"/>
    <n v="4183.72"/>
    <n v="0"/>
    <n v="7780.6681635103678"/>
  </r>
  <r>
    <s v="AME25-039"/>
    <s v="R105"/>
    <s v="REC"/>
    <d v="2026-04-01T00:00:00"/>
    <d v="2027-03-01T00:00:00"/>
    <x v="2"/>
    <x v="2"/>
    <x v="46"/>
    <n v="1.7194975588760087E-2"/>
    <n v="0"/>
    <n v="0.02"/>
    <n v="0"/>
    <n v="3.7194975588760087E-2"/>
    <m/>
    <n v="0"/>
    <n v="0"/>
    <n v="0"/>
    <n v="6957.3"/>
    <n v="27052"/>
    <n v="27137"/>
    <n v="21999"/>
    <n v="8063"/>
    <n v="9407"/>
    <n v="10206"/>
    <n v="6959"/>
    <n v="6089"/>
    <n v="123869.3"/>
    <n v="0"/>
    <n v="0"/>
    <n v="0"/>
    <n v="258.77660366368059"/>
    <n v="1006.1984796271379"/>
    <n v="1009.3600525521825"/>
    <n v="818.25226797713322"/>
    <n v="299.9030881721726"/>
    <n v="349.89313536346611"/>
    <n v="379.61192085888547"/>
    <n v="258.83983512218146"/>
    <n v="226.48020635996016"/>
    <n v="0"/>
    <n v="2274.3351358430009"/>
    <n v="1468.048491512772"/>
    <n v="864.9319623410272"/>
    <b v="1"/>
    <n v="2129.9295896968001"/>
    <n v="0"/>
    <n v="2477.386"/>
    <n v="0"/>
    <n v="4607.3155896968001"/>
    <n v="27634"/>
    <n v="26056"/>
    <n v="25908"/>
    <n v="23191"/>
    <n v="27052"/>
    <n v="27137"/>
    <n v="21999"/>
    <n v="8063"/>
    <n v="9407"/>
    <n v="10206"/>
    <n v="6959"/>
    <n v="6089"/>
    <n v="219701"/>
    <n v="1027.8459554197962"/>
    <n v="969.15228394073279"/>
    <n v="963.64742755359634"/>
    <n v="862.58867887893518"/>
    <n v="1006.1984796271379"/>
    <n v="1009.3600525521825"/>
    <n v="818.25226797713322"/>
    <n v="299.9030881721726"/>
    <n v="349.89313536346611"/>
    <n v="379.61192085888547"/>
    <n v="258.83983512218146"/>
    <n v="226.48020635996016"/>
    <n v="2960.6456669141253"/>
    <n v="2878.1472110582554"/>
    <n v="1468.048491512772"/>
    <n v="864.9319623410272"/>
    <n v="3777.7533318261799"/>
    <n v="0"/>
    <n v="4394.0200000000004"/>
    <n v="0"/>
    <n v="8171.7733318261799"/>
  </r>
  <r>
    <s v="AME25-039"/>
    <s v="R118"/>
    <s v="REC"/>
    <d v="2026-04-01T00:00:00"/>
    <d v="2027-03-01T00:00:00"/>
    <x v="2"/>
    <x v="2"/>
    <x v="46"/>
    <n v="1.7194975588760087E-2"/>
    <n v="0"/>
    <n v="0.02"/>
    <n v="0"/>
    <n v="3.7194975588760087E-2"/>
    <m/>
    <n v="0"/>
    <n v="0"/>
    <n v="0"/>
    <n v="237.6"/>
    <n v="963"/>
    <n v="1006"/>
    <n v="883"/>
    <n v="324"/>
    <n v="378"/>
    <n v="410"/>
    <n v="279"/>
    <n v="244"/>
    <n v="4724.6000000000004"/>
    <n v="0"/>
    <n v="0"/>
    <n v="0"/>
    <n v="8.8375261998893961"/>
    <n v="35.818761491975962"/>
    <n v="37.418145442292648"/>
    <n v="32.843163444875159"/>
    <n v="12.051172090758268"/>
    <n v="14.059700772551313"/>
    <n v="15.249939991391637"/>
    <n v="10.377398189264065"/>
    <n v="9.0755740436574612"/>
    <n v="0"/>
    <n v="82.074433134157999"/>
    <n v="58.95403630818474"/>
    <n v="34.702912224313167"/>
    <b v="1"/>
    <n v="81.239381666655916"/>
    <n v="0"/>
    <n v="94.492000000000004"/>
    <n v="0"/>
    <n v="175.73138166665592"/>
    <n v="1227"/>
    <n v="0"/>
    <n v="885"/>
    <n v="792"/>
    <n v="963"/>
    <n v="1006"/>
    <n v="883"/>
    <n v="324"/>
    <n v="378"/>
    <n v="410"/>
    <n v="279"/>
    <n v="244"/>
    <n v="7391"/>
    <n v="45.638235047408628"/>
    <n v="0"/>
    <n v="32.917553396052675"/>
    <n v="29.458420666297989"/>
    <n v="35.818761491975962"/>
    <n v="37.418145442292648"/>
    <n v="32.843163444875159"/>
    <n v="12.051172090758268"/>
    <n v="14.059700772551313"/>
    <n v="15.249939991391637"/>
    <n v="10.377398189264065"/>
    <n v="9.0755740436574612"/>
    <n v="78.555788443461296"/>
    <n v="102.6953276005666"/>
    <n v="58.95403630818474"/>
    <n v="34.702912224313167"/>
    <n v="127.08806457652581"/>
    <n v="0"/>
    <n v="147.82"/>
    <n v="0"/>
    <n v="274.90806457652582"/>
  </r>
  <r>
    <s v="AME25-039"/>
    <s v="R119"/>
    <s v="REC"/>
    <d v="2026-04-01T00:00:00"/>
    <d v="2027-03-01T00:00:00"/>
    <x v="2"/>
    <x v="2"/>
    <x v="46"/>
    <n v="1.7194975588760087E-2"/>
    <n v="0"/>
    <n v="0.02"/>
    <n v="0"/>
    <n v="3.7194975588760087E-2"/>
    <m/>
    <n v="0"/>
    <n v="0"/>
    <n v="0"/>
    <n v="189"/>
    <n v="944"/>
    <n v="1006"/>
    <n v="863"/>
    <n v="316"/>
    <n v="369"/>
    <n v="401"/>
    <n v="273"/>
    <n v="239"/>
    <n v="4600"/>
    <n v="0"/>
    <n v="0"/>
    <n v="0"/>
    <n v="7.0298503862756565"/>
    <n v="35.112056955789519"/>
    <n v="37.418145442292648"/>
    <n v="32.099263933099955"/>
    <n v="11.753612286048188"/>
    <n v="13.724945992252472"/>
    <n v="14.915185211092796"/>
    <n v="10.154228335731505"/>
    <n v="8.8895991657136602"/>
    <n v="0"/>
    <n v="79.560052784357822"/>
    <n v="57.577822211400616"/>
    <n v="33.959012712537962"/>
    <b v="1"/>
    <n v="79.096887708296407"/>
    <n v="0"/>
    <n v="92"/>
    <n v="0"/>
    <n v="171.09688770829641"/>
    <n v="0"/>
    <n v="0"/>
    <n v="704"/>
    <n v="630"/>
    <n v="944"/>
    <n v="1006"/>
    <n v="863"/>
    <n v="316"/>
    <n v="369"/>
    <n v="401"/>
    <n v="273"/>
    <n v="239"/>
    <n v="5745"/>
    <n v="0"/>
    <n v="0"/>
    <n v="26.185262814487103"/>
    <n v="23.432834620918854"/>
    <n v="35.112056955789519"/>
    <n v="37.418145442292648"/>
    <n v="32.099263933099955"/>
    <n v="11.753612286048188"/>
    <n v="13.724945992252472"/>
    <n v="14.915185211092796"/>
    <n v="10.154228335731505"/>
    <n v="8.8895991657136602"/>
    <n v="26.185262814487103"/>
    <n v="95.963037019001021"/>
    <n v="57.577822211400616"/>
    <n v="33.959012712537962"/>
    <n v="98.785134757426704"/>
    <n v="0"/>
    <n v="114.9"/>
    <n v="0"/>
    <n v="213.68513475742671"/>
  </r>
  <r>
    <s v="AME25-039"/>
    <s v="R120"/>
    <s v="REC"/>
    <d v="2026-04-01T00:00:00"/>
    <d v="2027-03-01T00:00:00"/>
    <x v="2"/>
    <x v="2"/>
    <x v="46"/>
    <n v="1.7194975588760087E-2"/>
    <n v="0"/>
    <n v="0.02"/>
    <n v="0"/>
    <n v="3.7194975588760087E-2"/>
    <m/>
    <n v="0"/>
    <n v="0"/>
    <n v="0"/>
    <n v="1086"/>
    <n v="4304"/>
    <n v="4896"/>
    <n v="3670"/>
    <n v="1345"/>
    <n v="1569"/>
    <n v="1702"/>
    <n v="1161"/>
    <n v="1016"/>
    <n v="20749"/>
    <n v="0"/>
    <n v="0"/>
    <n v="0"/>
    <n v="40.393743489393458"/>
    <n v="160.08717493402341"/>
    <n v="182.10660048256938"/>
    <n v="136.50556041074952"/>
    <n v="50.027242166882317"/>
    <n v="58.358916698764574"/>
    <n v="63.305848452069668"/>
    <n v="43.183366658550462"/>
    <n v="37.790095198180246"/>
    <n v="0"/>
    <n v="382.58751890598626"/>
    <n v="244.89171927639643"/>
    <n v="144.27931030880038"/>
    <b v="1"/>
    <n v="356.77854849118307"/>
    <n v="0"/>
    <n v="414.98"/>
    <n v="0"/>
    <n v="771.75854849118309"/>
    <n v="6136"/>
    <n v="0"/>
    <n v="4044"/>
    <n v="3620"/>
    <n v="4304"/>
    <n v="4896"/>
    <n v="3670"/>
    <n v="1345"/>
    <n v="1569"/>
    <n v="1702"/>
    <n v="1161"/>
    <n v="1016"/>
    <n v="33463"/>
    <n v="228.22837021263189"/>
    <n v="0"/>
    <n v="150.41648128094579"/>
    <n v="134.64581163131152"/>
    <n v="160.08717493402341"/>
    <n v="182.10660048256938"/>
    <n v="136.50556041074952"/>
    <n v="50.027242166882317"/>
    <n v="58.358916698764574"/>
    <n v="63.305848452069668"/>
    <n v="43.183366658550462"/>
    <n v="37.790095198180246"/>
    <n v="378.64485149357768"/>
    <n v="476.83958704790433"/>
    <n v="244.89171927639643"/>
    <n v="144.27931030880038"/>
    <n v="575.39546812667879"/>
    <n v="0"/>
    <n v="669.26"/>
    <n v="0"/>
    <n v="1244.6554681266789"/>
  </r>
  <r>
    <s v="AME25-039"/>
    <s v="R121"/>
    <s v="REC"/>
    <d v="2026-04-01T00:00:00"/>
    <d v="2027-03-01T00:00:00"/>
    <x v="2"/>
    <x v="2"/>
    <x v="46"/>
    <n v="1.7194975588760087E-2"/>
    <n v="0"/>
    <n v="0.02"/>
    <n v="0"/>
    <n v="3.7194975588760087E-2"/>
    <m/>
    <n v="0"/>
    <n v="0"/>
    <n v="0"/>
    <n v="1173.3"/>
    <n v="4644"/>
    <n v="5257"/>
    <n v="3984"/>
    <n v="1460"/>
    <n v="1704"/>
    <n v="1848"/>
    <n v="1260"/>
    <n v="1103"/>
    <n v="22433.3"/>
    <n v="0"/>
    <n v="0"/>
    <n v="0"/>
    <n v="43.640864858292211"/>
    <n v="172.73346663420185"/>
    <n v="195.53398667011177"/>
    <n v="148.1847827456202"/>
    <n v="54.304664359589729"/>
    <n v="63.380238403247191"/>
    <n v="68.736314888028645"/>
    <n v="46.865669241837708"/>
    <n v="41.026058074402378"/>
    <n v="0"/>
    <n v="411.90831816260584"/>
    <n v="265.86968550845711"/>
    <n v="156.62804220426872"/>
    <b v="1"/>
    <n v="385.74004587533165"/>
    <n v="0"/>
    <n v="448.666"/>
    <n v="0"/>
    <n v="834.40604587533164"/>
    <n v="5114"/>
    <n v="1003"/>
    <n v="4369"/>
    <n v="3911"/>
    <n v="4644"/>
    <n v="5257"/>
    <n v="3984"/>
    <n v="1460"/>
    <n v="1704"/>
    <n v="1848"/>
    <n v="1260"/>
    <n v="1103"/>
    <n v="35657"/>
    <n v="190.21510516091908"/>
    <n v="37.306560515526371"/>
    <n v="162.50484834729284"/>
    <n v="145.46954952764071"/>
    <n v="172.73346663420185"/>
    <n v="195.53398667011177"/>
    <n v="148.1847827456202"/>
    <n v="54.304664359589729"/>
    <n v="63.380238403247191"/>
    <n v="68.736314888028645"/>
    <n v="46.865669241837708"/>
    <n v="41.026058074402378"/>
    <n v="390.02651402373829"/>
    <n v="513.73700283195433"/>
    <n v="265.86968550845711"/>
    <n v="156.62804220426872"/>
    <n v="613.12124456841843"/>
    <n v="0"/>
    <n v="713.14"/>
    <n v="0"/>
    <n v="1326.2612445684185"/>
  </r>
  <r>
    <s v="AME25-039"/>
    <s v="R122"/>
    <s v="REC"/>
    <d v="2026-04-01T00:00:00"/>
    <d v="2027-03-01T00:00:00"/>
    <x v="2"/>
    <x v="2"/>
    <x v="46"/>
    <n v="1.7194975588760087E-2"/>
    <n v="0"/>
    <n v="0.02"/>
    <n v="0"/>
    <n v="3.7194975588760087E-2"/>
    <m/>
    <n v="0"/>
    <n v="0"/>
    <n v="0"/>
    <n v="16120.5"/>
    <n v="63638"/>
    <n v="85113"/>
    <n v="51633"/>
    <n v="18924"/>
    <n v="22078"/>
    <n v="23953"/>
    <n v="16332"/>
    <n v="14291"/>
    <n v="312082.5"/>
    <n v="0"/>
    <n v="0"/>
    <n v="0"/>
    <n v="599.60160397860705"/>
    <n v="2367.0138565175143"/>
    <n v="3165.7759572861373"/>
    <n v="1920.4881745744497"/>
    <n v="703.87771804169586"/>
    <n v="821.19067104864519"/>
    <n v="890.93125027757037"/>
    <n v="607.4683413156298"/>
    <n v="531.55339613897036"/>
    <n v="0"/>
    <n v="6132.3914177822589"/>
    <n v="3445.5565636647907"/>
    <n v="2029.9529877321704"/>
    <b v="1"/>
    <n v="5366.2509691792202"/>
    <n v="0"/>
    <n v="6241.6500000000005"/>
    <n v="0"/>
    <n v="11607.90096917922"/>
    <n v="55637"/>
    <n v="85293"/>
    <n v="60032"/>
    <n v="53735"/>
    <n v="63638"/>
    <n v="85113"/>
    <n v="51633"/>
    <n v="18924"/>
    <n v="22078"/>
    <n v="23953"/>
    <n v="16332"/>
    <n v="14291"/>
    <n v="550659"/>
    <n v="2069.4168568318451"/>
    <n v="3172.4710528921141"/>
    <n v="2232.8887745444454"/>
    <n v="1998.6720132620233"/>
    <n v="2367.0138565175143"/>
    <n v="3165.7759572861373"/>
    <n v="1920.4881745744497"/>
    <n v="703.87771804169586"/>
    <n v="821.19067104864519"/>
    <n v="890.93125027757037"/>
    <n v="607.4683413156298"/>
    <n v="531.55339613897036"/>
    <n v="7474.7766842684041"/>
    <n v="7531.4618270656756"/>
    <n v="3445.5565636647907"/>
    <n v="2029.9529877321704"/>
    <n v="9468.5680627310412"/>
    <n v="0"/>
    <n v="11013.18"/>
    <n v="0"/>
    <n v="20481.748062731043"/>
  </r>
  <r>
    <s v="AME25-039"/>
    <s v="R123"/>
    <s v="REC"/>
    <d v="2026-04-01T00:00:00"/>
    <d v="2027-03-01T00:00:00"/>
    <x v="2"/>
    <x v="2"/>
    <x v="46"/>
    <n v="1.7194975588760087E-2"/>
    <n v="0"/>
    <n v="0.02"/>
    <n v="0"/>
    <n v="3.7194975588760087E-2"/>
    <m/>
    <n v="0"/>
    <n v="0"/>
    <n v="0"/>
    <n v="16474.5"/>
    <n v="65054"/>
    <n v="87257"/>
    <n v="52712"/>
    <n v="19320"/>
    <n v="22540"/>
    <n v="24454"/>
    <n v="16673"/>
    <n v="14590"/>
    <n v="319074.5"/>
    <n v="0"/>
    <n v="0"/>
    <n v="0"/>
    <n v="612.76862533702808"/>
    <n v="2419.681941951199"/>
    <n v="3245.5219849484388"/>
    <n v="1960.6215532347217"/>
    <n v="718.60692837484487"/>
    <n v="838.37474977065233"/>
    <n v="909.56593304753915"/>
    <n v="620.15182799139689"/>
    <n v="542.6746938400097"/>
    <n v="0"/>
    <n v="6277.9725522366662"/>
    <n v="3517.6032313802189"/>
    <n v="2072.3924548789455"/>
    <b v="1"/>
    <n v="5486.4782384958307"/>
    <n v="0"/>
    <n v="6381.49"/>
    <n v="0"/>
    <n v="11867.968238495831"/>
    <n v="51955"/>
    <n v="95327"/>
    <n v="61350"/>
    <n v="54915"/>
    <n v="65054"/>
    <n v="87257"/>
    <n v="52712"/>
    <n v="19320"/>
    <n v="22540"/>
    <n v="24454"/>
    <n v="16673"/>
    <n v="14590"/>
    <n v="566147"/>
    <n v="1932.4649567140304"/>
    <n v="3545.6854379497327"/>
    <n v="2281.9117523704313"/>
    <n v="2042.5620844567602"/>
    <n v="2419.681941951199"/>
    <n v="3245.5219849484388"/>
    <n v="1960.6215532347217"/>
    <n v="718.60692837484487"/>
    <n v="838.37474977065233"/>
    <n v="909.56593304753915"/>
    <n v="620.15182799139689"/>
    <n v="542.6746938400097"/>
    <n v="7760.0621470341939"/>
    <n v="7707.7660113563979"/>
    <n v="3517.6032313802189"/>
    <n v="2072.3924548789455"/>
    <n v="9734.8838446497575"/>
    <n v="0"/>
    <n v="11322.94"/>
    <n v="0"/>
    <n v="21057.823844649756"/>
  </r>
  <r>
    <s v="AME25-039"/>
    <s v="R124"/>
    <s v="REC"/>
    <d v="2026-04-01T00:00:00"/>
    <d v="2027-03-01T00:00:00"/>
    <x v="2"/>
    <x v="2"/>
    <x v="46"/>
    <n v="1.7194975588760087E-2"/>
    <n v="0"/>
    <n v="0.02"/>
    <n v="0"/>
    <n v="3.7194975588760087E-2"/>
    <m/>
    <n v="0"/>
    <n v="0"/>
    <n v="0"/>
    <n v="6826.5"/>
    <n v="26656"/>
    <n v="28978"/>
    <n v="21607"/>
    <n v="7919"/>
    <n v="9239"/>
    <n v="10024"/>
    <n v="6834"/>
    <n v="5980"/>
    <n v="124063.5"/>
    <n v="0"/>
    <n v="0"/>
    <n v="0"/>
    <n v="253.91150085667073"/>
    <n v="991.46926929398887"/>
    <n v="1077.8360026110897"/>
    <n v="803.67183754633925"/>
    <n v="294.54701168739115"/>
    <n v="343.64437946455445"/>
    <n v="372.84243530173114"/>
    <n v="254.19046317358644"/>
    <n v="222.42595402078533"/>
    <n v="0"/>
    <n v="2323.2167727617493"/>
    <n v="1441.863228698285"/>
    <n v="849.45885249610285"/>
    <b v="1"/>
    <n v="2133.2688539561373"/>
    <n v="0"/>
    <n v="2481.27"/>
    <n v="0"/>
    <n v="4614.5388539561372"/>
    <n v="27818"/>
    <n v="18062"/>
    <n v="25421"/>
    <n v="22755"/>
    <n v="26656"/>
    <n v="28978"/>
    <n v="21607"/>
    <n v="7919"/>
    <n v="9239"/>
    <n v="10024"/>
    <n v="6834"/>
    <n v="5980"/>
    <n v="211293"/>
    <n v="1034.689830928128"/>
    <n v="671.81564908418466"/>
    <n v="945.53347444187023"/>
    <n v="846.37166952223583"/>
    <n v="991.46926929398887"/>
    <n v="1077.8360026110897"/>
    <n v="803.67183754633925"/>
    <n v="294.54701168739115"/>
    <n v="343.64437946455445"/>
    <n v="372.84243530173114"/>
    <n v="254.19046317358644"/>
    <n v="222.42595402078533"/>
    <n v="2652.0389544541827"/>
    <n v="2915.6769414273144"/>
    <n v="1441.863228698285"/>
    <n v="849.45885249610285"/>
    <n v="3633.1779770758849"/>
    <n v="0"/>
    <n v="4225.8599999999997"/>
    <n v="0"/>
    <n v="7859.0379770758846"/>
  </r>
  <r>
    <s v="AME25-039"/>
    <s v="R125"/>
    <s v="REC"/>
    <d v="2026-04-01T00:00:00"/>
    <d v="2027-03-01T00:00:00"/>
    <x v="2"/>
    <x v="2"/>
    <x v="46"/>
    <n v="1.7194975588760087E-2"/>
    <n v="0"/>
    <n v="0.02"/>
    <n v="0"/>
    <n v="3.7194975588760087E-2"/>
    <m/>
    <n v="0"/>
    <n v="0"/>
    <n v="0"/>
    <n v="6855.5999999999995"/>
    <n v="27052"/>
    <n v="29699"/>
    <n v="23118"/>
    <n v="8473"/>
    <n v="9885"/>
    <n v="10725"/>
    <n v="7312"/>
    <n v="6399"/>
    <n v="129518.6"/>
    <n v="0"/>
    <n v="0"/>
    <n v="0"/>
    <n v="254.99387464630362"/>
    <n v="1006.1984796271379"/>
    <n v="1104.6535800105858"/>
    <n v="859.87344566095567"/>
    <n v="315.15302816356422"/>
    <n v="367.67233369489344"/>
    <n v="398.91611318945195"/>
    <n v="271.96966150501373"/>
    <n v="238.01064879247579"/>
    <n v="0"/>
    <n v="2365.845934284027"/>
    <n v="1542.6988075194133"/>
    <n v="908.89642348694144"/>
    <b v="1"/>
    <n v="2227.0691652903824"/>
    <n v="0"/>
    <n v="2590.3720000000003"/>
    <n v="0"/>
    <n v="4817.4411652903827"/>
    <n v="31909"/>
    <n v="18062"/>
    <n v="25529"/>
    <n v="22852"/>
    <n v="27052"/>
    <n v="29699"/>
    <n v="23118"/>
    <n v="8473"/>
    <n v="9885"/>
    <n v="10725"/>
    <n v="7312"/>
    <n v="6399"/>
    <n v="221015"/>
    <n v="1186.8544760617456"/>
    <n v="671.81564908418466"/>
    <n v="949.55053180545622"/>
    <n v="849.97958215434551"/>
    <n v="1006.1984796271379"/>
    <n v="1104.6535800105858"/>
    <n v="859.87344566095567"/>
    <n v="315.15302816356422"/>
    <n v="367.67233369489344"/>
    <n v="398.91611318945195"/>
    <n v="271.96966150501373"/>
    <n v="238.01064879247579"/>
    <n v="2808.2206569513864"/>
    <n v="2960.8316417920691"/>
    <n v="1542.6988075194133"/>
    <n v="908.89642348694144"/>
    <n v="3800.3475297498107"/>
    <n v="0"/>
    <n v="4420.3"/>
    <n v="0"/>
    <n v="8220.6475297498109"/>
  </r>
  <r>
    <s v="AME25-039"/>
    <s v="R126"/>
    <s v="REC"/>
    <d v="2026-04-01T00:00:00"/>
    <d v="2027-03-01T00:00:00"/>
    <x v="2"/>
    <x v="2"/>
    <x v="46"/>
    <n v="1.7194975588760087E-2"/>
    <n v="0"/>
    <n v="0.02"/>
    <n v="0"/>
    <n v="3.7194975588760087E-2"/>
    <m/>
    <n v="0"/>
    <n v="0"/>
    <n v="0"/>
    <n v="1944.3"/>
    <n v="7702"/>
    <n v="8122"/>
    <n v="6731"/>
    <n v="2467"/>
    <n v="2878"/>
    <n v="3123"/>
    <n v="2129"/>
    <n v="1863"/>
    <n v="36959.300000000003"/>
    <n v="0"/>
    <n v="0"/>
    <n v="0"/>
    <n v="72.318191037226242"/>
    <n v="286.47570198463018"/>
    <n v="302.0975917319094"/>
    <n v="250.35938068794414"/>
    <n v="91.760004777471138"/>
    <n v="107.04713974445153"/>
    <n v="116.15990876369776"/>
    <n v="79.188103028470223"/>
    <n v="69.29423952186005"/>
    <n v="0"/>
    <n v="660.89148475376578"/>
    <n v="449.16652520986679"/>
    <n v="264.64225131402804"/>
    <b v="1"/>
    <n v="635.51426127766069"/>
    <n v="0"/>
    <n v="739.18600000000004"/>
    <n v="0"/>
    <n v="1374.7002612776607"/>
    <n v="7773"/>
    <n v="1003"/>
    <n v="7240"/>
    <n v="6481"/>
    <n v="7702"/>
    <n v="8122"/>
    <n v="6731"/>
    <n v="2467"/>
    <n v="2878"/>
    <n v="3123"/>
    <n v="2129"/>
    <n v="1863"/>
    <n v="57512"/>
    <n v="289.11654525143217"/>
    <n v="37.306560515526371"/>
    <n v="269.29162326262303"/>
    <n v="241.06063679075413"/>
    <n v="286.47570198463018"/>
    <n v="302.0975917319094"/>
    <n v="250.35938068794414"/>
    <n v="91.760004777471138"/>
    <n v="107.04713974445153"/>
    <n v="116.15990876369776"/>
    <n v="79.188103028470223"/>
    <n v="69.29423952186005"/>
    <n v="595.71472902958158"/>
    <n v="829.63393050729383"/>
    <n v="449.16652520986679"/>
    <n v="264.64225131402804"/>
    <n v="988.91743606077011"/>
    <n v="0"/>
    <n v="1150.24"/>
    <n v="0"/>
    <n v="2139.1574360607701"/>
  </r>
  <r>
    <s v="AME25-039"/>
    <s v="R127"/>
    <s v="REC"/>
    <d v="2026-04-01T00:00:00"/>
    <d v="2027-03-01T00:00:00"/>
    <x v="2"/>
    <x v="2"/>
    <x v="46"/>
    <n v="1.7194975588760087E-2"/>
    <n v="0"/>
    <n v="0.02"/>
    <n v="0"/>
    <n v="3.7194975588760087E-2"/>
    <m/>
    <n v="0"/>
    <n v="0"/>
    <n v="0"/>
    <n v="2162.4"/>
    <n v="8552"/>
    <n v="9014"/>
    <n v="7438"/>
    <n v="2726"/>
    <n v="3180"/>
    <n v="3451"/>
    <n v="2353"/>
    <n v="2059"/>
    <n v="40935.4"/>
    <n v="0"/>
    <n v="0"/>
    <n v="0"/>
    <n v="80.430415213134822"/>
    <n v="318.09143123507624"/>
    <n v="335.27550995708344"/>
    <n v="276.65622842919754"/>
    <n v="101.39350345496"/>
    <n v="118.28002237225708"/>
    <n v="128.35986075681106"/>
    <n v="87.51977756035248"/>
    <n v="76.584454737257019"/>
    <n v="0"/>
    <n v="733.79735640529452"/>
    <n v="496.32975425641462"/>
    <n v="292.46409305442057"/>
    <b v="1"/>
    <n v="703.88320371612974"/>
    <n v="0"/>
    <n v="818.70800000000008"/>
    <n v="0"/>
    <n v="1522.5912037161297"/>
    <n v="7364"/>
    <n v="0"/>
    <n v="8052"/>
    <n v="7208"/>
    <n v="8552"/>
    <n v="9014"/>
    <n v="7438"/>
    <n v="2726"/>
    <n v="3180"/>
    <n v="3451"/>
    <n v="2353"/>
    <n v="2059"/>
    <n v="61397"/>
    <n v="273.90380023562926"/>
    <n v="0"/>
    <n v="299.49394344069623"/>
    <n v="268.10138404378273"/>
    <n v="318.09143123507624"/>
    <n v="335.27550995708344"/>
    <n v="276.65622842919754"/>
    <n v="101.39350345496"/>
    <n v="118.28002237225708"/>
    <n v="128.35986075681106"/>
    <n v="87.51977756035248"/>
    <n v="76.584454737257019"/>
    <n v="573.39774367632549"/>
    <n v="921.4683252359423"/>
    <n v="496.32975425641462"/>
    <n v="292.46409305442057"/>
    <n v="1055.7199162231032"/>
    <n v="0"/>
    <n v="1227.94"/>
    <n v="0"/>
    <n v="2283.6599162231032"/>
  </r>
  <r>
    <s v="AME25-039"/>
    <s v="R128"/>
    <s v="REC"/>
    <d v="2026-04-01T00:00:00"/>
    <d v="2027-03-01T00:00:00"/>
    <x v="2"/>
    <x v="2"/>
    <x v="46"/>
    <n v="1.7194975588760087E-2"/>
    <n v="0"/>
    <n v="0.02"/>
    <n v="0"/>
    <n v="3.7194975588760087E-2"/>
    <m/>
    <n v="0"/>
    <n v="0"/>
    <n v="0"/>
    <n v="533.4"/>
    <n v="2114"/>
    <n v="2201"/>
    <n v="1923"/>
    <n v="705"/>
    <n v="822"/>
    <n v="892"/>
    <n v="608"/>
    <n v="532"/>
    <n v="10330.4"/>
    <n v="0"/>
    <n v="0"/>
    <n v="0"/>
    <n v="19.839799979044631"/>
    <n v="78.630178394638818"/>
    <n v="81.86614127086095"/>
    <n v="71.525938057185641"/>
    <n v="26.222457790075861"/>
    <n v="30.574269933960792"/>
    <n v="33.177918225173997"/>
    <n v="22.614545157966134"/>
    <n v="19.787727013220366"/>
    <n v="0"/>
    <n v="180.3361196445444"/>
    <n v="128.3226657812223"/>
    <n v="75.580190396360493"/>
    <b v="1"/>
    <n v="177.6309758221272"/>
    <n v="0"/>
    <n v="206.608"/>
    <n v="0"/>
    <n v="384.2389758221272"/>
    <n v="3682"/>
    <n v="0"/>
    <n v="1986"/>
    <n v="1778"/>
    <n v="2114"/>
    <n v="2201"/>
    <n v="1923"/>
    <n v="705"/>
    <n v="822"/>
    <n v="892"/>
    <n v="608"/>
    <n v="532"/>
    <n v="17243"/>
    <n v="136.95190011781463"/>
    <n v="0"/>
    <n v="73.869221519277531"/>
    <n v="66.13266659681544"/>
    <n v="78.630178394638818"/>
    <n v="81.86614127086095"/>
    <n v="71.525938057185641"/>
    <n v="26.222457790075861"/>
    <n v="30.574269933960792"/>
    <n v="33.177918225173997"/>
    <n v="22.614545157966134"/>
    <n v="19.787727013220366"/>
    <n v="210.82112163709218"/>
    <n v="226.62898626231521"/>
    <n v="128.3226657812223"/>
    <n v="75.580190396360493"/>
    <n v="296.49296407699018"/>
    <n v="0"/>
    <n v="344.86"/>
    <n v="0"/>
    <n v="641.35296407699025"/>
  </r>
  <r>
    <s v="AME25-039"/>
    <s v="R129"/>
    <s v="REC"/>
    <d v="2026-04-01T00:00:00"/>
    <d v="2027-03-01T00:00:00"/>
    <x v="2"/>
    <x v="2"/>
    <x v="46"/>
    <n v="1.7194975588760087E-2"/>
    <n v="0"/>
    <n v="0.02"/>
    <n v="0"/>
    <n v="3.7194975588760087E-2"/>
    <m/>
    <n v="0"/>
    <n v="0"/>
    <n v="0"/>
    <n v="596.4"/>
    <n v="2360"/>
    <n v="2429"/>
    <n v="2119"/>
    <n v="777"/>
    <n v="906"/>
    <n v="983"/>
    <n v="670"/>
    <n v="587"/>
    <n v="11427.4"/>
    <n v="0"/>
    <n v="0"/>
    <n v="0"/>
    <n v="22.183083441136514"/>
    <n v="87.780142389473809"/>
    <n v="90.346595705098252"/>
    <n v="78.816153272582625"/>
    <n v="28.900496032466588"/>
    <n v="33.698647883416641"/>
    <n v="36.562661003751167"/>
    <n v="24.920633644469259"/>
    <n v="21.833450670602172"/>
    <n v="0"/>
    <n v="200.30982153570858"/>
    <n v="141.41529718846584"/>
    <n v="83.316745318822598"/>
    <b v="1"/>
    <n v="196.49386404299702"/>
    <n v="0"/>
    <n v="228.548"/>
    <n v="0"/>
    <n v="425.04186404299702"/>
    <n v="4909"/>
    <n v="0"/>
    <n v="2221"/>
    <n v="1988"/>
    <n v="2360"/>
    <n v="2429"/>
    <n v="2119"/>
    <n v="777"/>
    <n v="906"/>
    <n v="983"/>
    <n v="670"/>
    <n v="587"/>
    <n v="19949"/>
    <n v="182.59013516522327"/>
    <n v="0"/>
    <n v="82.610040782636148"/>
    <n v="73.943611470455053"/>
    <n v="87.780142389473809"/>
    <n v="90.346595705098252"/>
    <n v="78.816153272582625"/>
    <n v="28.900496032466588"/>
    <n v="33.698647883416641"/>
    <n v="36.562661003751167"/>
    <n v="24.920633644469259"/>
    <n v="21.833450670602172"/>
    <n v="265.20017594785941"/>
    <n v="252.07034956502713"/>
    <n v="141.41529718846584"/>
    <n v="83.316745318822598"/>
    <n v="343.02256802017496"/>
    <n v="0"/>
    <n v="398.98"/>
    <n v="0"/>
    <n v="742.00256802017498"/>
  </r>
  <r>
    <s v="AME25-067"/>
    <s v="R80"/>
    <s v="REC"/>
    <d v="2026-09-01T00:00:00"/>
    <d v="2027-08-01T00:00:00"/>
    <x v="3"/>
    <x v="0"/>
    <x v="47"/>
    <n v="1.7194975588760087E-2"/>
    <n v="0"/>
    <n v="0.02"/>
    <n v="0"/>
    <n v="3.7194975588760087E-2"/>
    <m/>
    <n v="0"/>
    <n v="0"/>
    <n v="0"/>
    <n v="0"/>
    <n v="0"/>
    <n v="0"/>
    <n v="0"/>
    <n v="0"/>
    <n v="5470118.5"/>
    <n v="8766266"/>
    <n v="6795129"/>
    <n v="6088240"/>
    <n v="27119753.5"/>
    <n v="0"/>
    <n v="0"/>
    <n v="0"/>
    <n v="0"/>
    <n v="0"/>
    <n v="0"/>
    <n v="0"/>
    <n v="0"/>
    <n v="203460.92407512496"/>
    <n v="326061.04987457755"/>
    <n v="252744.65727747575"/>
    <n v="226451.9381785127"/>
    <n v="0"/>
    <n v="0"/>
    <n v="203460.92407512496"/>
    <n v="805257.64533056598"/>
    <b v="1"/>
    <n v="466323.49940569093"/>
    <n v="0"/>
    <n v="542395.07000000007"/>
    <n v="0"/>
    <n v="1008718.569405691"/>
    <n v="9245550"/>
    <n v="9040100"/>
    <n v="9994248"/>
    <n v="8581988"/>
    <n v="8383529"/>
    <n v="7713898"/>
    <n v="7846098"/>
    <n v="8839034"/>
    <n v="7814455"/>
    <n v="8766266"/>
    <n v="6795129"/>
    <n v="6088240"/>
    <n v="99108535"/>
    <n v="343888.00655466085"/>
    <n v="336246.29881995008"/>
    <n v="371735.8103880143"/>
    <n v="319206.83416303201"/>
    <n v="311825.15650266228"/>
    <n v="286918.24780418526"/>
    <n v="291835.42357701936"/>
    <n v="328767.65385822044"/>
    <n v="290658.46296446421"/>
    <n v="326061.04987457755"/>
    <n v="252744.65727747575"/>
    <n v="226451.9381785127"/>
    <n v="1051870.1157626254"/>
    <n v="917950.23846987949"/>
    <n v="911261.54039970401"/>
    <n v="805257.64533056598"/>
    <n v="1704168.8399627747"/>
    <n v="0"/>
    <n v="1982170.7"/>
    <n v="0"/>
    <n v="3686339.5399627746"/>
  </r>
  <r>
    <s v="AME25-068"/>
    <s v="V2"/>
    <s v="VAM"/>
    <d v="2026-09-01T00:00:00"/>
    <d v="2027-08-01T00:00:00"/>
    <x v="3"/>
    <x v="0"/>
    <x v="48"/>
    <n v="5.7663999999999997E-3"/>
    <n v="2.6206276920042737E-3"/>
    <n v="0"/>
    <n v="0"/>
    <n v="8.3870276920042734E-3"/>
    <m/>
    <n v="0"/>
    <n v="0"/>
    <n v="0"/>
    <n v="0"/>
    <n v="0"/>
    <n v="0"/>
    <n v="0"/>
    <n v="0"/>
    <n v="0"/>
    <n v="0"/>
    <n v="0"/>
    <n v="0"/>
    <n v="0"/>
    <n v="0"/>
    <n v="0"/>
    <n v="0"/>
    <n v="0"/>
    <n v="0"/>
    <n v="0"/>
    <n v="0"/>
    <n v="0"/>
    <n v="0"/>
    <n v="0"/>
    <n v="0"/>
    <n v="0"/>
    <n v="0"/>
    <n v="0"/>
    <n v="0"/>
    <n v="0"/>
    <b v="1"/>
    <n v="0"/>
    <n v="0"/>
    <n v="0"/>
    <n v="0"/>
    <n v="0"/>
    <n v="149825"/>
    <n v="66806"/>
    <n v="66911"/>
    <n v="0"/>
    <n v="0"/>
    <n v="0"/>
    <n v="0"/>
    <n v="0"/>
    <n v="0"/>
    <n v="0"/>
    <n v="0"/>
    <n v="0"/>
    <n v="283542"/>
    <n v="1256.5864239545404"/>
    <n v="560.30377199203747"/>
    <n v="561.18440989969793"/>
    <n v="0"/>
    <n v="0"/>
    <n v="0"/>
    <n v="0"/>
    <n v="0"/>
    <n v="0"/>
    <n v="0"/>
    <n v="0"/>
    <n v="0"/>
    <n v="2378.074605846276"/>
    <n v="0"/>
    <n v="0"/>
    <n v="0"/>
    <n v="1635.0165887999999"/>
    <n v="743.05801704627572"/>
    <n v="0"/>
    <n v="0"/>
    <n v="2378.0746058462755"/>
  </r>
  <r>
    <s v="AME25-069"/>
    <s v="R80"/>
    <s v="REC"/>
    <d v="2026-07-01T00:00:00"/>
    <d v="2027-06-01T00:00:00"/>
    <x v="3"/>
    <x v="0"/>
    <x v="49"/>
    <n v="5.0000000000000001E-3"/>
    <n v="0"/>
    <n v="0"/>
    <n v="0"/>
    <n v="5.0000000000000001E-3"/>
    <m/>
    <n v="0"/>
    <n v="0"/>
    <n v="0"/>
    <n v="0"/>
    <n v="0"/>
    <n v="0"/>
    <n v="2353829.4"/>
    <n v="8839034"/>
    <n v="7814455"/>
    <n v="8766266"/>
    <n v="6795129"/>
    <n v="6088240"/>
    <n v="40656953.399999999"/>
    <n v="0"/>
    <n v="0"/>
    <n v="0"/>
    <n v="0"/>
    <n v="0"/>
    <n v="0"/>
    <n v="11769.146999999999"/>
    <n v="44195.17"/>
    <n v="39072.275000000001"/>
    <n v="43831.33"/>
    <n v="33975.645000000004"/>
    <n v="30441.200000000001"/>
    <n v="0"/>
    <n v="0"/>
    <n v="95036.592000000004"/>
    <n v="108248.175"/>
    <b v="1"/>
    <n v="203284.76699999999"/>
    <n v="0"/>
    <n v="0"/>
    <n v="0"/>
    <n v="203284.76699999999"/>
    <n v="9245550"/>
    <n v="9040100"/>
    <n v="9994248"/>
    <n v="8581988"/>
    <n v="8383529"/>
    <n v="7713898"/>
    <n v="7846098"/>
    <n v="8839034"/>
    <n v="7814455"/>
    <n v="8766266"/>
    <n v="6795129"/>
    <n v="6088240"/>
    <n v="99108535"/>
    <n v="46227.75"/>
    <n v="45200.5"/>
    <n v="49971.24"/>
    <n v="42909.94"/>
    <n v="41917.645000000004"/>
    <n v="38569.49"/>
    <n v="39230.49"/>
    <n v="44195.17"/>
    <n v="39072.275000000001"/>
    <n v="43831.33"/>
    <n v="33975.645000000004"/>
    <n v="30441.200000000001"/>
    <n v="141399.49"/>
    <n v="123397.07500000001"/>
    <n v="122497.935"/>
    <n v="108248.175"/>
    <n v="495542.67499999999"/>
    <n v="0"/>
    <n v="0"/>
    <n v="0"/>
    <n v="495542.67499999999"/>
  </r>
  <r>
    <s v="AME25-071"/>
    <s v="R93"/>
    <s v="REC"/>
    <d v="2026-07-01T00:00:00"/>
    <d v="2027-06-01T00:00:00"/>
    <x v="3"/>
    <x v="0"/>
    <x v="50"/>
    <n v="1.9334399999999998E-3"/>
    <n v="0"/>
    <n v="0"/>
    <n v="0"/>
    <n v="1.9334399999999998E-3"/>
    <m/>
    <n v="0"/>
    <n v="0"/>
    <n v="0"/>
    <n v="0"/>
    <n v="0"/>
    <n v="0"/>
    <n v="22343.7"/>
    <n v="58273"/>
    <n v="67997"/>
    <n v="85542"/>
    <n v="75465"/>
    <n v="84571"/>
    <n v="394191.7"/>
    <n v="0"/>
    <n v="0"/>
    <n v="0"/>
    <n v="0"/>
    <n v="0"/>
    <n v="0"/>
    <n v="43.200203328000001"/>
    <n v="112.66734911999998"/>
    <n v="131.46811968"/>
    <n v="165.39032447999998"/>
    <n v="145.90704959999999"/>
    <n v="163.51295423999997"/>
    <n v="0"/>
    <n v="0"/>
    <n v="287.33567212799994"/>
    <n v="474.81032831999994"/>
    <b v="1"/>
    <n v="762.146000448"/>
    <n v="0"/>
    <n v="0"/>
    <n v="0"/>
    <n v="762.146000448"/>
    <n v="48500"/>
    <n v="80821"/>
    <n v="90035"/>
    <n v="74480"/>
    <n v="78343"/>
    <n v="72933"/>
    <n v="74479"/>
    <n v="58273"/>
    <n v="67997"/>
    <n v="85542"/>
    <n v="75465"/>
    <n v="84571"/>
    <n v="891439"/>
    <n v="93.771839999999997"/>
    <n v="156.26255423999999"/>
    <n v="174.07727039999997"/>
    <n v="144.00261119999999"/>
    <n v="151.47148991999998"/>
    <n v="141.01157952"/>
    <n v="144.00067775999997"/>
    <n v="112.66734911999998"/>
    <n v="131.46811968"/>
    <n v="165.39032447999998"/>
    <n v="145.90704959999999"/>
    <n v="163.51295423999997"/>
    <n v="424.11166463999996"/>
    <n v="436.48568064"/>
    <n v="388.13614655999993"/>
    <n v="474.81032831999994"/>
    <n v="1723.5438201599998"/>
    <n v="0"/>
    <n v="0"/>
    <n v="0"/>
    <n v="1723.5438201599998"/>
  </r>
  <r>
    <s v="AME25-070"/>
    <s v="R195"/>
    <s v="REC"/>
    <d v="2026-07-01T00:00:00"/>
    <d v="2027-06-01T00:00:00"/>
    <x v="3"/>
    <x v="0"/>
    <x v="51"/>
    <n v="1.6649663994818234E-3"/>
    <n v="1.5525010702578723E-2"/>
    <n v="0"/>
    <n v="0"/>
    <n v="1.7189977102060546E-2"/>
    <m/>
    <n v="0"/>
    <n v="0"/>
    <n v="0"/>
    <n v="0"/>
    <n v="0"/>
    <n v="0"/>
    <n v="0"/>
    <n v="0"/>
    <n v="0"/>
    <n v="0"/>
    <n v="0"/>
    <n v="0"/>
    <n v="0"/>
    <n v="0"/>
    <n v="0"/>
    <n v="0"/>
    <n v="0"/>
    <n v="0"/>
    <n v="0"/>
    <n v="0"/>
    <n v="0"/>
    <n v="0"/>
    <n v="0"/>
    <n v="0"/>
    <n v="0"/>
    <n v="0"/>
    <n v="0"/>
    <n v="0"/>
    <n v="0"/>
    <b v="1"/>
    <n v="0"/>
    <n v="0"/>
    <n v="0"/>
    <n v="0"/>
    <n v="0"/>
    <n v="0"/>
    <n v="0"/>
    <n v="0"/>
    <n v="0"/>
    <n v="0"/>
    <n v="0"/>
    <n v="0"/>
    <n v="0"/>
    <n v="0"/>
    <n v="0"/>
    <n v="0"/>
    <n v="0"/>
    <n v="0"/>
    <n v="0"/>
    <n v="0"/>
    <n v="0"/>
    <n v="0"/>
    <n v="0"/>
    <n v="0"/>
    <n v="0"/>
    <n v="0"/>
    <n v="0"/>
    <n v="0"/>
    <n v="0"/>
    <n v="0"/>
    <n v="0"/>
    <n v="0"/>
    <n v="0"/>
    <n v="0"/>
    <n v="0"/>
    <n v="0"/>
    <n v="0"/>
    <n v="0"/>
    <n v="0"/>
  </r>
  <r>
    <s v="AME25-072"/>
    <s v="R71"/>
    <s v="REC"/>
    <d v="2026-09-01T00:00:00"/>
    <d v="2027-08-01T00:00:00"/>
    <x v="3"/>
    <x v="0"/>
    <x v="52"/>
    <n v="2.0068343999999987E-3"/>
    <n v="0"/>
    <n v="1.257512351172E-2"/>
    <n v="0"/>
    <n v="1.4581957911719999E-2"/>
    <m/>
    <n v="0"/>
    <n v="0"/>
    <n v="0"/>
    <n v="0"/>
    <n v="0"/>
    <n v="0"/>
    <n v="0"/>
    <n v="0"/>
    <n v="394640.39999999997"/>
    <n v="430915"/>
    <n v="412407"/>
    <n v="333152"/>
    <n v="1571114.4"/>
    <n v="0"/>
    <n v="0"/>
    <n v="0"/>
    <n v="0"/>
    <n v="0"/>
    <n v="0"/>
    <n v="0"/>
    <n v="0"/>
    <n v="5754.6297030643445"/>
    <n v="6283.584393528824"/>
    <n v="6013.7015164987097"/>
    <n v="4858.0084422053415"/>
    <n v="0"/>
    <n v="0"/>
    <n v="5754.6297030643445"/>
    <n v="17155.294352232875"/>
    <b v="1"/>
    <n v="3152.9664242553577"/>
    <n v="0"/>
    <n v="19756.95763104186"/>
    <n v="0"/>
    <n v="22909.924055297219"/>
    <n v="426689"/>
    <n v="595954"/>
    <n v="602169"/>
    <n v="448478"/>
    <n v="524517"/>
    <n v="551468"/>
    <n v="524552"/>
    <n v="433669"/>
    <n v="563772"/>
    <n v="430915"/>
    <n v="412407"/>
    <n v="333152"/>
    <n v="5847742"/>
    <n v="6221.9610393938947"/>
    <n v="8690.1761453211802"/>
    <n v="8780.8030137425212"/>
    <n v="6539.6873203323621"/>
    <n v="7648.484817981639"/>
    <n v="8041.4831656604047"/>
    <n v="7648.9951865085495"/>
    <n v="6323.7431056177002"/>
    <n v="8220.8995758062083"/>
    <n v="6283.584393528824"/>
    <n v="6013.7015164987097"/>
    <n v="4858.0084422053415"/>
    <n v="23692.940198457596"/>
    <n v="22229.655303974407"/>
    <n v="22193.637867932459"/>
    <n v="17155.294352232875"/>
    <n v="11735.449807924793"/>
    <n v="0"/>
    <n v="73536.07791467254"/>
    <n v="0"/>
    <n v="85271.527722597326"/>
  </r>
  <r>
    <s v="AME25-073"/>
    <e v="#N/A"/>
    <s v="REC"/>
    <d v="2026-07-01T00:00:00"/>
    <d v="2027-06-01T00:00:00"/>
    <x v="3"/>
    <x v="0"/>
    <x v="53"/>
    <n v="3.8464836601307191E-3"/>
    <n v="1.4564074192795651E-2"/>
    <n v="0"/>
    <n v="0"/>
    <n v="1.8410557852926369E-2"/>
    <m/>
    <s v=""/>
    <s v=""/>
    <s v=""/>
    <s v=""/>
    <s v=""/>
    <s v=""/>
    <s v=""/>
    <s v=""/>
    <s v=""/>
    <s v=""/>
    <s v=""/>
    <s v=""/>
    <n v="0"/>
    <s v=""/>
    <s v=""/>
    <s v=""/>
    <s v=""/>
    <s v=""/>
    <s v=""/>
    <s v=""/>
    <s v=""/>
    <s v=""/>
    <s v=""/>
    <s v=""/>
    <s v=""/>
    <n v="0"/>
    <n v="2.5"/>
    <n v="2.5"/>
    <n v="2.5"/>
    <b v="0"/>
    <n v="5.2519999999999998"/>
    <n v="0"/>
    <n v="0"/>
    <n v="0"/>
    <n v="5.2519999999999998"/>
    <s v=""/>
    <s v=""/>
    <s v=""/>
    <s v=""/>
    <s v=""/>
    <s v=""/>
    <s v=""/>
    <s v=""/>
    <s v=""/>
    <s v=""/>
    <s v=""/>
    <s v=""/>
    <n v="0"/>
    <e v="#VALUE!"/>
    <e v="#VALUE!"/>
    <e v="#VALUE!"/>
    <e v="#VALUE!"/>
    <e v="#VALUE!"/>
    <e v="#VALUE!"/>
    <e v="#VALUE!"/>
    <e v="#VALUE!"/>
    <e v="#VALUE!"/>
    <e v="#VALUE!"/>
    <e v="#VALUE!"/>
    <e v="#VALUE!"/>
    <n v="2.5"/>
    <n v="2.5"/>
    <n v="2.5"/>
    <n v="2.5"/>
    <n v="10"/>
    <n v="0"/>
    <n v="0"/>
    <n v="0"/>
    <n v="10"/>
  </r>
  <r>
    <s v="AME25-075"/>
    <s v="R184"/>
    <s v="REC"/>
    <d v="2026-10-01T00:00:00"/>
    <d v="2027-09-01T00:00:00"/>
    <x v="3"/>
    <x v="0"/>
    <x v="54"/>
    <n v="0"/>
    <n v="0"/>
    <n v="0"/>
    <n v="0"/>
    <n v="0"/>
    <m/>
    <n v="0"/>
    <n v="0"/>
    <n v="0"/>
    <n v="0"/>
    <n v="0"/>
    <n v="0"/>
    <n v="0"/>
    <n v="0"/>
    <n v="0"/>
    <n v="0"/>
    <n v="0"/>
    <n v="0"/>
    <n v="0"/>
    <n v="0"/>
    <n v="0"/>
    <n v="0"/>
    <n v="0"/>
    <n v="0"/>
    <n v="0"/>
    <n v="0"/>
    <n v="0"/>
    <n v="0"/>
    <n v="0"/>
    <n v="0"/>
    <n v="0"/>
    <n v="0"/>
    <n v="0"/>
    <n v="0"/>
    <n v="0"/>
    <b v="1"/>
    <n v="0"/>
    <n v="0"/>
    <n v="0"/>
    <n v="0"/>
    <n v="0"/>
    <n v="0"/>
    <n v="0"/>
    <n v="0"/>
    <n v="0"/>
    <n v="0"/>
    <n v="0"/>
    <n v="0"/>
    <n v="0"/>
    <n v="0"/>
    <n v="0"/>
    <n v="0"/>
    <n v="0"/>
    <n v="0"/>
    <n v="0"/>
    <n v="0"/>
    <n v="0"/>
    <n v="0"/>
    <n v="0"/>
    <n v="0"/>
    <n v="0"/>
    <n v="0"/>
    <n v="0"/>
    <n v="0"/>
    <n v="0"/>
    <n v="0"/>
    <n v="0"/>
    <n v="0"/>
    <n v="0"/>
    <n v="0"/>
    <n v="0"/>
    <n v="0"/>
    <n v="0"/>
    <n v="0"/>
    <n v="0"/>
  </r>
  <r>
    <s v="AME25-076"/>
    <s v="R21"/>
    <s v="REC"/>
    <d v="2026-11-01T00:00:00"/>
    <d v="2027-10-01T00:00:00"/>
    <x v="3"/>
    <x v="0"/>
    <x v="55"/>
    <n v="5.7946666666666658E-3"/>
    <n v="2.6206276920042737E-3"/>
    <n v="0"/>
    <n v="0"/>
    <n v="8.4152943586709404E-3"/>
    <m/>
    <n v="0"/>
    <n v="0"/>
    <n v="0"/>
    <n v="0"/>
    <n v="0"/>
    <n v="0"/>
    <n v="0"/>
    <n v="0"/>
    <n v="0"/>
    <n v="0"/>
    <n v="182291.69999999998"/>
    <n v="238939"/>
    <n v="421230.69999999995"/>
    <n v="0"/>
    <n v="0"/>
    <n v="0"/>
    <n v="0"/>
    <n v="0"/>
    <n v="0"/>
    <n v="0"/>
    <n v="0"/>
    <n v="0"/>
    <n v="0"/>
    <n v="1534.0383146425354"/>
    <n v="2010.7420187664759"/>
    <n v="0"/>
    <n v="0"/>
    <n v="0"/>
    <n v="3544.7803334090113"/>
    <b v="1"/>
    <n v="2440.8914962666659"/>
    <n v="1103.8888371423445"/>
    <n v="0"/>
    <n v="0"/>
    <n v="3544.7803334090104"/>
    <n v="432229"/>
    <n v="537886"/>
    <n v="519202"/>
    <n v="287507"/>
    <n v="478075"/>
    <n v="778030"/>
    <n v="515118"/>
    <n v="581456"/>
    <n v="499550"/>
    <n v="452946"/>
    <n v="607639"/>
    <n v="238939"/>
    <n v="5928577"/>
    <n v="3637.3342653539821"/>
    <n v="4526.4690214080774"/>
    <n v="4369.2376616106694"/>
    <n v="2419.4560351784062"/>
    <n v="4023.1418505216097"/>
    <n v="6547.3514698767522"/>
    <n v="4334.8695994498576"/>
    <n v="4893.1233966153704"/>
    <n v="4203.8602968740679"/>
    <n v="3811.6739185825677"/>
    <n v="5113.4610488084518"/>
    <n v="2010.7420187664759"/>
    <n v="12533.040948372729"/>
    <n v="12989.949355576768"/>
    <n v="13431.853292939297"/>
    <n v="10935.876986157495"/>
    <n v="34354.127522666662"/>
    <n v="15536.593060379621"/>
    <n v="0"/>
    <n v="0"/>
    <n v="49890.720583046284"/>
  </r>
  <r>
    <s v="AME25-077"/>
    <s v="R78"/>
    <s v="REC"/>
    <d v="2026-12-01T00:00:00"/>
    <d v="2027-11-01T00:00:00"/>
    <x v="3"/>
    <x v="0"/>
    <x v="56"/>
    <n v="5.7946666666666658E-3"/>
    <n v="2.6206276920042737E-3"/>
    <n v="0"/>
    <n v="0"/>
    <n v="8.4152943586709404E-3"/>
    <m/>
    <n v="0"/>
    <n v="0"/>
    <n v="0"/>
    <n v="0"/>
    <n v="0"/>
    <n v="0"/>
    <n v="0"/>
    <n v="0"/>
    <n v="0"/>
    <n v="0"/>
    <n v="0"/>
    <n v="8310.2999999999993"/>
    <n v="8310.2999999999993"/>
    <n v="0"/>
    <n v="0"/>
    <n v="0"/>
    <n v="0"/>
    <n v="0"/>
    <n v="0"/>
    <n v="0"/>
    <n v="0"/>
    <n v="0"/>
    <n v="0"/>
    <n v="0"/>
    <n v="69.933620708863117"/>
    <n v="0"/>
    <n v="0"/>
    <n v="0"/>
    <n v="69.933620708863117"/>
    <b v="1"/>
    <n v="48.155418399999988"/>
    <n v="21.778202308863115"/>
    <n v="0"/>
    <n v="0"/>
    <n v="69.933620708863103"/>
    <n v="188378"/>
    <n v="141628"/>
    <n v="170437"/>
    <n v="57288"/>
    <n v="84228"/>
    <n v="100952"/>
    <n v="45861"/>
    <n v="36456"/>
    <n v="38574"/>
    <n v="33728"/>
    <n v="34999"/>
    <n v="27701"/>
    <n v="960230"/>
    <n v="1585.2563206977145"/>
    <n v="1191.841309429848"/>
    <n v="1434.277524608799"/>
    <n v="482.09538321954085"/>
    <n v="708.803413242136"/>
    <n v="849.54079609654877"/>
    <n v="385.93381458300797"/>
    <n v="306.78797113970779"/>
    <n v="324.61156459137288"/>
    <n v="283.83104812925347"/>
    <n v="294.52688725912424"/>
    <n v="233.11206902954373"/>
    <n v="4211.3751547363609"/>
    <n v="2040.4395925582255"/>
    <n v="1017.3333503140886"/>
    <n v="811.47000441792136"/>
    <n v="5564.2127733333327"/>
    <n v="2516.4053286932635"/>
    <n v="0"/>
    <n v="0"/>
    <n v="8080.6181020265958"/>
  </r>
  <r>
    <s v="AME25-078"/>
    <s v="R79"/>
    <s v="REC"/>
    <d v="2027-01-01T00:00:00"/>
    <d v="2027-12-01T00:00:00"/>
    <x v="3"/>
    <x v="0"/>
    <x v="57"/>
    <n v="5.7946666666666658E-3"/>
    <n v="2.6206276920042737E-3"/>
    <n v="0"/>
    <n v="0"/>
    <n v="8.4152943586709404E-3"/>
    <m/>
    <n v="0"/>
    <n v="0"/>
    <n v="0"/>
    <n v="0"/>
    <n v="0"/>
    <n v="0"/>
    <n v="0"/>
    <n v="0"/>
    <n v="0"/>
    <n v="0"/>
    <n v="0"/>
    <n v="0"/>
    <n v="0"/>
    <n v="0"/>
    <n v="0"/>
    <n v="0"/>
    <n v="0"/>
    <n v="0"/>
    <n v="0"/>
    <n v="0"/>
    <n v="0"/>
    <n v="0"/>
    <n v="0"/>
    <n v="0"/>
    <n v="0"/>
    <n v="0"/>
    <n v="0"/>
    <n v="0"/>
    <n v="0"/>
    <b v="1"/>
    <n v="0"/>
    <n v="0"/>
    <n v="0"/>
    <n v="0"/>
    <n v="0"/>
    <n v="3810172"/>
    <n v="4040503"/>
    <n v="3893243"/>
    <n v="3481523"/>
    <n v="4808932"/>
    <n v="4583176"/>
    <n v="5748041"/>
    <n v="3708414"/>
    <n v="4475969"/>
    <n v="4463502"/>
    <n v="3662570"/>
    <n v="3300021"/>
    <n v="49976066"/>
    <n v="32063.718937165973"/>
    <n v="34002.022102093011"/>
    <n v="32762.785854835129"/>
    <n v="29298.040861483129"/>
    <n v="40468.578330832162"/>
    <n v="38568.775137596043"/>
    <n v="48371.45700070927"/>
    <n v="31207.395413816335"/>
    <n v="37666.596675286011"/>
    <n v="37561.683200516462"/>
    <n v="30821.604659237426"/>
    <n v="27770.648104795637"/>
    <n v="98828.526894094102"/>
    <n v="108335.39432991133"/>
    <n v="117245.44908981162"/>
    <n v="96153.935964549513"/>
    <n v="289594.64378133329"/>
    <n v="130968.66249703325"/>
    <n v="0"/>
    <n v="0"/>
    <n v="420563.30627836654"/>
  </r>
  <r>
    <s v="AME25-079"/>
    <s v="R184"/>
    <s v="REC"/>
    <d v="2026-10-01T00:00:00"/>
    <d v="2027-09-01T00:00:00"/>
    <x v="3"/>
    <x v="0"/>
    <x v="58"/>
    <n v="3.2190476190476196E-3"/>
    <n v="2.6206276920042737E-3"/>
    <n v="0"/>
    <n v="0"/>
    <n v="5.8396753110518933E-3"/>
    <m/>
    <n v="0"/>
    <n v="0"/>
    <n v="0"/>
    <n v="0"/>
    <n v="0"/>
    <n v="0"/>
    <n v="0"/>
    <n v="0"/>
    <n v="0"/>
    <n v="0"/>
    <n v="0"/>
    <n v="0"/>
    <n v="0"/>
    <n v="0"/>
    <n v="0"/>
    <n v="0"/>
    <n v="0"/>
    <n v="0"/>
    <n v="0"/>
    <n v="0"/>
    <n v="0"/>
    <n v="0"/>
    <n v="0"/>
    <n v="0"/>
    <n v="0"/>
    <n v="0"/>
    <n v="0"/>
    <n v="0"/>
    <n v="0"/>
    <b v="1"/>
    <n v="0"/>
    <n v="0"/>
    <n v="0"/>
    <n v="0"/>
    <n v="0"/>
    <n v="0"/>
    <n v="0"/>
    <n v="0"/>
    <n v="0"/>
    <n v="0"/>
    <n v="0"/>
    <n v="0"/>
    <n v="0"/>
    <n v="0"/>
    <n v="0"/>
    <n v="0"/>
    <n v="0"/>
    <n v="0"/>
    <n v="0"/>
    <n v="0"/>
    <n v="0"/>
    <n v="0"/>
    <n v="0"/>
    <n v="0"/>
    <n v="0"/>
    <n v="0"/>
    <n v="0"/>
    <n v="0"/>
    <n v="0"/>
    <n v="0"/>
    <n v="0"/>
    <n v="0"/>
    <n v="0"/>
    <n v="0"/>
    <n v="0"/>
    <n v="0"/>
    <n v="0"/>
    <n v="0"/>
    <n v="0"/>
  </r>
  <r>
    <s v="AME25-080"/>
    <s v="R21"/>
    <s v="REC"/>
    <d v="2026-08-01T00:00:00"/>
    <d v="2027-07-01T00:00:00"/>
    <x v="3"/>
    <x v="0"/>
    <x v="59"/>
    <n v="1.9334399999999998E-3"/>
    <n v="0"/>
    <n v="0"/>
    <n v="0"/>
    <n v="1.9334399999999998E-3"/>
    <m/>
    <n v="0"/>
    <n v="0"/>
    <n v="0"/>
    <n v="0"/>
    <n v="0"/>
    <n v="0"/>
    <n v="0"/>
    <n v="174436.8"/>
    <n v="499550"/>
    <n v="452946"/>
    <n v="607639"/>
    <n v="238939"/>
    <n v="1973510.8"/>
    <n v="0"/>
    <n v="0"/>
    <n v="0"/>
    <n v="0"/>
    <n v="0"/>
    <n v="0"/>
    <n v="0"/>
    <n v="337.26308659199992"/>
    <n v="965.84995199999992"/>
    <n v="875.74391423999987"/>
    <n v="1174.83354816"/>
    <n v="461.97422015999996"/>
    <n v="0"/>
    <n v="0"/>
    <n v="1303.1130385919998"/>
    <n v="2512.5516825599998"/>
    <b v="1"/>
    <n v="3815.6647211519999"/>
    <n v="0"/>
    <n v="0"/>
    <n v="0"/>
    <n v="3815.6647211519999"/>
    <n v="432229"/>
    <n v="537886"/>
    <n v="519202"/>
    <n v="287507"/>
    <n v="478075"/>
    <n v="778030"/>
    <n v="515118"/>
    <n v="581456"/>
    <n v="499550"/>
    <n v="452946"/>
    <n v="607639"/>
    <n v="238939"/>
    <n v="5928577"/>
    <n v="835.68883775999996"/>
    <n v="1039.9703078399998"/>
    <n v="1003.8459148799999"/>
    <n v="555.87753407999992"/>
    <n v="924.32932799999992"/>
    <n v="1504.2743231999998"/>
    <n v="995.94974591999994"/>
    <n v="1124.2102886399998"/>
    <n v="965.84995199999992"/>
    <n v="875.74391423999987"/>
    <n v="1174.83354816"/>
    <n v="461.97422015999996"/>
    <n v="2879.5050604799994"/>
    <n v="2984.4811852799994"/>
    <n v="3086.00998656"/>
    <n v="2512.5516825599998"/>
    <n v="11462.547914879999"/>
    <n v="0"/>
    <n v="0"/>
    <n v="0"/>
    <n v="11462.547914879999"/>
  </r>
  <r>
    <s v="AME25-081"/>
    <s v="R78"/>
    <s v="REC"/>
    <d v="2026-10-01T00:00:00"/>
    <d v="2027-09-01T00:00:00"/>
    <x v="3"/>
    <x v="0"/>
    <x v="60"/>
    <n v="1.9334399999999998E-3"/>
    <n v="0"/>
    <n v="0"/>
    <n v="0"/>
    <n v="1.9334399999999998E-3"/>
    <m/>
    <n v="0"/>
    <n v="0"/>
    <n v="0"/>
    <n v="0"/>
    <n v="0"/>
    <n v="0"/>
    <n v="0"/>
    <n v="0"/>
    <n v="0"/>
    <n v="10118.4"/>
    <n v="34999"/>
    <n v="27701"/>
    <n v="72818.399999999994"/>
    <n v="0"/>
    <n v="0"/>
    <n v="0"/>
    <n v="0"/>
    <n v="0"/>
    <n v="0"/>
    <n v="0"/>
    <n v="0"/>
    <n v="0"/>
    <n v="19.563319295999996"/>
    <n v="67.668466559999999"/>
    <n v="53.558221439999997"/>
    <n v="0"/>
    <n v="0"/>
    <n v="0"/>
    <n v="140.790007296"/>
    <b v="1"/>
    <n v="140.79000729599997"/>
    <n v="0"/>
    <n v="0"/>
    <n v="0"/>
    <n v="140.79000729599997"/>
    <n v="188378"/>
    <n v="141628"/>
    <n v="170437"/>
    <n v="57288"/>
    <n v="84228"/>
    <n v="100952"/>
    <n v="45861"/>
    <n v="36456"/>
    <n v="38574"/>
    <n v="33728"/>
    <n v="34999"/>
    <n v="27701"/>
    <n v="960230"/>
    <n v="364.21756031999996"/>
    <n v="273.82924032"/>
    <n v="329.52971327999995"/>
    <n v="110.76291071999999"/>
    <n v="162.84978432"/>
    <n v="195.18463487999998"/>
    <n v="88.669491839999992"/>
    <n v="70.48548864"/>
    <n v="74.580514559999997"/>
    <n v="65.211064319999991"/>
    <n v="67.668466559999999"/>
    <n v="53.558221439999997"/>
    <n v="967.5765139199998"/>
    <n v="468.79732991999998"/>
    <n v="233.73549503999999"/>
    <n v="186.43775232000002"/>
    <n v="1856.5470911999998"/>
    <n v="0"/>
    <n v="0"/>
    <n v="0"/>
    <n v="1856.5470911999998"/>
  </r>
  <r>
    <s v="AME25-082"/>
    <s v="R79"/>
    <s v="REC"/>
    <d v="2026-11-01T00:00:00"/>
    <d v="2027-10-01T00:00:00"/>
    <x v="3"/>
    <x v="0"/>
    <x v="61"/>
    <n v="1.9334399999999998E-3"/>
    <n v="0"/>
    <n v="0"/>
    <n v="0"/>
    <n v="1.9334399999999998E-3"/>
    <m/>
    <n v="0"/>
    <n v="0"/>
    <n v="0"/>
    <n v="0"/>
    <n v="0"/>
    <n v="0"/>
    <n v="0"/>
    <n v="0"/>
    <n v="0"/>
    <n v="0"/>
    <n v="1098771"/>
    <n v="3300021"/>
    <n v="4398792"/>
    <n v="0"/>
    <n v="0"/>
    <n v="0"/>
    <n v="0"/>
    <n v="0"/>
    <n v="0"/>
    <n v="0"/>
    <n v="0"/>
    <n v="0"/>
    <n v="0"/>
    <n v="2124.4078022399999"/>
    <n v="6380.3926022399992"/>
    <n v="0"/>
    <n v="0"/>
    <n v="0"/>
    <n v="8504.80040448"/>
    <b v="1"/>
    <n v="8504.80040448"/>
    <n v="0"/>
    <n v="0"/>
    <n v="0"/>
    <n v="8504.80040448"/>
    <n v="3810172"/>
    <n v="4040503"/>
    <n v="3893243"/>
    <n v="3481523"/>
    <n v="4808932"/>
    <n v="4583176"/>
    <n v="5748041"/>
    <n v="3708414"/>
    <n v="4475969"/>
    <n v="4463502"/>
    <n v="3662570"/>
    <n v="3300021"/>
    <n v="49976066"/>
    <n v="7366.7389516799994"/>
    <n v="7812.0701203199997"/>
    <n v="7527.3517459199993"/>
    <n v="6731.3158291199998"/>
    <n v="9297.781486079999"/>
    <n v="8861.2958054399987"/>
    <n v="11113.492391039999"/>
    <n v="7169.9959641599989"/>
    <n v="8654.017503359999"/>
    <n v="8629.9133068799983"/>
    <n v="7081.3593407999997"/>
    <n v="6380.3926022399992"/>
    <n v="22706.160817919997"/>
    <n v="24890.393120639998"/>
    <n v="26937.505858559998"/>
    <n v="22091.665249919999"/>
    <n v="96625.725047039989"/>
    <n v="0"/>
    <n v="0"/>
    <n v="0"/>
    <n v="96625.725047039989"/>
  </r>
  <r>
    <s v="AME25-071"/>
    <s v="R92"/>
    <s v="REC"/>
    <d v="2026-07-01T00:00:00"/>
    <d v="2027-06-01T00:00:00"/>
    <x v="3"/>
    <x v="0"/>
    <x v="50"/>
    <n v="1.9334399999999998E-3"/>
    <n v="0"/>
    <n v="0"/>
    <n v="0"/>
    <n v="1.9334399999999998E-3"/>
    <m/>
    <n v="0"/>
    <n v="0"/>
    <n v="0"/>
    <n v="0"/>
    <n v="0"/>
    <n v="0"/>
    <n v="22343.7"/>
    <n v="58273"/>
    <n v="67997"/>
    <n v="85542"/>
    <n v="75465"/>
    <n v="84571"/>
    <n v="394191.7"/>
    <n v="0"/>
    <n v="0"/>
    <n v="0"/>
    <n v="0"/>
    <n v="0"/>
    <n v="0"/>
    <n v="43.200203328000001"/>
    <n v="112.66734911999998"/>
    <n v="131.46811968"/>
    <n v="165.39032447999998"/>
    <n v="145.90704959999999"/>
    <n v="163.51295423999997"/>
    <n v="0"/>
    <n v="0"/>
    <n v="287.33567212799994"/>
    <n v="474.81032831999994"/>
    <b v="1"/>
    <n v="762.146000448"/>
    <n v="0"/>
    <n v="0"/>
    <n v="0"/>
    <n v="762.146000448"/>
    <n v="48500"/>
    <n v="80821"/>
    <n v="90035"/>
    <n v="74480"/>
    <n v="78343"/>
    <n v="72933"/>
    <n v="74479"/>
    <n v="58273"/>
    <n v="67997"/>
    <n v="85542"/>
    <n v="75465"/>
    <n v="84571"/>
    <n v="891439"/>
    <n v="93.771839999999997"/>
    <n v="156.26255423999999"/>
    <n v="174.07727039999997"/>
    <n v="144.00261119999999"/>
    <n v="151.47148991999998"/>
    <n v="141.01157952"/>
    <n v="144.00067775999997"/>
    <n v="112.66734911999998"/>
    <n v="131.46811968"/>
    <n v="165.39032447999998"/>
    <n v="145.90704959999999"/>
    <n v="163.51295423999997"/>
    <n v="424.11166463999996"/>
    <n v="436.48568064"/>
    <n v="388.13614655999993"/>
    <n v="474.81032831999994"/>
    <n v="1723.5438201599998"/>
    <n v="0"/>
    <n v="0"/>
    <n v="0"/>
    <n v="1723.5438201599998"/>
  </r>
  <r>
    <s v="AME25-071"/>
    <s v="R192"/>
    <s v="REC"/>
    <d v="2026-07-01T00:00:00"/>
    <d v="2027-06-01T00:00:00"/>
    <x v="3"/>
    <x v="0"/>
    <x v="50"/>
    <n v="1.6649663994818234E-3"/>
    <n v="1.5525010702578723E-2"/>
    <n v="0"/>
    <n v="0"/>
    <n v="1.7189977102060546E-2"/>
    <m/>
    <n v="0"/>
    <n v="0"/>
    <n v="0"/>
    <n v="0"/>
    <n v="0"/>
    <n v="0"/>
    <n v="0"/>
    <n v="0"/>
    <n v="0"/>
    <n v="0"/>
    <n v="0"/>
    <n v="0"/>
    <n v="0"/>
    <n v="0"/>
    <n v="0"/>
    <n v="0"/>
    <n v="0"/>
    <n v="0"/>
    <n v="0"/>
    <n v="0"/>
    <n v="0"/>
    <n v="0"/>
    <n v="0"/>
    <n v="0"/>
    <n v="0"/>
    <n v="0"/>
    <n v="0"/>
    <n v="0"/>
    <n v="0"/>
    <b v="1"/>
    <n v="0"/>
    <n v="0"/>
    <n v="0"/>
    <n v="0"/>
    <n v="0"/>
    <n v="0"/>
    <n v="0"/>
    <n v="0"/>
    <n v="0"/>
    <n v="0"/>
    <n v="0"/>
    <n v="0"/>
    <n v="0"/>
    <n v="0"/>
    <n v="0"/>
    <n v="0"/>
    <n v="0"/>
    <n v="0"/>
    <n v="0"/>
    <n v="0"/>
    <n v="0"/>
    <n v="0"/>
    <n v="0"/>
    <n v="0"/>
    <n v="0"/>
    <n v="0"/>
    <n v="0"/>
    <n v="0"/>
    <n v="0"/>
    <n v="0"/>
    <n v="0"/>
    <n v="0"/>
    <n v="0"/>
    <n v="0"/>
    <n v="0"/>
    <n v="0"/>
    <n v="0"/>
    <n v="0"/>
    <n v="0"/>
  </r>
  <r>
    <s v="AME25-071"/>
    <s v="R193"/>
    <s v="REC"/>
    <d v="2026-07-01T00:00:00"/>
    <d v="2027-06-01T00:00:00"/>
    <x v="3"/>
    <x v="0"/>
    <x v="50"/>
    <n v="1.6649663994818234E-3"/>
    <n v="1.5525010702578723E-2"/>
    <n v="0"/>
    <n v="0"/>
    <n v="1.7189977102060546E-2"/>
    <m/>
    <n v="0"/>
    <n v="0"/>
    <n v="0"/>
    <n v="0"/>
    <n v="0"/>
    <n v="0"/>
    <n v="0"/>
    <n v="0"/>
    <n v="0"/>
    <n v="0"/>
    <n v="0"/>
    <n v="0"/>
    <n v="0"/>
    <n v="0"/>
    <n v="0"/>
    <n v="0"/>
    <n v="0"/>
    <n v="0"/>
    <n v="0"/>
    <n v="0"/>
    <n v="0"/>
    <n v="0"/>
    <n v="0"/>
    <n v="0"/>
    <n v="0"/>
    <n v="0"/>
    <n v="0"/>
    <n v="0"/>
    <n v="0"/>
    <b v="1"/>
    <n v="0"/>
    <n v="0"/>
    <n v="0"/>
    <n v="0"/>
    <n v="0"/>
    <n v="0"/>
    <n v="0"/>
    <n v="0"/>
    <n v="0"/>
    <n v="0"/>
    <n v="0"/>
    <n v="0"/>
    <n v="0"/>
    <n v="0"/>
    <n v="0"/>
    <n v="0"/>
    <n v="0"/>
    <n v="0"/>
    <n v="0"/>
    <n v="0"/>
    <n v="0"/>
    <n v="0"/>
    <n v="0"/>
    <n v="0"/>
    <n v="0"/>
    <n v="0"/>
    <n v="0"/>
    <n v="0"/>
    <n v="0"/>
    <n v="0"/>
    <n v="0"/>
    <n v="0"/>
    <n v="0"/>
    <n v="0"/>
    <n v="0"/>
    <n v="0"/>
    <n v="0"/>
    <n v="0"/>
    <n v="0"/>
  </r>
  <r>
    <s v="AME25-068"/>
    <s v="V3"/>
    <s v="VAM"/>
    <d v="2026-09-01T00:00:00"/>
    <d v="2027-08-01T00:00:00"/>
    <x v="3"/>
    <x v="0"/>
    <x v="48"/>
    <n v="1.6649663994818234E-3"/>
    <n v="1.5525010702578723E-2"/>
    <n v="0"/>
    <n v="0"/>
    <n v="1.7189977102060546E-2"/>
    <m/>
    <n v="0"/>
    <n v="0"/>
    <n v="0"/>
    <n v="0"/>
    <n v="0"/>
    <n v="0"/>
    <n v="0"/>
    <n v="0"/>
    <n v="591763.19999999995"/>
    <n v="879191"/>
    <n v="811677"/>
    <n v="568675"/>
    <n v="2851306.2"/>
    <n v="0"/>
    <n v="0"/>
    <n v="0"/>
    <n v="0"/>
    <n v="0"/>
    <n v="0"/>
    <n v="0"/>
    <n v="0"/>
    <n v="10172.395857842075"/>
    <n v="15113.273158337714"/>
    <n v="13952.709044269199"/>
    <n v="9775.5102285142802"/>
    <n v="0"/>
    <n v="0"/>
    <n v="10172.395857842075"/>
    <n v="38841.492431121194"/>
    <b v="1"/>
    <n v="4747.3290176341998"/>
    <n v="44266.559271329075"/>
    <n v="0"/>
    <n v="0"/>
    <n v="49013.888288963273"/>
    <n v="683202"/>
    <n v="667394"/>
    <n v="652384"/>
    <n v="743928"/>
    <n v="811604"/>
    <n v="811660"/>
    <n v="845291"/>
    <n v="777804"/>
    <n v="845376"/>
    <n v="879191"/>
    <n v="811677"/>
    <n v="568675"/>
    <n v="9098186"/>
    <n v="11744.22673608197"/>
    <n v="11472.487578052596"/>
    <n v="11214.466021750668"/>
    <n v="12788.105285581698"/>
    <n v="13951.454175940748"/>
    <n v="13952.416814658463"/>
    <n v="14530.532934577861"/>
    <n v="13370.432949891101"/>
    <n v="14531.994082631536"/>
    <n v="15113.273158337714"/>
    <n v="13952.709044269199"/>
    <n v="9775.5102285142802"/>
    <n v="34431.180335885234"/>
    <n v="40691.976276180911"/>
    <n v="42432.959967100498"/>
    <n v="38841.492431121194"/>
    <n v="15148.173986235934"/>
    <n v="141249.4350240519"/>
    <n v="0"/>
    <n v="0"/>
    <n v="156397.60901028782"/>
  </r>
  <r>
    <s v="AME25-068"/>
    <s v="V4"/>
    <s v="VAM"/>
    <d v="2026-09-01T00:00:00"/>
    <d v="2027-08-01T00:00:00"/>
    <x v="3"/>
    <x v="0"/>
    <x v="48"/>
    <n v="5.0000000000000001E-3"/>
    <n v="0"/>
    <n v="0"/>
    <n v="0"/>
    <n v="5.0000000000000001E-3"/>
    <m/>
    <n v="0"/>
    <n v="0"/>
    <n v="0"/>
    <n v="0"/>
    <n v="0"/>
    <n v="0"/>
    <n v="0"/>
    <n v="0"/>
    <n v="589486.79999999993"/>
    <n v="875809"/>
    <n v="808323"/>
    <n v="566675"/>
    <n v="2840293.8"/>
    <n v="0"/>
    <n v="0"/>
    <n v="0"/>
    <n v="0"/>
    <n v="0"/>
    <n v="0"/>
    <n v="0"/>
    <n v="0"/>
    <n v="2947.4339999999997"/>
    <n v="4379.0450000000001"/>
    <n v="4041.6150000000002"/>
    <n v="2833.375"/>
    <n v="0"/>
    <n v="0"/>
    <n v="2947.4339999999997"/>
    <n v="11254.035"/>
    <b v="1"/>
    <n v="14201.468999999999"/>
    <n v="0"/>
    <n v="0"/>
    <n v="0"/>
    <n v="14201.468999999999"/>
    <n v="713167"/>
    <n v="603260"/>
    <n v="650377"/>
    <n v="741072"/>
    <n v="808396"/>
    <n v="808340"/>
    <n v="842209"/>
    <n v="774696"/>
    <n v="842124"/>
    <n v="875809"/>
    <n v="808323"/>
    <n v="566675"/>
    <n v="9034448"/>
    <n v="3565.835"/>
    <n v="3016.3"/>
    <n v="3251.8850000000002"/>
    <n v="3705.36"/>
    <n v="4041.98"/>
    <n v="4041.7000000000003"/>
    <n v="4211.0450000000001"/>
    <n v="3873.48"/>
    <n v="4210.62"/>
    <n v="4379.0450000000001"/>
    <n v="4041.6150000000002"/>
    <n v="2833.375"/>
    <n v="9834.02"/>
    <n v="11789.04"/>
    <n v="12295.145"/>
    <n v="11254.035"/>
    <n v="45172.24"/>
    <n v="0"/>
    <n v="0"/>
    <n v="0"/>
    <n v="45172.24"/>
  </r>
  <r>
    <s v="AME25-068"/>
    <s v="V1"/>
    <s v="VAM"/>
    <d v="2026-09-01T00:00:00"/>
    <d v="2027-08-01T00:00:00"/>
    <x v="3"/>
    <x v="0"/>
    <x v="48"/>
    <n v="5.0000000000000001E-3"/>
    <n v="0"/>
    <n v="0"/>
    <n v="0"/>
    <n v="5.0000000000000001E-3"/>
    <m/>
    <n v="0"/>
    <n v="0"/>
    <n v="0"/>
    <n v="0"/>
    <n v="0"/>
    <n v="0"/>
    <n v="0"/>
    <n v="0"/>
    <n v="0"/>
    <n v="0"/>
    <n v="0"/>
    <n v="0"/>
    <n v="0"/>
    <n v="0"/>
    <n v="0"/>
    <n v="0"/>
    <n v="0"/>
    <n v="0"/>
    <n v="0"/>
    <n v="0"/>
    <n v="0"/>
    <n v="0"/>
    <n v="0"/>
    <n v="0"/>
    <n v="0"/>
    <n v="0"/>
    <n v="0"/>
    <n v="0"/>
    <n v="0"/>
    <b v="1"/>
    <n v="0"/>
    <n v="0"/>
    <n v="0"/>
    <n v="0"/>
    <n v="0"/>
    <n v="149825"/>
    <n v="66806"/>
    <n v="66911"/>
    <n v="0"/>
    <n v="0"/>
    <n v="0"/>
    <n v="0"/>
    <n v="0"/>
    <n v="0"/>
    <n v="0"/>
    <n v="0"/>
    <n v="0"/>
    <n v="283542"/>
    <n v="749.125"/>
    <n v="334.03000000000003"/>
    <n v="334.55500000000001"/>
    <n v="0"/>
    <n v="0"/>
    <n v="0"/>
    <n v="0"/>
    <n v="0"/>
    <n v="0"/>
    <n v="0"/>
    <n v="0"/>
    <n v="0"/>
    <n v="1417.71"/>
    <n v="0"/>
    <n v="0"/>
    <n v="0"/>
    <n v="1417.71"/>
    <n v="0"/>
    <n v="0"/>
    <n v="0"/>
    <n v="1417.71"/>
  </r>
  <r>
    <s v="AME25-072"/>
    <s v="R2"/>
    <s v="REC"/>
    <d v="2026-09-01T00:00:00"/>
    <d v="2027-08-01T00:00:00"/>
    <x v="3"/>
    <x v="0"/>
    <x v="52"/>
    <n v="5.0000000000000001E-3"/>
    <n v="0"/>
    <n v="0"/>
    <n v="0"/>
    <n v="5.0000000000000001E-3"/>
    <m/>
    <n v="0"/>
    <n v="0"/>
    <n v="0"/>
    <n v="0"/>
    <n v="0"/>
    <n v="0"/>
    <n v="0"/>
    <n v="0"/>
    <n v="164971.79999999999"/>
    <n v="200362"/>
    <n v="202313"/>
    <n v="202350"/>
    <n v="769996.80000000005"/>
    <n v="0"/>
    <n v="0"/>
    <n v="0"/>
    <n v="0"/>
    <n v="0"/>
    <n v="0"/>
    <n v="0"/>
    <n v="0"/>
    <n v="824.85899999999992"/>
    <n v="1001.8100000000001"/>
    <n v="1011.5650000000001"/>
    <n v="1011.75"/>
    <n v="0"/>
    <n v="0"/>
    <n v="824.85899999999992"/>
    <n v="3025.125"/>
    <b v="1"/>
    <n v="3849.9840000000004"/>
    <n v="0"/>
    <n v="0"/>
    <n v="0"/>
    <n v="3849.9840000000004"/>
    <n v="193555"/>
    <n v="223034"/>
    <n v="203369"/>
    <n v="186567"/>
    <n v="198173"/>
    <n v="263368"/>
    <n v="235171"/>
    <n v="185560"/>
    <n v="235674"/>
    <n v="200362"/>
    <n v="202313"/>
    <n v="202350"/>
    <n v="2529496"/>
    <n v="967.77499999999998"/>
    <n v="1115.17"/>
    <n v="1016.845"/>
    <n v="932.83500000000004"/>
    <n v="990.86500000000001"/>
    <n v="1316.84"/>
    <n v="1175.855"/>
    <n v="927.80000000000007"/>
    <n v="1178.3700000000001"/>
    <n v="1001.8100000000001"/>
    <n v="1011.5650000000001"/>
    <n v="1011.75"/>
    <n v="3099.79"/>
    <n v="3240.54"/>
    <n v="3282.0250000000005"/>
    <n v="3025.125"/>
    <n v="12647.48"/>
    <n v="0"/>
    <n v="0"/>
    <n v="0"/>
    <n v="12647.48"/>
  </r>
  <r>
    <s v="AME25-072"/>
    <s v="R3"/>
    <s v="REC"/>
    <d v="2026-09-01T00:00:00"/>
    <d v="2027-08-01T00:00:00"/>
    <x v="3"/>
    <x v="0"/>
    <x v="52"/>
    <n v="3.8464836601307191E-3"/>
    <n v="1.4564074192795651E-2"/>
    <n v="0"/>
    <n v="0"/>
    <n v="1.8410557852926369E-2"/>
    <m/>
    <n v="0"/>
    <n v="0"/>
    <n v="0"/>
    <n v="0"/>
    <n v="0"/>
    <n v="0"/>
    <n v="0"/>
    <n v="0"/>
    <n v="164971.79999999999"/>
    <n v="200362"/>
    <n v="202313"/>
    <n v="202350"/>
    <n v="769996.80000000005"/>
    <n v="0"/>
    <n v="0"/>
    <n v="0"/>
    <n v="0"/>
    <n v="0"/>
    <n v="0"/>
    <n v="0"/>
    <n v="0"/>
    <n v="3037.2228680013982"/>
    <n v="3688.7761925280333"/>
    <n v="3724.6951908990927"/>
    <n v="3725.376381539651"/>
    <n v="0"/>
    <n v="0"/>
    <n v="3037.2228680013982"/>
    <n v="11138.847764966777"/>
    <b v="1"/>
    <n v="2961.7801095529417"/>
    <n v="11214.290523415235"/>
    <n v="0"/>
    <n v="0"/>
    <n v="14176.070632968176"/>
    <n v="193555"/>
    <n v="223034"/>
    <n v="203369"/>
    <n v="186567"/>
    <n v="198173"/>
    <n v="263368"/>
    <n v="235171"/>
    <n v="185560"/>
    <n v="235674"/>
    <n v="200362"/>
    <n v="202313"/>
    <n v="202350"/>
    <n v="2529496"/>
    <n v="3563.4555252231635"/>
    <n v="4106.1803601695801"/>
    <n v="3744.1367399917826"/>
    <n v="3434.8025469469139"/>
    <n v="3648.4754813879772"/>
    <n v="4848.7518006095124"/>
    <n v="4329.6293008305474"/>
    <n v="3416.2631151890173"/>
    <n v="4338.8898114305694"/>
    <n v="3688.7761925280333"/>
    <n v="3724.6951908990927"/>
    <n v="3725.376381539651"/>
    <n v="11413.772625384525"/>
    <n v="11932.029828944404"/>
    <n v="12084.782227450134"/>
    <n v="11138.847764966777"/>
    <n v="9729.6650323660142"/>
    <n v="36839.767414379829"/>
    <n v="0"/>
    <n v="0"/>
    <n v="46569.432446745843"/>
  </r>
  <r>
    <s v="AME25-072"/>
    <s v="R11"/>
    <s v="REC"/>
    <d v="2026-09-01T00:00:00"/>
    <d v="2027-08-01T00:00:00"/>
    <x v="3"/>
    <x v="0"/>
    <x v="52"/>
    <n v="3.8464836601307191E-3"/>
    <n v="1.4564074192795651E-2"/>
    <n v="0"/>
    <n v="0"/>
    <n v="1.8410557852926369E-2"/>
    <m/>
    <n v="0"/>
    <n v="0"/>
    <n v="0"/>
    <n v="0"/>
    <n v="0"/>
    <n v="0"/>
    <n v="0"/>
    <n v="0"/>
    <n v="391522.6"/>
    <n v="505159"/>
    <n v="481920"/>
    <n v="419140"/>
    <n v="1797741.6"/>
    <n v="0"/>
    <n v="0"/>
    <n v="0"/>
    <n v="0"/>
    <n v="0"/>
    <n v="0"/>
    <n v="0"/>
    <n v="0"/>
    <n v="7208.1494780281491"/>
    <n v="9300.2589944264309"/>
    <n v="8872.416040482276"/>
    <n v="7716.6012184755582"/>
    <n v="0"/>
    <n v="0"/>
    <n v="7208.1494780281491"/>
    <n v="25889.276253384269"/>
    <b v="1"/>
    <n v="6914.9836895372555"/>
    <n v="26182.442041875162"/>
    <n v="0"/>
    <n v="0"/>
    <n v="33097.425731412419"/>
    <n v="494532"/>
    <n v="592721"/>
    <n v="611013"/>
    <n v="527557"/>
    <n v="624427"/>
    <n v="587928"/>
    <n v="685587"/>
    <n v="546677"/>
    <n v="559318"/>
    <n v="505159"/>
    <n v="481920"/>
    <n v="419140"/>
    <n v="6635979"/>
    <n v="9104.6099961233831"/>
    <n v="10912.324261144371"/>
    <n v="11249.0901853901"/>
    <n v="9712.6186692162773"/>
    <n v="11496.049408429255"/>
    <n v="10824.082457355295"/>
    <n v="12622.039126714231"/>
    <n v="10064.628535364229"/>
    <n v="10297.356397183072"/>
    <n v="9300.2589944264309"/>
    <n v="8872.416040482276"/>
    <n v="7716.6012184755582"/>
    <n v="31266.024442657857"/>
    <n v="32032.750535000829"/>
    <n v="32984.02405926153"/>
    <n v="25889.276253384269"/>
    <n v="25525.184792470591"/>
    <n v="96646.890497833883"/>
    <n v="0"/>
    <n v="0"/>
    <n v="122172.07529030448"/>
  </r>
  <r>
    <s v="AME25-072"/>
    <s v="R12"/>
    <s v="REC"/>
    <d v="2026-09-01T00:00:00"/>
    <d v="2027-08-01T00:00:00"/>
    <x v="3"/>
    <x v="0"/>
    <x v="52"/>
    <n v="3.8464836601307191E-3"/>
    <n v="1.4564074192795651E-2"/>
    <n v="0"/>
    <n v="0"/>
    <n v="1.8410557852926369E-2"/>
    <m/>
    <n v="0"/>
    <n v="0"/>
    <n v="0"/>
    <n v="0"/>
    <n v="0"/>
    <n v="0"/>
    <n v="0"/>
    <n v="0"/>
    <n v="391522.6"/>
    <n v="505159"/>
    <n v="481920"/>
    <n v="419140"/>
    <n v="1797741.6"/>
    <n v="0"/>
    <n v="0"/>
    <n v="0"/>
    <n v="0"/>
    <n v="0"/>
    <n v="0"/>
    <n v="0"/>
    <n v="0"/>
    <n v="7208.1494780281491"/>
    <n v="9300.2589944264309"/>
    <n v="8872.416040482276"/>
    <n v="7716.6012184755582"/>
    <n v="0"/>
    <n v="0"/>
    <n v="7208.1494780281491"/>
    <n v="25889.276253384269"/>
    <b v="1"/>
    <n v="6914.9836895372555"/>
    <n v="26182.442041875162"/>
    <n v="0"/>
    <n v="0"/>
    <n v="33097.425731412419"/>
    <n v="494532"/>
    <n v="592721"/>
    <n v="611013"/>
    <n v="527557"/>
    <n v="624427"/>
    <n v="587928"/>
    <n v="685587"/>
    <n v="546677"/>
    <n v="559318"/>
    <n v="505159"/>
    <n v="481920"/>
    <n v="419140"/>
    <n v="6635979"/>
    <n v="9104.6099961233831"/>
    <n v="10912.324261144371"/>
    <n v="11249.0901853901"/>
    <n v="9712.6186692162773"/>
    <n v="11496.049408429255"/>
    <n v="10824.082457355295"/>
    <n v="12622.039126714231"/>
    <n v="10064.628535364229"/>
    <n v="10297.356397183072"/>
    <n v="9300.2589944264309"/>
    <n v="8872.416040482276"/>
    <n v="7716.6012184755582"/>
    <n v="31266.024442657857"/>
    <n v="32032.750535000829"/>
    <n v="32984.02405926153"/>
    <n v="25889.276253384269"/>
    <n v="25525.184792470591"/>
    <n v="96646.890497833883"/>
    <n v="0"/>
    <n v="0"/>
    <n v="122172.07529030448"/>
  </r>
  <r>
    <s v="AME25-072"/>
    <s v="R17"/>
    <s v="REC"/>
    <d v="2026-09-01T00:00:00"/>
    <d v="2027-08-01T00:00:00"/>
    <x v="3"/>
    <x v="0"/>
    <x v="52"/>
    <n v="3.8464836601307191E-3"/>
    <n v="1.4564074192795651E-2"/>
    <n v="0"/>
    <n v="0"/>
    <n v="1.8410557852926369E-2"/>
    <m/>
    <n v="0"/>
    <n v="0"/>
    <n v="0"/>
    <n v="0"/>
    <n v="0"/>
    <n v="0"/>
    <n v="0"/>
    <n v="0"/>
    <n v="111174"/>
    <n v="189383"/>
    <n v="178969"/>
    <n v="159023"/>
    <n v="638549"/>
    <n v="0"/>
    <n v="0"/>
    <n v="0"/>
    <n v="0"/>
    <n v="0"/>
    <n v="0"/>
    <n v="0"/>
    <n v="0"/>
    <n v="2046.7753587412362"/>
    <n v="3486.6466778607546"/>
    <n v="3294.9191283803793"/>
    <n v="2927.70214144591"/>
    <n v="0"/>
    <n v="0"/>
    <n v="2046.7753587412362"/>
    <n v="9709.2679476870435"/>
    <b v="1"/>
    <n v="2456.1682946928104"/>
    <n v="9299.8750117354703"/>
    <n v="0"/>
    <n v="0"/>
    <n v="11756.043306428281"/>
    <n v="205988"/>
    <n v="236471"/>
    <n v="232314"/>
    <n v="201153"/>
    <n v="212833"/>
    <n v="186755"/>
    <n v="187764"/>
    <n v="153606"/>
    <n v="158820"/>
    <n v="189383"/>
    <n v="178969"/>
    <n v="159023"/>
    <n v="2303079"/>
    <n v="3792.3539910085969"/>
    <n v="4353.5630260393518"/>
    <n v="4277.0303370447364"/>
    <n v="3703.3389437896981"/>
    <n v="3918.3742595118779"/>
    <n v="3438.2637318232642"/>
    <n v="3456.8399846968668"/>
    <n v="2827.9721495566077"/>
    <n v="2923.9647982017659"/>
    <n v="3486.6466778607546"/>
    <n v="3294.9191283803793"/>
    <n v="2927.70214144591"/>
    <n v="12422.947354092685"/>
    <n v="11059.97693512484"/>
    <n v="9208.7769324552391"/>
    <n v="9709.2679476870435"/>
    <n v="8858.7557414901967"/>
    <n v="33542.213427869618"/>
    <n v="0"/>
    <n v="0"/>
    <n v="42400.969169359814"/>
  </r>
  <r>
    <s v="AME25-072"/>
    <s v="R18"/>
    <s v="REC"/>
    <d v="2026-09-01T00:00:00"/>
    <d v="2027-08-01T00:00:00"/>
    <x v="3"/>
    <x v="0"/>
    <x v="52"/>
    <n v="3.8464836601307191E-3"/>
    <n v="1.4564074192795651E-2"/>
    <n v="0"/>
    <n v="0"/>
    <n v="1.8410557852926369E-2"/>
    <m/>
    <n v="0"/>
    <n v="0"/>
    <n v="0"/>
    <n v="0"/>
    <n v="0"/>
    <n v="0"/>
    <n v="0"/>
    <n v="0"/>
    <n v="111174"/>
    <n v="189383"/>
    <n v="178969"/>
    <n v="159023"/>
    <n v="638549"/>
    <n v="0"/>
    <n v="0"/>
    <n v="0"/>
    <n v="0"/>
    <n v="0"/>
    <n v="0"/>
    <n v="0"/>
    <n v="0"/>
    <n v="2046.7753587412362"/>
    <n v="3486.6466778607546"/>
    <n v="3294.9191283803793"/>
    <n v="2927.70214144591"/>
    <n v="0"/>
    <n v="0"/>
    <n v="2046.7753587412362"/>
    <n v="9709.2679476870435"/>
    <b v="1"/>
    <n v="2456.1682946928104"/>
    <n v="9299.8750117354703"/>
    <n v="0"/>
    <n v="0"/>
    <n v="11756.043306428281"/>
    <n v="205988"/>
    <n v="236471"/>
    <n v="232314"/>
    <n v="201153"/>
    <n v="212833"/>
    <n v="186755"/>
    <n v="187764"/>
    <n v="153606"/>
    <n v="158820"/>
    <n v="189383"/>
    <n v="178969"/>
    <n v="159023"/>
    <n v="2303079"/>
    <n v="3792.3539910085969"/>
    <n v="4353.5630260393518"/>
    <n v="4277.0303370447364"/>
    <n v="3703.3389437896981"/>
    <n v="3918.3742595118779"/>
    <n v="3438.2637318232642"/>
    <n v="3456.8399846968668"/>
    <n v="2827.9721495566077"/>
    <n v="2923.9647982017659"/>
    <n v="3486.6466778607546"/>
    <n v="3294.9191283803793"/>
    <n v="2927.70214144591"/>
    <n v="12422.947354092685"/>
    <n v="11059.97693512484"/>
    <n v="9208.7769324552391"/>
    <n v="9709.2679476870435"/>
    <n v="8858.7557414901967"/>
    <n v="33542.213427869618"/>
    <n v="0"/>
    <n v="0"/>
    <n v="42400.969169359814"/>
  </r>
  <r>
    <s v="AME25-072"/>
    <s v="R60"/>
    <s v="REC"/>
    <d v="2026-09-01T00:00:00"/>
    <d v="2027-08-01T00:00:00"/>
    <x v="3"/>
    <x v="0"/>
    <x v="52"/>
    <n v="3.8464836601307191E-3"/>
    <n v="1.4564074192795651E-2"/>
    <n v="0"/>
    <n v="0"/>
    <n v="1.8410557852926369E-2"/>
    <m/>
    <n v="0"/>
    <n v="0"/>
    <n v="0"/>
    <n v="0"/>
    <n v="0"/>
    <n v="0"/>
    <n v="0"/>
    <n v="0"/>
    <n v="33738.6"/>
    <n v="45287"/>
    <n v="42797"/>
    <n v="38027"/>
    <n v="159849.60000000001"/>
    <n v="0"/>
    <n v="0"/>
    <n v="0"/>
    <n v="0"/>
    <n v="0"/>
    <n v="0"/>
    <n v="0"/>
    <n v="0"/>
    <n v="621.14644717674162"/>
    <n v="833.75893348547652"/>
    <n v="787.91664443168986"/>
    <n v="700.09828347323105"/>
    <n v="0"/>
    <n v="0"/>
    <n v="621.14644717674162"/>
    <n v="2321.7738613903975"/>
    <b v="1"/>
    <n v="614.8588744784314"/>
    <n v="2328.0614340887078"/>
    <n v="0"/>
    <n v="0"/>
    <n v="2942.9203085671393"/>
    <n v="52968"/>
    <n v="0"/>
    <n v="51321"/>
    <n v="48524"/>
    <n v="55478"/>
    <n v="50133"/>
    <n v="59079"/>
    <n v="46616"/>
    <n v="48198"/>
    <n v="45287"/>
    <n v="42797"/>
    <n v="38027"/>
    <n v="538428"/>
    <n v="975.17042835380391"/>
    <n v="0"/>
    <n v="944.84823957003425"/>
    <n v="893.35390925539912"/>
    <n v="1021.3809285646491"/>
    <n v="922.9764968407577"/>
    <n v="1087.6773473930371"/>
    <n v="858.22656487201562"/>
    <n v="887.3520673953451"/>
    <n v="833.75893348547652"/>
    <n v="787.91664443168986"/>
    <n v="700.09828347323105"/>
    <n v="1920.0186679238382"/>
    <n v="2837.7113346608057"/>
    <n v="2833.2559796603978"/>
    <n v="2321.7738613903975"/>
    <n v="2071.054504156863"/>
    <n v="7841.7053394785762"/>
    <n v="0"/>
    <n v="0"/>
    <n v="9912.7598436354383"/>
  </r>
  <r>
    <s v="AME25-072"/>
    <s v="R61"/>
    <s v="REC"/>
    <d v="2026-09-01T00:00:00"/>
    <d v="2027-08-01T00:00:00"/>
    <x v="3"/>
    <x v="0"/>
    <x v="52"/>
    <n v="3.8464836601307191E-3"/>
    <n v="1.4564074192795651E-2"/>
    <n v="0"/>
    <n v="0"/>
    <n v="1.8410557852926369E-2"/>
    <m/>
    <n v="0"/>
    <n v="0"/>
    <n v="0"/>
    <n v="0"/>
    <n v="0"/>
    <n v="0"/>
    <n v="0"/>
    <n v="0"/>
    <n v="33738.6"/>
    <n v="45287"/>
    <n v="42797"/>
    <n v="38027"/>
    <n v="159849.60000000001"/>
    <n v="0"/>
    <n v="0"/>
    <n v="0"/>
    <n v="0"/>
    <n v="0"/>
    <n v="0"/>
    <n v="0"/>
    <n v="0"/>
    <n v="621.14644717674162"/>
    <n v="833.75893348547652"/>
    <n v="787.91664443168986"/>
    <n v="700.09828347323105"/>
    <n v="0"/>
    <n v="0"/>
    <n v="621.14644717674162"/>
    <n v="2321.7738613903975"/>
    <b v="1"/>
    <n v="614.8588744784314"/>
    <n v="2328.0614340887078"/>
    <n v="0"/>
    <n v="0"/>
    <n v="2942.9203085671393"/>
    <n v="52968"/>
    <n v="0"/>
    <n v="51321"/>
    <n v="48524"/>
    <n v="55478"/>
    <n v="50133"/>
    <n v="59079"/>
    <n v="46616"/>
    <n v="48198"/>
    <n v="45287"/>
    <n v="42797"/>
    <n v="38027"/>
    <n v="538428"/>
    <n v="975.17042835380391"/>
    <n v="0"/>
    <n v="944.84823957003425"/>
    <n v="893.35390925539912"/>
    <n v="1021.3809285646491"/>
    <n v="922.9764968407577"/>
    <n v="1087.6773473930371"/>
    <n v="858.22656487201562"/>
    <n v="887.3520673953451"/>
    <n v="833.75893348547652"/>
    <n v="787.91664443168986"/>
    <n v="700.09828347323105"/>
    <n v="1920.0186679238382"/>
    <n v="2837.7113346608057"/>
    <n v="2833.2559796603978"/>
    <n v="2321.7738613903975"/>
    <n v="2071.054504156863"/>
    <n v="7841.7053394785762"/>
    <n v="0"/>
    <n v="0"/>
    <n v="9912.7598436354383"/>
  </r>
  <r>
    <s v="AME25-072"/>
    <s v="R65"/>
    <s v="REC"/>
    <d v="2026-09-01T00:00:00"/>
    <d v="2027-08-01T00:00:00"/>
    <x v="3"/>
    <x v="0"/>
    <x v="52"/>
    <n v="3.8464836601307191E-3"/>
    <n v="1.4564074192795651E-2"/>
    <n v="0"/>
    <n v="0"/>
    <n v="1.8410557852926369E-2"/>
    <m/>
    <n v="0"/>
    <n v="0"/>
    <n v="0"/>
    <n v="0"/>
    <n v="0"/>
    <n v="0"/>
    <n v="0"/>
    <n v="0"/>
    <n v="235148.9"/>
    <n v="260745"/>
    <n v="233438"/>
    <n v="218944"/>
    <n v="948275.9"/>
    <n v="0"/>
    <n v="0"/>
    <n v="0"/>
    <n v="0"/>
    <n v="0"/>
    <n v="0"/>
    <n v="0"/>
    <n v="0"/>
    <n v="4329.2224275019971"/>
    <n v="4800.4609073612864"/>
    <n v="4297.7238040714255"/>
    <n v="4030.8811785511111"/>
    <n v="0"/>
    <n v="0"/>
    <n v="4329.2224275019971"/>
    <n v="13129.065889983824"/>
    <b v="1"/>
    <n v="3647.5277546457519"/>
    <n v="13810.760562840069"/>
    <n v="0"/>
    <n v="0"/>
    <n v="17458.288317485822"/>
    <n v="367835"/>
    <n v="342877"/>
    <n v="395173"/>
    <n v="280850"/>
    <n v="319417"/>
    <n v="334223"/>
    <n v="327621"/>
    <n v="254269"/>
    <n v="335927"/>
    <n v="260745"/>
    <n v="233438"/>
    <n v="218944"/>
    <n v="3671319"/>
    <n v="6772.047547831171"/>
    <n v="6312.5568449378352"/>
    <n v="7275.3553784144724"/>
    <n v="5170.6051729943711"/>
    <n v="5880.6451577081825"/>
    <n v="6153.2318772786102"/>
    <n v="6031.6853743335905"/>
    <n v="4681.2341347057354"/>
    <n v="6184.6034678599963"/>
    <n v="4800.4609073612864"/>
    <n v="4297.7238040714255"/>
    <n v="4030.8811785511111"/>
    <n v="20359.959771183479"/>
    <n v="17204.482207981164"/>
    <n v="16897.522976899323"/>
    <n v="13129.065889983824"/>
    <n v="14121.668544627451"/>
    <n v="53469.362301420333"/>
    <n v="0"/>
    <n v="0"/>
    <n v="67591.030846047783"/>
  </r>
  <r>
    <s v="AME25-072"/>
    <s v="R66"/>
    <s v="REC"/>
    <d v="2026-09-01T00:00:00"/>
    <d v="2027-08-01T00:00:00"/>
    <x v="3"/>
    <x v="0"/>
    <x v="52"/>
    <n v="3.8464836601307191E-3"/>
    <n v="1.4564074192795651E-2"/>
    <n v="0"/>
    <n v="0"/>
    <n v="1.8410557852926369E-2"/>
    <m/>
    <n v="0"/>
    <n v="0"/>
    <n v="0"/>
    <n v="0"/>
    <n v="0"/>
    <n v="0"/>
    <n v="0"/>
    <n v="0"/>
    <n v="235148.9"/>
    <n v="260745"/>
    <n v="233438"/>
    <n v="218944"/>
    <n v="948275.9"/>
    <n v="0"/>
    <n v="0"/>
    <n v="0"/>
    <n v="0"/>
    <n v="0"/>
    <n v="0"/>
    <n v="0"/>
    <n v="0"/>
    <n v="4329.2224275019971"/>
    <n v="4800.4609073612864"/>
    <n v="4297.7238040714255"/>
    <n v="4030.8811785511111"/>
    <n v="0"/>
    <n v="0"/>
    <n v="4329.2224275019971"/>
    <n v="13129.065889983824"/>
    <b v="1"/>
    <n v="3647.5277546457519"/>
    <n v="13810.760562840069"/>
    <n v="0"/>
    <n v="0"/>
    <n v="17458.288317485822"/>
    <n v="367835"/>
    <n v="342877"/>
    <n v="395173"/>
    <n v="280850"/>
    <n v="319417"/>
    <n v="334223"/>
    <n v="327621"/>
    <n v="254269"/>
    <n v="335927"/>
    <n v="260745"/>
    <n v="233438"/>
    <n v="218944"/>
    <n v="3671319"/>
    <n v="6772.047547831171"/>
    <n v="6312.5568449378352"/>
    <n v="7275.3553784144724"/>
    <n v="5170.6051729943711"/>
    <n v="5880.6451577081825"/>
    <n v="6153.2318772786102"/>
    <n v="6031.6853743335905"/>
    <n v="4681.2341347057354"/>
    <n v="6184.6034678599963"/>
    <n v="4800.4609073612864"/>
    <n v="4297.7238040714255"/>
    <n v="4030.8811785511111"/>
    <n v="20359.959771183479"/>
    <n v="17204.482207981164"/>
    <n v="16897.522976899323"/>
    <n v="13129.065889983824"/>
    <n v="14121.668544627451"/>
    <n v="53469.362301420333"/>
    <n v="0"/>
    <n v="0"/>
    <n v="67591.030846047783"/>
  </r>
  <r>
    <s v="AME25-072"/>
    <s v="R72"/>
    <s v="REC"/>
    <d v="2026-09-01T00:00:00"/>
    <d v="2027-08-01T00:00:00"/>
    <x v="3"/>
    <x v="0"/>
    <x v="52"/>
    <n v="3.8464836601307191E-3"/>
    <n v="1.4564074192795651E-2"/>
    <n v="0"/>
    <n v="0"/>
    <n v="1.8410557852926369E-2"/>
    <m/>
    <n v="0"/>
    <n v="0"/>
    <n v="0"/>
    <n v="0"/>
    <n v="0"/>
    <n v="0"/>
    <n v="0"/>
    <n v="0"/>
    <n v="394640.39999999997"/>
    <n v="430915"/>
    <n v="412407"/>
    <n v="333152"/>
    <n v="1571114.4"/>
    <n v="0"/>
    <n v="0"/>
    <n v="0"/>
    <n v="0"/>
    <n v="0"/>
    <n v="0"/>
    <n v="0"/>
    <n v="0"/>
    <n v="7265.5499153020028"/>
    <n v="7933.3855371937661"/>
    <n v="7592.6429324518049"/>
    <n v="6133.514169818126"/>
    <n v="0"/>
    <n v="0"/>
    <n v="7265.5499153020028"/>
    <n v="21659.542639463696"/>
    <b v="1"/>
    <n v="6043.2658677960781"/>
    <n v="22881.826686969624"/>
    <n v="0"/>
    <n v="0"/>
    <n v="28925.092554765703"/>
    <n v="426689"/>
    <n v="595954"/>
    <n v="602169"/>
    <n v="448478"/>
    <n v="524517"/>
    <n v="551468"/>
    <n v="524552"/>
    <n v="433669"/>
    <n v="563772"/>
    <n v="430915"/>
    <n v="412407"/>
    <n v="333152"/>
    <n v="5847742"/>
    <n v="7855.5825197073"/>
    <n v="10971.845594682882"/>
    <n v="11086.267211738819"/>
    <n v="8256.7301647647128"/>
    <n v="9656.6505733433805"/>
    <n v="10152.8335180376"/>
    <n v="9657.2949428682332"/>
    <n v="7984.0882135207257"/>
    <n v="10379.357021860005"/>
    <n v="7933.3855371937661"/>
    <n v="7592.6429324518049"/>
    <n v="6133.514169818126"/>
    <n v="29913.695326129004"/>
    <n v="28066.214256145693"/>
    <n v="28020.740178248961"/>
    <n v="21659.542639463696"/>
    <n v="22493.244051660131"/>
    <n v="85166.94834832722"/>
    <n v="0"/>
    <n v="0"/>
    <n v="107660.19239998735"/>
  </r>
  <r>
    <s v="AME25-084"/>
    <s v="R1"/>
    <s v="REC"/>
    <d v="2026-09-01T00:00:00"/>
    <d v="2027-08-01T00:00:00"/>
    <x v="3"/>
    <x v="0"/>
    <x v="62"/>
    <n v="3.8464836601307191E-3"/>
    <n v="1.4564074192795651E-2"/>
    <n v="0"/>
    <n v="0"/>
    <n v="1.8410557852926369E-2"/>
    <m/>
    <n v="0"/>
    <n v="0"/>
    <n v="0"/>
    <n v="0"/>
    <n v="0"/>
    <n v="0"/>
    <n v="0"/>
    <n v="0"/>
    <n v="19602.8"/>
    <n v="31701"/>
    <n v="38087"/>
    <n v="10854"/>
    <n v="100244.8"/>
    <n v="0"/>
    <n v="0"/>
    <n v="0"/>
    <n v="0"/>
    <n v="0"/>
    <n v="0"/>
    <n v="0"/>
    <n v="0"/>
    <n v="360.89848347934503"/>
    <n v="583.63309449561882"/>
    <n v="701.20291694440664"/>
    <n v="199.82819493566282"/>
    <n v="0"/>
    <n v="0"/>
    <n v="360.89848347934503"/>
    <n v="1484.6642063756883"/>
    <b v="1"/>
    <n v="385.58998521307194"/>
    <n v="1459.9727046419614"/>
    <n v="0"/>
    <n v="0"/>
    <n v="1845.5626898550333"/>
    <n v="47746"/>
    <n v="48982"/>
    <n v="20528"/>
    <n v="30879"/>
    <n v="18493"/>
    <n v="50133"/>
    <n v="34588"/>
    <n v="26698"/>
    <n v="28004"/>
    <n v="31701"/>
    <n v="38087"/>
    <n v="10854"/>
    <n v="386693"/>
    <n v="879.03049524582241"/>
    <n v="901.78594475203943"/>
    <n v="377.93193160487249"/>
    <n v="568.49961594051331"/>
    <n v="340.46644637416733"/>
    <n v="922.9764968407577"/>
    <n v="636.78437501701728"/>
    <n v="491.52507355742819"/>
    <n v="515.56926211335008"/>
    <n v="583.63309449561882"/>
    <n v="701.20291694440664"/>
    <n v="199.82819493566282"/>
    <n v="2158.7483716027346"/>
    <n v="1831.9425591554382"/>
    <n v="1643.8787106877955"/>
    <n v="1484.6642063756883"/>
    <n v="1487.4083059869281"/>
    <n v="5631.8255418347289"/>
    <n v="0"/>
    <n v="0"/>
    <n v="7119.233847821657"/>
  </r>
  <r>
    <s v="AME25-084"/>
    <s v="R10"/>
    <s v="REC"/>
    <d v="2026-09-01T00:00:00"/>
    <d v="2027-08-01T00:00:00"/>
    <x v="3"/>
    <x v="0"/>
    <x v="62"/>
    <n v="0"/>
    <n v="5.0000000000000001E-3"/>
    <n v="0"/>
    <n v="0"/>
    <n v="5.0000000000000001E-3"/>
    <m/>
    <n v="0"/>
    <n v="0"/>
    <n v="0"/>
    <n v="0"/>
    <n v="0"/>
    <n v="0"/>
    <n v="0"/>
    <n v="0"/>
    <n v="234397.09999999998"/>
    <n v="386300"/>
    <n v="314404"/>
    <n v="261000"/>
    <n v="1196101.1000000001"/>
    <n v="0"/>
    <n v="0"/>
    <n v="0"/>
    <n v="0"/>
    <n v="0"/>
    <n v="0"/>
    <n v="0"/>
    <n v="0"/>
    <n v="1171.9855"/>
    <n v="1931.5"/>
    <n v="1572.02"/>
    <n v="1305"/>
    <n v="0"/>
    <n v="0"/>
    <n v="1171.9855"/>
    <n v="4808.5200000000004"/>
    <b v="1"/>
    <n v="0"/>
    <n v="5980.5055000000002"/>
    <n v="0"/>
    <n v="0"/>
    <n v="5980.5055000000002"/>
    <n v="275638"/>
    <n v="388856"/>
    <n v="384875"/>
    <n v="345666"/>
    <n v="405189"/>
    <n v="382989"/>
    <n v="413576"/>
    <n v="320506"/>
    <n v="334853"/>
    <n v="386300"/>
    <n v="314404"/>
    <n v="261000"/>
    <n v="4213852"/>
    <n v="1378.19"/>
    <n v="1944.28"/>
    <n v="1924.375"/>
    <n v="1728.33"/>
    <n v="2025.9449999999999"/>
    <n v="1914.9449999999999"/>
    <n v="2067.88"/>
    <n v="1602.53"/>
    <n v="1674.2650000000001"/>
    <n v="1931.5"/>
    <n v="1572.02"/>
    <n v="1305"/>
    <n v="5246.8450000000003"/>
    <n v="5669.2199999999993"/>
    <n v="5344.6750000000002"/>
    <n v="4808.5200000000004"/>
    <n v="0"/>
    <n v="21069.260000000002"/>
    <n v="0"/>
    <n v="0"/>
    <n v="21069.260000000002"/>
  </r>
  <r>
    <s v="AME25-084"/>
    <s v="R15"/>
    <s v="REC"/>
    <d v="2026-09-01T00:00:00"/>
    <d v="2027-08-01T00:00:00"/>
    <x v="3"/>
    <x v="0"/>
    <x v="62"/>
    <n v="0"/>
    <n v="5.0000000000000001E-3"/>
    <n v="0"/>
    <n v="0"/>
    <n v="5.0000000000000001E-3"/>
    <m/>
    <n v="0"/>
    <n v="0"/>
    <n v="0"/>
    <n v="0"/>
    <n v="0"/>
    <n v="0"/>
    <n v="0"/>
    <n v="0"/>
    <n v="94500"/>
    <n v="126000"/>
    <n v="117000"/>
    <n v="123015"/>
    <n v="460515"/>
    <n v="0"/>
    <n v="0"/>
    <n v="0"/>
    <n v="0"/>
    <n v="0"/>
    <n v="0"/>
    <n v="0"/>
    <n v="0"/>
    <n v="472.5"/>
    <n v="630"/>
    <n v="585"/>
    <n v="615.07500000000005"/>
    <n v="0"/>
    <n v="0"/>
    <n v="472.5"/>
    <n v="1830.075"/>
    <b v="1"/>
    <n v="0"/>
    <n v="2302.5750000000003"/>
    <n v="0"/>
    <n v="0"/>
    <n v="2302.5750000000003"/>
    <n v="241500"/>
    <n v="241500"/>
    <n v="241500"/>
    <n v="231000"/>
    <n v="252000"/>
    <n v="252000"/>
    <n v="178500"/>
    <n v="117000"/>
    <n v="135000"/>
    <n v="126000"/>
    <n v="117000"/>
    <n v="123015"/>
    <n v="2256015"/>
    <n v="1207.5"/>
    <n v="1207.5"/>
    <n v="1207.5"/>
    <n v="1155"/>
    <n v="1260"/>
    <n v="1260"/>
    <n v="892.5"/>
    <n v="585"/>
    <n v="675"/>
    <n v="630"/>
    <n v="585"/>
    <n v="615.07500000000005"/>
    <n v="3622.5"/>
    <n v="3675"/>
    <n v="2152.5"/>
    <n v="1830.075"/>
    <n v="0"/>
    <n v="11280.075000000001"/>
    <n v="0"/>
    <n v="0"/>
    <n v="11280.075000000001"/>
  </r>
  <r>
    <s v="AME25-084"/>
    <s v="R16"/>
    <s v="REC"/>
    <d v="2026-09-01T00:00:00"/>
    <d v="2027-08-01T00:00:00"/>
    <x v="3"/>
    <x v="0"/>
    <x v="62"/>
    <n v="0"/>
    <n v="5.0000000000000001E-3"/>
    <n v="0"/>
    <n v="0"/>
    <n v="5.0000000000000001E-3"/>
    <m/>
    <n v="0"/>
    <n v="0"/>
    <n v="0"/>
    <n v="0"/>
    <n v="0"/>
    <n v="0"/>
    <n v="0"/>
    <n v="0"/>
    <n v="101507"/>
    <n v="208321"/>
    <n v="169550"/>
    <n v="141303"/>
    <n v="620681"/>
    <n v="0"/>
    <n v="0"/>
    <n v="0"/>
    <n v="0"/>
    <n v="0"/>
    <n v="0"/>
    <n v="0"/>
    <n v="0"/>
    <n v="507.53500000000003"/>
    <n v="1041.605"/>
    <n v="847.75"/>
    <n v="706.51499999999999"/>
    <n v="0"/>
    <n v="0"/>
    <n v="507.53500000000003"/>
    <n v="2595.87"/>
    <b v="1"/>
    <n v="0"/>
    <n v="3103.4050000000002"/>
    <n v="0"/>
    <n v="0"/>
    <n v="3103.4050000000002"/>
    <n v="185678"/>
    <n v="236471"/>
    <n v="232314"/>
    <n v="201153"/>
    <n v="212833"/>
    <n v="186755"/>
    <n v="172743"/>
    <n v="138246"/>
    <n v="145010"/>
    <n v="208321"/>
    <n v="169550"/>
    <n v="141303"/>
    <n v="2230377"/>
    <n v="928.39"/>
    <n v="1182.355"/>
    <n v="1161.57"/>
    <n v="1005.765"/>
    <n v="1064.165"/>
    <n v="933.77499999999998"/>
    <n v="863.71500000000003"/>
    <n v="691.23"/>
    <n v="725.05000000000007"/>
    <n v="1041.605"/>
    <n v="847.75"/>
    <n v="706.51499999999999"/>
    <n v="3272.3149999999996"/>
    <n v="3003.7049999999999"/>
    <n v="2279.9950000000003"/>
    <n v="2595.87"/>
    <n v="0"/>
    <n v="11151.885"/>
    <n v="0"/>
    <n v="0"/>
    <n v="11151.885"/>
  </r>
  <r>
    <s v="AME25-084"/>
    <s v="R19"/>
    <s v="REC"/>
    <d v="2026-09-01T00:00:00"/>
    <d v="2027-08-01T00:00:00"/>
    <x v="3"/>
    <x v="0"/>
    <x v="62"/>
    <n v="0"/>
    <n v="5.0000000000000001E-3"/>
    <n v="0"/>
    <n v="0"/>
    <n v="5.0000000000000001E-3"/>
    <m/>
    <n v="0"/>
    <n v="0"/>
    <n v="0"/>
    <n v="0"/>
    <n v="0"/>
    <n v="0"/>
    <n v="0"/>
    <n v="0"/>
    <n v="131023.9"/>
    <n v="188697"/>
    <n v="153578"/>
    <n v="168949"/>
    <n v="642247.9"/>
    <n v="0"/>
    <n v="0"/>
    <n v="0"/>
    <n v="0"/>
    <n v="0"/>
    <n v="0"/>
    <n v="0"/>
    <n v="0"/>
    <n v="655.11950000000002"/>
    <n v="943.48500000000001"/>
    <n v="767.89"/>
    <n v="844.745"/>
    <n v="0"/>
    <n v="0"/>
    <n v="655.11950000000002"/>
    <n v="2556.12"/>
    <b v="1"/>
    <n v="0"/>
    <n v="3211.2395000000001"/>
    <n v="0"/>
    <n v="0"/>
    <n v="3211.2395000000001"/>
    <n v="126725"/>
    <n v="174051"/>
    <n v="182840"/>
    <n v="155688"/>
    <n v="179681"/>
    <n v="213234"/>
    <n v="181769"/>
    <n v="140305"/>
    <n v="187177"/>
    <n v="188697"/>
    <n v="153578"/>
    <n v="168949"/>
    <n v="2052694"/>
    <n v="633.625"/>
    <n v="870.255"/>
    <n v="914.2"/>
    <n v="778.44"/>
    <n v="898.40499999999997"/>
    <n v="1066.17"/>
    <n v="908.84500000000003"/>
    <n v="701.52499999999998"/>
    <n v="935.88499999999999"/>
    <n v="943.48500000000001"/>
    <n v="767.89"/>
    <n v="844.745"/>
    <n v="2418.08"/>
    <n v="2743.0150000000003"/>
    <n v="2546.2550000000001"/>
    <n v="2556.12"/>
    <n v="0"/>
    <n v="10263.469999999999"/>
    <n v="0"/>
    <n v="0"/>
    <n v="10263.469999999999"/>
  </r>
  <r>
    <s v="AME25-084"/>
    <s v="R22"/>
    <s v="REC"/>
    <d v="2026-09-01T00:00:00"/>
    <d v="2027-08-01T00:00:00"/>
    <x v="3"/>
    <x v="0"/>
    <x v="62"/>
    <n v="0"/>
    <n v="5.0000000000000001E-3"/>
    <n v="0"/>
    <n v="0"/>
    <n v="5.0000000000000001E-3"/>
    <m/>
    <n v="0"/>
    <n v="0"/>
    <n v="0"/>
    <n v="0"/>
    <n v="0"/>
    <n v="0"/>
    <n v="0"/>
    <n v="0"/>
    <n v="111691.29999999999"/>
    <n v="150957"/>
    <n v="122862"/>
    <n v="102393"/>
    <n v="487903.3"/>
    <n v="0"/>
    <n v="0"/>
    <n v="0"/>
    <n v="0"/>
    <n v="0"/>
    <n v="0"/>
    <n v="0"/>
    <n v="0"/>
    <n v="558.45650000000001"/>
    <n v="754.78499999999997"/>
    <n v="614.31000000000006"/>
    <n v="511.96500000000003"/>
    <n v="0"/>
    <n v="0"/>
    <n v="558.45650000000001"/>
    <n v="1881.06"/>
    <b v="1"/>
    <n v="0"/>
    <n v="2439.5165000000002"/>
    <n v="0"/>
    <n v="0"/>
    <n v="2439.5165000000002"/>
    <n v="144935"/>
    <n v="190803"/>
    <n v="203899"/>
    <n v="163952"/>
    <n v="198728"/>
    <n v="181772"/>
    <n v="197070"/>
    <n v="152116"/>
    <n v="159559"/>
    <n v="150957"/>
    <n v="122862"/>
    <n v="102393"/>
    <n v="1969046"/>
    <n v="724.67500000000007"/>
    <n v="954.01499999999999"/>
    <n v="1019.495"/>
    <n v="819.76"/>
    <n v="993.64"/>
    <n v="908.86"/>
    <n v="985.35"/>
    <n v="760.58"/>
    <n v="797.79500000000007"/>
    <n v="754.78499999999997"/>
    <n v="614.31000000000006"/>
    <n v="511.96500000000003"/>
    <n v="2698.1849999999999"/>
    <n v="2722.26"/>
    <n v="2543.7250000000004"/>
    <n v="1881.06"/>
    <n v="0"/>
    <n v="9845.23"/>
    <n v="0"/>
    <n v="0"/>
    <n v="9845.23"/>
  </r>
  <r>
    <s v="AME25-084"/>
    <s v="R59"/>
    <s v="REC"/>
    <d v="2026-09-01T00:00:00"/>
    <d v="2027-08-01T00:00:00"/>
    <x v="3"/>
    <x v="0"/>
    <x v="62"/>
    <n v="0"/>
    <n v="5.0000000000000001E-3"/>
    <n v="0"/>
    <n v="0"/>
    <n v="5.0000000000000001E-3"/>
    <m/>
    <n v="0"/>
    <n v="0"/>
    <n v="0"/>
    <n v="0"/>
    <n v="0"/>
    <n v="0"/>
    <n v="0"/>
    <n v="0"/>
    <n v="30804.899999999998"/>
    <n v="49816"/>
    <n v="40545"/>
    <n v="33790"/>
    <n v="154955.9"/>
    <n v="0"/>
    <n v="0"/>
    <n v="0"/>
    <n v="0"/>
    <n v="0"/>
    <n v="0"/>
    <n v="0"/>
    <n v="0"/>
    <n v="154.02449999999999"/>
    <n v="249.08"/>
    <n v="202.72499999999999"/>
    <n v="168.95000000000002"/>
    <n v="0"/>
    <n v="0"/>
    <n v="154.02449999999999"/>
    <n v="620.755"/>
    <b v="1"/>
    <n v="0"/>
    <n v="774.77949999999998"/>
    <n v="0"/>
    <n v="0"/>
    <n v="774.77949999999998"/>
    <n v="47746"/>
    <n v="0"/>
    <n v="51321"/>
    <n v="48524"/>
    <n v="55478"/>
    <n v="50133"/>
    <n v="54353"/>
    <n v="41954"/>
    <n v="44007"/>
    <n v="49816"/>
    <n v="40545"/>
    <n v="33790"/>
    <n v="517667"/>
    <n v="238.73000000000002"/>
    <n v="0"/>
    <n v="256.60500000000002"/>
    <n v="242.62"/>
    <n v="277.39"/>
    <n v="250.66499999999999"/>
    <n v="271.76499999999999"/>
    <n v="209.77"/>
    <n v="220.035"/>
    <n v="249.08"/>
    <n v="202.72499999999999"/>
    <n v="168.95000000000002"/>
    <n v="495.33500000000004"/>
    <n v="770.67499999999995"/>
    <n v="701.56999999999994"/>
    <n v="620.755"/>
    <n v="0"/>
    <n v="2588.335"/>
    <n v="0"/>
    <n v="0"/>
    <n v="2588.335"/>
  </r>
  <r>
    <s v="AME25-084"/>
    <s v="R62"/>
    <s v="REC"/>
    <d v="2026-09-01T00:00:00"/>
    <d v="2027-08-01T00:00:00"/>
    <x v="3"/>
    <x v="0"/>
    <x v="62"/>
    <n v="0"/>
    <n v="5.0000000000000001E-3"/>
    <n v="0"/>
    <n v="0"/>
    <n v="5.0000000000000001E-3"/>
    <m/>
    <n v="0"/>
    <n v="0"/>
    <n v="0"/>
    <n v="0"/>
    <n v="0"/>
    <n v="0"/>
    <n v="0"/>
    <n v="0"/>
    <n v="0"/>
    <n v="0"/>
    <n v="0"/>
    <n v="0"/>
    <n v="0"/>
    <n v="0"/>
    <n v="0"/>
    <n v="0"/>
    <n v="0"/>
    <n v="0"/>
    <n v="0"/>
    <n v="0"/>
    <n v="0"/>
    <n v="0"/>
    <n v="0"/>
    <n v="0"/>
    <n v="0"/>
    <n v="0"/>
    <n v="0"/>
    <n v="0"/>
    <n v="0"/>
    <b v="1"/>
    <n v="0"/>
    <n v="0"/>
    <n v="0"/>
    <n v="0"/>
    <n v="0"/>
    <n v="0"/>
    <n v="0"/>
    <n v="0"/>
    <n v="0"/>
    <n v="0"/>
    <n v="0"/>
    <n v="0"/>
    <n v="0"/>
    <n v="0"/>
    <n v="0"/>
    <n v="0"/>
    <n v="0"/>
    <n v="0"/>
    <n v="0"/>
    <n v="0"/>
    <n v="0"/>
    <n v="0"/>
    <n v="0"/>
    <n v="0"/>
    <n v="0"/>
    <n v="0"/>
    <n v="0"/>
    <n v="0"/>
    <n v="0"/>
    <n v="0"/>
    <n v="0"/>
    <n v="0"/>
    <n v="0"/>
    <n v="0"/>
    <n v="0"/>
    <n v="0"/>
    <n v="0"/>
    <n v="0"/>
    <n v="0"/>
  </r>
  <r>
    <s v="AME25-084"/>
    <s v="R63"/>
    <s v="REC"/>
    <d v="2026-09-01T00:00:00"/>
    <d v="2027-08-01T00:00:00"/>
    <x v="3"/>
    <x v="0"/>
    <x v="62"/>
    <n v="0"/>
    <n v="5.0000000000000001E-3"/>
    <n v="0"/>
    <n v="0"/>
    <n v="5.0000000000000001E-3"/>
    <m/>
    <n v="0"/>
    <n v="0"/>
    <n v="0"/>
    <n v="0"/>
    <n v="0"/>
    <n v="0"/>
    <n v="0"/>
    <n v="0"/>
    <n v="0"/>
    <n v="0"/>
    <n v="0"/>
    <n v="0"/>
    <n v="0"/>
    <n v="0"/>
    <n v="0"/>
    <n v="0"/>
    <n v="0"/>
    <n v="0"/>
    <n v="0"/>
    <n v="0"/>
    <n v="0"/>
    <n v="0"/>
    <n v="0"/>
    <n v="0"/>
    <n v="0"/>
    <n v="0"/>
    <n v="0"/>
    <n v="0"/>
    <n v="0"/>
    <b v="1"/>
    <n v="0"/>
    <n v="0"/>
    <n v="0"/>
    <n v="0"/>
    <n v="0"/>
    <n v="0"/>
    <n v="0"/>
    <n v="0"/>
    <n v="0"/>
    <n v="0"/>
    <n v="0"/>
    <n v="0"/>
    <n v="0"/>
    <n v="0"/>
    <n v="0"/>
    <n v="0"/>
    <n v="0"/>
    <n v="0"/>
    <n v="0"/>
    <n v="0"/>
    <n v="0"/>
    <n v="0"/>
    <n v="0"/>
    <n v="0"/>
    <n v="0"/>
    <n v="0"/>
    <n v="0"/>
    <n v="0"/>
    <n v="0"/>
    <n v="0"/>
    <n v="0"/>
    <n v="0"/>
    <n v="0"/>
    <n v="0"/>
    <n v="0"/>
    <n v="0"/>
    <n v="0"/>
    <n v="0"/>
    <n v="0"/>
  </r>
  <r>
    <s v="AME25-084"/>
    <s v="R64"/>
    <s v="REC"/>
    <d v="2026-09-01T00:00:00"/>
    <d v="2027-08-01T00:00:00"/>
    <x v="3"/>
    <x v="0"/>
    <x v="62"/>
    <n v="0"/>
    <n v="5.0000000000000001E-3"/>
    <n v="0"/>
    <n v="0"/>
    <n v="5.0000000000000001E-3"/>
    <m/>
    <n v="0"/>
    <n v="0"/>
    <n v="0"/>
    <n v="0"/>
    <n v="0"/>
    <n v="0"/>
    <n v="0"/>
    <n v="0"/>
    <n v="214701.19999999998"/>
    <n v="286819"/>
    <n v="221152"/>
    <n v="194547"/>
    <n v="917219.2"/>
    <n v="0"/>
    <n v="0"/>
    <n v="0"/>
    <n v="0"/>
    <n v="0"/>
    <n v="0"/>
    <n v="0"/>
    <n v="0"/>
    <n v="1073.5059999999999"/>
    <n v="1434.095"/>
    <n v="1105.76"/>
    <n v="972.73500000000001"/>
    <n v="0"/>
    <n v="0"/>
    <n v="1073.5059999999999"/>
    <n v="3512.59"/>
    <b v="1"/>
    <n v="0"/>
    <n v="4586.0959999999995"/>
    <n v="0"/>
    <n v="0"/>
    <n v="4586.0959999999995"/>
    <n v="331567"/>
    <n v="342877"/>
    <n v="395173"/>
    <n v="280850"/>
    <n v="319417"/>
    <n v="334223"/>
    <n v="301411"/>
    <n v="228842"/>
    <n v="306716"/>
    <n v="286819"/>
    <n v="221152"/>
    <n v="194547"/>
    <n v="3543594"/>
    <n v="1657.835"/>
    <n v="1714.385"/>
    <n v="1975.865"/>
    <n v="1404.25"/>
    <n v="1597.085"/>
    <n v="1671.115"/>
    <n v="1507.0550000000001"/>
    <n v="1144.21"/>
    <n v="1533.58"/>
    <n v="1434.095"/>
    <n v="1105.76"/>
    <n v="972.73500000000001"/>
    <n v="5348.085"/>
    <n v="4672.45"/>
    <n v="4184.8450000000003"/>
    <n v="3512.59"/>
    <n v="0"/>
    <n v="17717.97"/>
    <n v="0"/>
    <n v="0"/>
    <n v="17717.97"/>
  </r>
  <r>
    <s v="AME25-083"/>
    <s v="R67"/>
    <s v="REC"/>
    <d v="2025-11-01T00:00:00"/>
    <d v="2026-10-01T00:00:00"/>
    <x v="3"/>
    <x v="0"/>
    <x v="63"/>
    <n v="0"/>
    <n v="5.0000000000000001E-3"/>
    <n v="0"/>
    <n v="0"/>
    <n v="5.0000000000000001E-3"/>
    <m/>
    <n v="350135"/>
    <n v="251443"/>
    <n v="342141"/>
    <n v="354371"/>
    <n v="405156"/>
    <n v="366126"/>
    <n v="384308"/>
    <n v="296642"/>
    <n v="311156"/>
    <n v="349965"/>
    <n v="0"/>
    <n v="0"/>
    <n v="3411443"/>
    <n v="1750.675"/>
    <n v="1257.2149999999999"/>
    <n v="1710.7049999999999"/>
    <n v="1771.855"/>
    <n v="2025.78"/>
    <n v="1830.63"/>
    <n v="1921.54"/>
    <n v="1483.21"/>
    <n v="1555.78"/>
    <n v="1749.825"/>
    <n v="0"/>
    <n v="0"/>
    <n v="4718.5949999999993"/>
    <n v="5628.2650000000003"/>
    <n v="4960.53"/>
    <n v="1749.825"/>
    <b v="1"/>
    <n v="0"/>
    <n v="17057.215"/>
    <n v="0"/>
    <n v="0"/>
    <n v="17057.215"/>
    <n v="350135"/>
    <n v="251443"/>
    <n v="342141"/>
    <n v="354371"/>
    <n v="405156"/>
    <n v="366126"/>
    <n v="384308"/>
    <n v="296642"/>
    <n v="311156"/>
    <n v="349965"/>
    <n v="284831"/>
    <n v="237378"/>
    <n v="3933652"/>
    <n v="1750.675"/>
    <n v="1257.2149999999999"/>
    <n v="1710.7049999999999"/>
    <n v="1771.855"/>
    <n v="2025.78"/>
    <n v="1830.63"/>
    <n v="1921.54"/>
    <n v="1483.21"/>
    <n v="1555.78"/>
    <n v="1749.825"/>
    <n v="1424.155"/>
    <n v="1186.8900000000001"/>
    <n v="4718.5949999999993"/>
    <n v="5628.2650000000003"/>
    <n v="4960.53"/>
    <n v="4360.87"/>
    <n v="0"/>
    <n v="19668.260000000002"/>
    <n v="0"/>
    <n v="0"/>
    <n v="19668.260000000002"/>
  </r>
  <r>
    <s v="AME25-084"/>
    <s v="R70"/>
    <s v="REC"/>
    <d v="2026-09-01T00:00:00"/>
    <d v="2027-08-01T00:00:00"/>
    <x v="3"/>
    <x v="0"/>
    <x v="62"/>
    <n v="0"/>
    <n v="5.0000000000000001E-3"/>
    <n v="0"/>
    <n v="0"/>
    <n v="5.0000000000000001E-3"/>
    <m/>
    <n v="0"/>
    <n v="0"/>
    <n v="0"/>
    <n v="0"/>
    <n v="0"/>
    <n v="0"/>
    <n v="0"/>
    <n v="0"/>
    <n v="360324.3"/>
    <n v="474006"/>
    <n v="390702"/>
    <n v="296029"/>
    <n v="1521061.3"/>
    <n v="0"/>
    <n v="0"/>
    <n v="0"/>
    <n v="0"/>
    <n v="0"/>
    <n v="0"/>
    <n v="0"/>
    <n v="0"/>
    <n v="1801.6215"/>
    <n v="2370.0300000000002"/>
    <n v="1953.51"/>
    <n v="1480.145"/>
    <n v="0"/>
    <n v="0"/>
    <n v="1801.6215"/>
    <n v="5803.6849999999995"/>
    <b v="1"/>
    <n v="0"/>
    <n v="7605.3065000000006"/>
    <n v="0"/>
    <n v="0"/>
    <n v="7605.3065000000006"/>
    <n v="384618"/>
    <n v="595954"/>
    <n v="602169"/>
    <n v="448478"/>
    <n v="524517"/>
    <n v="551468"/>
    <n v="482587"/>
    <n v="390302"/>
    <n v="514749"/>
    <n v="474006"/>
    <n v="390702"/>
    <n v="296029"/>
    <n v="5655579"/>
    <n v="1923.0900000000001"/>
    <n v="2979.77"/>
    <n v="3010.8450000000003"/>
    <n v="2242.39"/>
    <n v="2622.585"/>
    <n v="2757.34"/>
    <n v="2412.9349999999999"/>
    <n v="1951.51"/>
    <n v="2573.7449999999999"/>
    <n v="2370.0300000000002"/>
    <n v="1953.51"/>
    <n v="1480.145"/>
    <n v="7913.7050000000008"/>
    <n v="7622.3150000000005"/>
    <n v="6938.19"/>
    <n v="5803.6849999999995"/>
    <n v="0"/>
    <n v="28277.895"/>
    <n v="0"/>
    <n v="0"/>
    <n v="28277.895"/>
  </r>
  <r>
    <s v="AME25-084"/>
    <s v="R73"/>
    <s v="REC"/>
    <d v="2026-09-01T00:00:00"/>
    <d v="2027-08-01T00:00:00"/>
    <x v="3"/>
    <x v="0"/>
    <x v="62"/>
    <n v="0"/>
    <n v="5.0000000000000001E-3"/>
    <n v="0"/>
    <n v="0"/>
    <n v="5.0000000000000001E-3"/>
    <m/>
    <n v="0"/>
    <n v="0"/>
    <n v="0"/>
    <n v="0"/>
    <n v="0"/>
    <n v="0"/>
    <n v="0"/>
    <n v="0"/>
    <n v="11388.3"/>
    <n v="18417"/>
    <n v="19289"/>
    <n v="9041"/>
    <n v="58135.3"/>
    <n v="0"/>
    <n v="0"/>
    <n v="0"/>
    <n v="0"/>
    <n v="0"/>
    <n v="0"/>
    <n v="0"/>
    <n v="0"/>
    <n v="56.941499999999998"/>
    <n v="92.085000000000008"/>
    <n v="96.445000000000007"/>
    <n v="45.204999999999998"/>
    <n v="0"/>
    <n v="0"/>
    <n v="56.941499999999998"/>
    <n v="233.73500000000001"/>
    <b v="1"/>
    <n v="0"/>
    <n v="290.67650000000003"/>
    <n v="0"/>
    <n v="0"/>
    <n v="290.67650000000003"/>
    <n v="25199"/>
    <n v="13062"/>
    <n v="22239"/>
    <n v="17939"/>
    <n v="20510"/>
    <n v="23168"/>
    <n v="20094"/>
    <n v="19388"/>
    <n v="16269"/>
    <n v="18417"/>
    <n v="19289"/>
    <n v="9041"/>
    <n v="224615"/>
    <n v="125.995"/>
    <n v="65.31"/>
    <n v="111.19500000000001"/>
    <n v="89.695000000000007"/>
    <n v="102.55"/>
    <n v="115.84"/>
    <n v="100.47"/>
    <n v="96.94"/>
    <n v="81.344999999999999"/>
    <n v="92.085000000000008"/>
    <n v="96.445000000000007"/>
    <n v="45.204999999999998"/>
    <n v="302.5"/>
    <n v="308.08500000000004"/>
    <n v="278.755"/>
    <n v="233.73500000000001"/>
    <n v="0"/>
    <n v="1123.075"/>
    <n v="0"/>
    <n v="0"/>
    <n v="1123.075"/>
  </r>
  <r>
    <s v="AME25-012"/>
    <s v="R186"/>
    <s v="REC"/>
    <d v="2026-05-01T00:00:00"/>
    <d v="2027-04-01T00:00:00"/>
    <x v="0"/>
    <x v="0"/>
    <x v="64"/>
    <n v="0"/>
    <n v="5.0000000000000001E-3"/>
    <n v="0"/>
    <n v="0"/>
    <n v="5.0000000000000001E-3"/>
    <m/>
    <n v="0"/>
    <n v="0"/>
    <n v="0"/>
    <n v="0"/>
    <n v="0"/>
    <n v="0"/>
    <n v="0"/>
    <n v="0"/>
    <n v="0"/>
    <n v="0"/>
    <n v="0"/>
    <n v="0"/>
    <n v="0"/>
    <n v="0"/>
    <n v="0"/>
    <n v="0"/>
    <n v="0"/>
    <n v="0"/>
    <n v="0"/>
    <n v="0"/>
    <n v="0"/>
    <n v="0"/>
    <n v="0"/>
    <n v="0"/>
    <n v="0"/>
    <n v="0"/>
    <n v="0"/>
    <n v="0"/>
    <n v="0"/>
    <b v="1"/>
    <n v="0"/>
    <n v="0"/>
    <n v="0"/>
    <n v="0"/>
    <n v="0"/>
    <n v="0"/>
    <n v="0"/>
    <n v="0"/>
    <n v="0"/>
    <n v="0"/>
    <n v="0"/>
    <n v="0"/>
    <n v="0"/>
    <n v="0"/>
    <n v="0"/>
    <n v="0"/>
    <n v="0"/>
    <n v="0"/>
    <n v="0"/>
    <n v="0"/>
    <n v="0"/>
    <n v="0"/>
    <n v="0"/>
    <n v="0"/>
    <n v="0"/>
    <n v="0"/>
    <n v="0"/>
    <n v="0"/>
    <n v="0"/>
    <n v="0"/>
    <n v="0"/>
    <n v="0"/>
    <n v="0"/>
    <n v="0"/>
    <n v="0"/>
    <n v="0"/>
    <n v="0"/>
    <n v="0"/>
    <n v="0"/>
  </r>
  <r>
    <s v="AME25-012"/>
    <s v="R146"/>
    <s v="REC"/>
    <d v="2026-05-01T00:00:00"/>
    <d v="2027-04-01T00:00:00"/>
    <x v="0"/>
    <x v="0"/>
    <x v="64"/>
    <n v="2.9679576000000006E-2"/>
    <n v="0"/>
    <n v="7.6734143981500016E-3"/>
    <n v="0"/>
    <n v="3.7352990398150009E-2"/>
    <m/>
    <n v="0"/>
    <n v="0"/>
    <n v="0"/>
    <n v="0"/>
    <n v="24087.599999999999"/>
    <n v="80924"/>
    <n v="52404"/>
    <n v="25924"/>
    <n v="29848"/>
    <n v="29502"/>
    <n v="24168"/>
    <n v="17319"/>
    <n v="284176.59999999998"/>
    <n v="0"/>
    <n v="0"/>
    <n v="0"/>
    <n v="0"/>
    <n v="899.74389151447804"/>
    <n v="3022.7533949798913"/>
    <n v="1957.446108824653"/>
    <n v="968.33892308164081"/>
    <n v="1114.9120574039814"/>
    <n v="1101.9879227262215"/>
    <n v="902.74707194248936"/>
    <n v="646.91644070556003"/>
    <n v="0"/>
    <n v="3922.4972864943693"/>
    <n v="4040.6970893102753"/>
    <n v="2651.6514353742709"/>
    <b v="1"/>
    <n v="8434.2409971216002"/>
    <n v="0"/>
    <n v="2180.6048140573134"/>
    <n v="0"/>
    <n v="10614.845811178913"/>
    <n v="89055"/>
    <n v="74118"/>
    <n v="73991"/>
    <n v="81386"/>
    <n v="80292"/>
    <n v="80924"/>
    <n v="52404"/>
    <n v="25924"/>
    <n v="29848"/>
    <n v="29502"/>
    <n v="24168"/>
    <n v="17319"/>
    <n v="658931"/>
    <n v="3326.470559907249"/>
    <n v="2768.5289423300824"/>
    <n v="2763.7851125495172"/>
    <n v="3040.0104765438364"/>
    <n v="2999.1463050482603"/>
    <n v="3022.7533949798913"/>
    <n v="1957.446108824653"/>
    <n v="968.33892308164081"/>
    <n v="1114.9120574039814"/>
    <n v="1101.9879227262215"/>
    <n v="902.74707194248936"/>
    <n v="646.91644070556003"/>
    <n v="8858.7846147868477"/>
    <n v="9061.9101765719879"/>
    <n v="4040.6970893102753"/>
    <n v="2651.6514353742709"/>
    <n v="19556.792693256004"/>
    <n v="0"/>
    <n v="5056.2506227873791"/>
    <n v="0"/>
    <n v="24613.043316043382"/>
  </r>
  <r>
    <s v="AME25-085"/>
    <s v="R87"/>
    <s v="REC"/>
    <d v="2026-07-01T00:00:00"/>
    <d v="2027-06-01T00:00:00"/>
    <x v="0"/>
    <x v="0"/>
    <x v="65"/>
    <n v="3.0542373600000006E-2"/>
    <n v="0"/>
    <n v="7.6734143981500016E-3"/>
    <n v="0"/>
    <n v="3.8215787998150008E-2"/>
    <m/>
    <n v="0"/>
    <n v="0"/>
    <n v="0"/>
    <n v="0"/>
    <n v="0"/>
    <n v="0"/>
    <n v="3420"/>
    <n v="9000"/>
    <n v="10200"/>
    <n v="10200"/>
    <n v="9000"/>
    <n v="7605"/>
    <n v="49425"/>
    <n v="0"/>
    <n v="0"/>
    <n v="0"/>
    <n v="0"/>
    <n v="0"/>
    <n v="0"/>
    <n v="130.69799495367303"/>
    <n v="343.94209198335005"/>
    <n v="389.80103758113006"/>
    <n v="389.80103758113006"/>
    <n v="343.94209198335005"/>
    <n v="290.63106772593079"/>
    <n v="0"/>
    <n v="0"/>
    <n v="864.44112451815317"/>
    <n v="1024.3741972904108"/>
    <b v="1"/>
    <n v="1509.5568151800003"/>
    <n v="0"/>
    <n v="379.25850662856385"/>
    <n v="0"/>
    <n v="1888.815321808564"/>
    <n v="4500"/>
    <n v="13800"/>
    <n v="11250"/>
    <n v="9450"/>
    <n v="10800"/>
    <n v="10800"/>
    <n v="11400"/>
    <n v="9000"/>
    <n v="10200"/>
    <n v="10200"/>
    <n v="9000"/>
    <n v="7605"/>
    <n v="118005"/>
    <n v="171.97104599167503"/>
    <n v="527.37787437447014"/>
    <n v="429.92761497918758"/>
    <n v="361.13919658251757"/>
    <n v="412.73051038002006"/>
    <n v="412.73051038002006"/>
    <n v="435.65998317891007"/>
    <n v="343.94209198335005"/>
    <n v="389.80103758113006"/>
    <n v="389.80103758113006"/>
    <n v="343.94209198335005"/>
    <n v="290.63106772593079"/>
    <n v="1129.2765353453328"/>
    <n v="1186.6002173425577"/>
    <n v="1169.4031127433902"/>
    <n v="1024.3741972904108"/>
    <n v="3604.1527966680005"/>
    <n v="0"/>
    <n v="905.50126605369098"/>
    <n v="0"/>
    <n v="4509.6540627216918"/>
  </r>
  <r>
    <s v="AME25-049"/>
    <s v="R82"/>
    <s v="REC"/>
    <d v="2026-04-01T00:00:00"/>
    <d v="2027-03-01T00:00:00"/>
    <x v="2"/>
    <x v="2"/>
    <x v="66"/>
    <n v="1.3271666400000003E-2"/>
    <n v="0"/>
    <n v="5.7828249078699951E-3"/>
    <n v="0"/>
    <n v="1.905449130787E-2"/>
    <m/>
    <n v="0"/>
    <n v="0"/>
    <n v="0"/>
    <n v="41400"/>
    <n v="159000"/>
    <n v="156000"/>
    <n v="168000"/>
    <n v="131250"/>
    <n v="131250"/>
    <n v="136500"/>
    <n v="110250"/>
    <n v="87870"/>
    <n v="1121520"/>
    <n v="0"/>
    <n v="0"/>
    <n v="0"/>
    <n v="788.85594014581795"/>
    <n v="3029.6641179513299"/>
    <n v="2972.5006440277202"/>
    <n v="3201.1545397221598"/>
    <n v="2500.9019841579375"/>
    <n v="2500.9019841579375"/>
    <n v="2600.9380635242551"/>
    <n v="2100.7576666926675"/>
    <n v="1674.3181512225369"/>
    <n v="0"/>
    <n v="6791.020702124868"/>
    <n v="8202.9585080380348"/>
    <n v="6376.0138814394595"/>
    <b v="1"/>
    <n v="14884.439300928003"/>
    <n v="0"/>
    <n v="6485.5537906743566"/>
    <n v="0"/>
    <n v="21369.993091602359"/>
    <n v="0"/>
    <n v="150000"/>
    <n v="165000"/>
    <n v="138000"/>
    <n v="159000"/>
    <n v="156000"/>
    <n v="168000"/>
    <n v="131250"/>
    <n v="131250"/>
    <n v="136500"/>
    <n v="110250"/>
    <n v="87870"/>
    <n v="1533120"/>
    <n v="0"/>
    <n v="2858.1736961805"/>
    <n v="3143.9910657985502"/>
    <n v="2629.5198004860599"/>
    <n v="3029.6641179513299"/>
    <n v="2972.5006440277202"/>
    <n v="3201.1545397221598"/>
    <n v="2500.9019841579375"/>
    <n v="2500.9019841579375"/>
    <n v="2600.9380635242551"/>
    <n v="2100.7576666926675"/>
    <n v="1674.3181512225369"/>
    <n v="6002.1647619790501"/>
    <n v="8631.6845624651105"/>
    <n v="8202.9585080380348"/>
    <n v="6376.0138814394595"/>
    <n v="20347.057191168005"/>
    <n v="0"/>
    <n v="8865.7645227536468"/>
    <n v="0"/>
    <n v="29212.82171392165"/>
  </r>
  <r>
    <s v="AME25-086"/>
    <s v="R84"/>
    <s v="REC"/>
    <d v="2026-05-01T00:00:00"/>
    <d v="2027-04-01T00:00:00"/>
    <x v="0"/>
    <x v="0"/>
    <x v="67"/>
    <n v="9.7367359999999958E-3"/>
    <n v="0"/>
    <n v="4.4496386194899998E-3"/>
    <n v="0"/>
    <n v="1.4186374619489996E-2"/>
    <m/>
    <n v="0"/>
    <n v="0"/>
    <n v="0"/>
    <n v="0"/>
    <n v="24625.200000000001"/>
    <n v="75004"/>
    <n v="76595"/>
    <n v="59928"/>
    <n v="69928"/>
    <n v="39573"/>
    <n v="34911"/>
    <n v="0"/>
    <n v="380564.2"/>
    <n v="0"/>
    <n v="0"/>
    <n v="0"/>
    <n v="0"/>
    <n v="349.34231227986504"/>
    <n v="1064.0348419602276"/>
    <n v="1086.6053639798363"/>
    <n v="850.16105819679649"/>
    <n v="992.02480439169642"/>
    <n v="561.39740281707759"/>
    <n v="495.26052434101524"/>
    <n v="0"/>
    <n v="0"/>
    <n v="1413.3771542400928"/>
    <n v="2928.791226568329"/>
    <n v="1056.6579271580929"/>
    <b v="0"/>
    <n v="3705.4531464511983"/>
    <n v="0"/>
    <n v="1693.3731615153163"/>
    <n v="0"/>
    <n v="5398.8263079665148"/>
    <n v="42646"/>
    <n v="76839"/>
    <n v="100679"/>
    <n v="73196"/>
    <n v="82084"/>
    <n v="75004"/>
    <n v="76595"/>
    <n v="59928"/>
    <n v="69928"/>
    <n v="39573"/>
    <n v="34911"/>
    <n v="0"/>
    <n v="731383"/>
    <n v="604.99213202277031"/>
    <n v="1090.0668393869917"/>
    <n v="1428.2700103156333"/>
    <n v="1038.3858766481897"/>
    <n v="1164.4743742662167"/>
    <n v="1064.0348419602276"/>
    <n v="1086.6053639798363"/>
    <n v="850.16105819679649"/>
    <n v="992.02480439169642"/>
    <n v="561.39740281707759"/>
    <n v="495.26052434101524"/>
    <n v="0"/>
    <n v="3123.3289817253954"/>
    <n v="3266.8950928746344"/>
    <n v="2928.791226568329"/>
    <n v="1056.6579271580929"/>
    <n v="7121.2831858879972"/>
    <n v="0"/>
    <n v="3254.3900424384547"/>
    <n v="0"/>
    <n v="10375.673228326452"/>
  </r>
  <r>
    <s v="AME25-086"/>
    <s v="R83"/>
    <s v="REC"/>
    <d v="2026-05-01T00:00:00"/>
    <d v="2027-04-01T00:00:00"/>
    <x v="0"/>
    <x v="0"/>
    <x v="67"/>
    <n v="1.5889315200000004E-2"/>
    <n v="0"/>
    <n v="1.1261750535800001E-2"/>
    <n v="0"/>
    <n v="2.7151065735800006E-2"/>
    <m/>
    <n v="0"/>
    <n v="0"/>
    <n v="0"/>
    <n v="0"/>
    <n v="24625.200000000001"/>
    <n v="75004"/>
    <n v="76595"/>
    <n v="59928"/>
    <n v="69928"/>
    <n v="39573"/>
    <n v="34911"/>
    <n v="0"/>
    <n v="380564.2"/>
    <n v="0"/>
    <n v="0"/>
    <n v="0"/>
    <n v="0"/>
    <n v="668.60042395722235"/>
    <n v="2036.4385344479438"/>
    <n v="2079.6358800336016"/>
    <n v="1627.1090674150228"/>
    <n v="1898.6197247730229"/>
    <n v="1074.4491243628136"/>
    <n v="947.87085590251399"/>
    <n v="0"/>
    <n v="0"/>
    <n v="2705.0389584051663"/>
    <n v="5605.3646722216472"/>
    <n v="2022.3199802653276"/>
    <b v="1"/>
    <n v="6046.904527635842"/>
    <n v="0"/>
    <n v="4285.8190832562987"/>
    <n v="0"/>
    <n v="10332.723610892141"/>
    <n v="42646"/>
    <n v="76839"/>
    <n v="100679"/>
    <n v="73196"/>
    <n v="82084"/>
    <n v="75004"/>
    <n v="76595"/>
    <n v="59928"/>
    <n v="69928"/>
    <n v="39573"/>
    <n v="34911"/>
    <n v="0"/>
    <n v="731383"/>
    <n v="1157.8843493689271"/>
    <n v="2086.2607400731367"/>
    <n v="2733.542147214609"/>
    <n v="1987.3494075976173"/>
    <n v="2228.6680798574075"/>
    <n v="2036.4385344479438"/>
    <n v="2079.6358800336016"/>
    <n v="1627.1090674150228"/>
    <n v="1898.6197247730229"/>
    <n v="1074.4491243628136"/>
    <n v="947.87085590251399"/>
    <n v="0"/>
    <n v="5977.6872366566731"/>
    <n v="6252.4560219029681"/>
    <n v="5605.3646722216472"/>
    <n v="2022.3199802653276"/>
    <n v="11621.175018921604"/>
    <n v="0"/>
    <n v="8236.6528921250119"/>
    <n v="0"/>
    <n v="19857.827911046617"/>
  </r>
  <r>
    <s v="AME25-087"/>
    <s v="R84"/>
    <s v="REC"/>
    <d v="2026-06-01T00:00:00"/>
    <d v="2027-05-01T00:00:00"/>
    <x v="2"/>
    <x v="2"/>
    <x v="68"/>
    <n v="1.5528830400000004E-2"/>
    <n v="0"/>
    <n v="1.1261750535800001E-2"/>
    <n v="0"/>
    <n v="2.6790580935800005E-2"/>
    <m/>
    <n v="0"/>
    <n v="0"/>
    <n v="0"/>
    <n v="0"/>
    <n v="0"/>
    <n v="22501.200000000001"/>
    <n v="76595"/>
    <n v="59928"/>
    <n v="69928"/>
    <n v="39573"/>
    <n v="34911"/>
    <n v="0"/>
    <n v="303436.2"/>
    <n v="0"/>
    <n v="0"/>
    <n v="0"/>
    <n v="0"/>
    <n v="0"/>
    <n v="602.82021975262307"/>
    <n v="2052.0245467776012"/>
    <n v="1605.5059343206226"/>
    <n v="1873.4117436786228"/>
    <n v="1060.1836593724136"/>
    <n v="935.28597104971402"/>
    <n v="0"/>
    <n v="0"/>
    <n v="602.82021975262307"/>
    <n v="5530.9422247768471"/>
    <n v="1995.4696304221275"/>
    <b v="1"/>
    <n v="4712.0092870204817"/>
    <n v="0"/>
    <n v="3417.2227879311163"/>
    <n v="0"/>
    <n v="8129.2320749515984"/>
    <n v="42646"/>
    <n v="76839"/>
    <n v="100679"/>
    <n v="73196"/>
    <n v="82084"/>
    <n v="75004"/>
    <n v="76595"/>
    <n v="59928"/>
    <n v="69928"/>
    <n v="39573"/>
    <n v="34911"/>
    <n v="0"/>
    <n v="731383"/>
    <n v="1142.5111145881269"/>
    <n v="2058.5614485259366"/>
    <n v="2697.2488980354087"/>
    <n v="1960.9633621768171"/>
    <n v="2199.0780455342074"/>
    <n v="2009.4007325087437"/>
    <n v="2052.0245467776012"/>
    <n v="1605.5059343206226"/>
    <n v="1873.4117436786228"/>
    <n v="1060.1836593724136"/>
    <n v="935.28597104971402"/>
    <n v="0"/>
    <n v="5898.3214611494723"/>
    <n v="6169.4421402197677"/>
    <n v="5530.9422247768471"/>
    <n v="1995.4696304221275"/>
    <n v="11357.522564443203"/>
    <n v="0"/>
    <n v="8236.6528921250119"/>
    <n v="0"/>
    <n v="19594.175456568213"/>
  </r>
  <r>
    <s v="AME25-087"/>
    <s v="R83"/>
    <s v="REC"/>
    <d v="2026-06-01T00:00:00"/>
    <d v="2027-05-01T00:00:00"/>
    <x v="2"/>
    <x v="2"/>
    <x v="68"/>
    <n v="1.0313376000000001E-2"/>
    <n v="0"/>
    <n v="1.3762005080700015E-2"/>
    <n v="0"/>
    <n v="2.4075381080700016E-2"/>
    <m/>
    <n v="0"/>
    <n v="0"/>
    <n v="0"/>
    <n v="0"/>
    <n v="0"/>
    <n v="22501.200000000001"/>
    <n v="76595"/>
    <n v="59928"/>
    <n v="69928"/>
    <n v="39573"/>
    <n v="34911"/>
    <n v="0"/>
    <n v="303436.2"/>
    <n v="0"/>
    <n v="0"/>
    <n v="0"/>
    <n v="0"/>
    <n v="0"/>
    <n v="541.72496477304719"/>
    <n v="1844.0538138762176"/>
    <n v="1442.7894374041905"/>
    <n v="1683.5432482111908"/>
    <n v="952.7350555065417"/>
    <n v="840.49562890831828"/>
    <n v="0"/>
    <n v="0"/>
    <n v="541.72496477304719"/>
    <n v="4970.3864994915994"/>
    <n v="1793.23068441486"/>
    <b v="1"/>
    <n v="3129.4516226112005"/>
    <n v="0"/>
    <n v="4175.8905260683059"/>
    <n v="0"/>
    <n v="7305.3421486795069"/>
    <n v="42646"/>
    <n v="76839"/>
    <n v="100679"/>
    <n v="73196"/>
    <n v="82084"/>
    <n v="75004"/>
    <n v="76595"/>
    <n v="59928"/>
    <n v="69928"/>
    <n v="39573"/>
    <n v="34911"/>
    <n v="0"/>
    <n v="731383"/>
    <n v="1026.7187015675329"/>
    <n v="1849.9282068599086"/>
    <n v="2423.8852918237967"/>
    <n v="1762.2215935829183"/>
    <n v="1976.2035806281801"/>
    <n v="1805.7498825768239"/>
    <n v="1844.0538138762176"/>
    <n v="1442.7894374041905"/>
    <n v="1683.5432482111908"/>
    <n v="952.7350555065417"/>
    <n v="840.49562890831828"/>
    <n v="0"/>
    <n v="5300.5322002512385"/>
    <n v="5544.1750567879226"/>
    <n v="4970.3864994915994"/>
    <n v="1793.23068441486"/>
    <n v="7543.027879008001"/>
    <n v="0"/>
    <n v="10065.296561937619"/>
    <n v="0"/>
    <n v="17608.32444094562"/>
  </r>
  <r>
    <s v="AME25-071"/>
    <s v="R83"/>
    <s v="REC"/>
    <d v="2026-07-01T00:00:00"/>
    <d v="2027-06-01T00:00:00"/>
    <x v="3"/>
    <x v="0"/>
    <x v="50"/>
    <n v="1.0313376000000001E-2"/>
    <n v="0"/>
    <n v="1.3762005080700015E-2"/>
    <n v="0"/>
    <n v="2.4075381080700016E-2"/>
    <m/>
    <n v="0"/>
    <n v="0"/>
    <n v="0"/>
    <n v="0"/>
    <n v="0"/>
    <n v="0"/>
    <n v="22978.5"/>
    <n v="59928"/>
    <n v="69928"/>
    <n v="39573"/>
    <n v="34911"/>
    <n v="0"/>
    <n v="227318.5"/>
    <n v="0"/>
    <n v="0"/>
    <n v="0"/>
    <n v="0"/>
    <n v="0"/>
    <n v="0"/>
    <n v="553.21614416286536"/>
    <n v="1442.7894374041905"/>
    <n v="1683.5432482111908"/>
    <n v="952.7350555065417"/>
    <n v="840.49562890831828"/>
    <n v="0"/>
    <n v="0"/>
    <n v="0"/>
    <n v="3679.5488297782467"/>
    <n v="1793.23068441486"/>
    <b v="1"/>
    <n v="2344.4211622560001"/>
    <n v="0"/>
    <n v="3128.3583519371064"/>
    <n v="0"/>
    <n v="5472.7795141931065"/>
    <n v="42646"/>
    <n v="76839"/>
    <n v="100679"/>
    <n v="73196"/>
    <n v="82084"/>
    <n v="75004"/>
    <n v="76595"/>
    <n v="59928"/>
    <n v="69928"/>
    <n v="39573"/>
    <n v="34911"/>
    <n v="0"/>
    <n v="731383"/>
    <n v="1026.7187015675329"/>
    <n v="1849.9282068599086"/>
    <n v="2423.8852918237967"/>
    <n v="1762.2215935829183"/>
    <n v="1976.2035806281801"/>
    <n v="1805.7498825768239"/>
    <n v="1844.0538138762176"/>
    <n v="1442.7894374041905"/>
    <n v="1683.5432482111908"/>
    <n v="952.7350555065417"/>
    <n v="840.49562890831828"/>
    <n v="0"/>
    <n v="5300.5322002512385"/>
    <n v="5544.1750567879226"/>
    <n v="4970.3864994915994"/>
    <n v="1793.23068441486"/>
    <n v="7543.027879008001"/>
    <n v="0"/>
    <n v="10065.296561937619"/>
    <n v="0"/>
    <n v="17608.32444094562"/>
  </r>
  <r>
    <s v="AME25-071"/>
    <s v="R84"/>
    <s v="REC"/>
    <d v="2026-07-01T00:00:00"/>
    <d v="2027-06-01T00:00:00"/>
    <x v="3"/>
    <x v="0"/>
    <x v="50"/>
    <n v="1.6649663994818234E-3"/>
    <n v="1.5525010702578723E-2"/>
    <n v="0"/>
    <n v="0"/>
    <n v="1.7189977102060546E-2"/>
    <m/>
    <n v="0"/>
    <n v="0"/>
    <n v="0"/>
    <n v="0"/>
    <n v="0"/>
    <n v="0"/>
    <n v="22978.5"/>
    <n v="59928"/>
    <n v="69928"/>
    <n v="39573"/>
    <n v="34911"/>
    <n v="0"/>
    <n v="227318.5"/>
    <n v="0"/>
    <n v="0"/>
    <n v="0"/>
    <n v="0"/>
    <n v="0"/>
    <n v="0"/>
    <n v="394.99988883969826"/>
    <n v="1030.1609477722843"/>
    <n v="1202.0607187928899"/>
    <n v="680.25896385984197"/>
    <n v="600.1192906100357"/>
    <n v="0"/>
    <n v="0"/>
    <n v="0"/>
    <n v="2627.2215554048726"/>
    <n v="1280.3782544698777"/>
    <b v="1"/>
    <n v="378.47766448060889"/>
    <n v="3529.1221453941416"/>
    <n v="0"/>
    <n v="0"/>
    <n v="3907.5998098747505"/>
    <n v="42646"/>
    <n v="76839"/>
    <n v="100679"/>
    <n v="73196"/>
    <n v="82084"/>
    <n v="75004"/>
    <n v="76595"/>
    <n v="59928"/>
    <n v="69928"/>
    <n v="39573"/>
    <n v="34911"/>
    <n v="0"/>
    <n v="731383"/>
    <n v="733.08376349447406"/>
    <n v="1320.8606505452303"/>
    <n v="1730.6697046583538"/>
    <n v="1258.2375639624238"/>
    <n v="1411.0220804455378"/>
    <n v="1289.3170425629492"/>
    <n v="1316.6662961323275"/>
    <n v="1030.1609477722843"/>
    <n v="1202.0607187928899"/>
    <n v="680.25896385984197"/>
    <n v="600.1192906100357"/>
    <n v="0"/>
    <n v="3784.6141186980585"/>
    <n v="3958.5766869709109"/>
    <n v="3548.8879626975017"/>
    <n v="1280.3782544698777"/>
    <n v="1217.7281201522144"/>
    <n v="11354.728902684134"/>
    <n v="0"/>
    <n v="0"/>
    <n v="12572.457022836348"/>
  </r>
  <r>
    <s v="AME25-071"/>
    <s v="R85"/>
    <s v="REC"/>
    <d v="2026-07-01T00:00:00"/>
    <d v="2027-06-01T00:00:00"/>
    <x v="3"/>
    <x v="0"/>
    <x v="50"/>
    <n v="1.6649663994818234E-3"/>
    <n v="1.5525010702578723E-2"/>
    <n v="0"/>
    <n v="0"/>
    <n v="1.7189977102060546E-2"/>
    <m/>
    <n v="0"/>
    <n v="0"/>
    <n v="0"/>
    <n v="0"/>
    <n v="0"/>
    <n v="0"/>
    <n v="17395.5"/>
    <n v="45367"/>
    <n v="52938"/>
    <n v="38405"/>
    <n v="33881"/>
    <n v="37969"/>
    <n v="225955.5"/>
    <n v="0"/>
    <n v="0"/>
    <n v="0"/>
    <n v="0"/>
    <n v="0"/>
    <n v="0"/>
    <n v="299.02824667889422"/>
    <n v="779.85769118918074"/>
    <n v="910.00300782888121"/>
    <n v="660.18107060463524"/>
    <n v="582.41361419491341"/>
    <n v="652.68624058813691"/>
    <n v="0"/>
    <n v="0"/>
    <n v="1988.8889456969562"/>
    <n v="1895.2809253876858"/>
    <b v="1"/>
    <n v="376.20831527811515"/>
    <n v="3507.9615558065266"/>
    <n v="0"/>
    <n v="0"/>
    <n v="3884.1698710846417"/>
    <n v="35861"/>
    <n v="59760"/>
    <n v="66572"/>
    <n v="55071"/>
    <n v="62383"/>
    <n v="57586"/>
    <n v="57985"/>
    <n v="45367"/>
    <n v="52938"/>
    <n v="38405"/>
    <n v="33881"/>
    <n v="37969"/>
    <n v="603778"/>
    <n v="616.44976885699327"/>
    <n v="1027.2730316191382"/>
    <n v="1144.3711556383746"/>
    <n v="946.66922898757639"/>
    <n v="1072.3623415578431"/>
    <n v="989.90202139925862"/>
    <n v="996.76082226298081"/>
    <n v="779.85769118918074"/>
    <n v="910.00300782888121"/>
    <n v="660.18107060463524"/>
    <n v="582.41361419491341"/>
    <n v="652.68624058813691"/>
    <n v="2788.093956114506"/>
    <n v="3008.933591944678"/>
    <n v="2686.621521281043"/>
    <n v="1895.2809253876858"/>
    <n v="1005.2700827463364"/>
    <n v="9373.6599119815764"/>
    <n v="0"/>
    <n v="0"/>
    <n v="10378.929994727912"/>
  </r>
  <r>
    <s v="AME25-071"/>
    <s v="R86"/>
    <s v="REC"/>
    <d v="2026-07-01T00:00:00"/>
    <d v="2027-06-01T00:00:00"/>
    <x v="3"/>
    <x v="0"/>
    <x v="50"/>
    <n v="1.6649663994818234E-3"/>
    <n v="1.5525010702578723E-2"/>
    <n v="0"/>
    <n v="0"/>
    <n v="1.7189977102060546E-2"/>
    <m/>
    <n v="0"/>
    <n v="0"/>
    <n v="0"/>
    <n v="0"/>
    <n v="0"/>
    <n v="0"/>
    <n v="17395.5"/>
    <n v="45367"/>
    <n v="52938"/>
    <n v="38405"/>
    <n v="33881"/>
    <n v="37969"/>
    <n v="225955.5"/>
    <n v="0"/>
    <n v="0"/>
    <n v="0"/>
    <n v="0"/>
    <n v="0"/>
    <n v="0"/>
    <n v="299.02824667889422"/>
    <n v="779.85769118918074"/>
    <n v="910.00300782888121"/>
    <n v="660.18107060463524"/>
    <n v="582.41361419491341"/>
    <n v="652.68624058813691"/>
    <n v="0"/>
    <n v="0"/>
    <n v="1988.8889456969562"/>
    <n v="1895.2809253876858"/>
    <b v="1"/>
    <n v="376.20831527811515"/>
    <n v="3507.9615558065266"/>
    <n v="0"/>
    <n v="0"/>
    <n v="3884.1698710846417"/>
    <n v="35861"/>
    <n v="59760"/>
    <n v="66572"/>
    <n v="55071"/>
    <n v="62383"/>
    <n v="57586"/>
    <n v="57985"/>
    <n v="45367"/>
    <n v="52938"/>
    <n v="38405"/>
    <n v="33881"/>
    <n v="37969"/>
    <n v="603778"/>
    <n v="616.44976885699327"/>
    <n v="1027.2730316191382"/>
    <n v="1144.3711556383746"/>
    <n v="946.66922898757639"/>
    <n v="1072.3623415578431"/>
    <n v="989.90202139925862"/>
    <n v="996.76082226298081"/>
    <n v="779.85769118918074"/>
    <n v="910.00300782888121"/>
    <n v="660.18107060463524"/>
    <n v="582.41361419491341"/>
    <n v="652.68624058813691"/>
    <n v="2788.093956114506"/>
    <n v="3008.933591944678"/>
    <n v="2686.621521281043"/>
    <n v="1895.2809253876858"/>
    <n v="1005.2700827463364"/>
    <n v="9373.6599119815764"/>
    <n v="0"/>
    <n v="0"/>
    <n v="10378.929994727912"/>
  </r>
  <r>
    <s v="AME25-071"/>
    <s v="R91"/>
    <s v="REC"/>
    <d v="2026-07-01T00:00:00"/>
    <d v="2027-06-01T00:00:00"/>
    <x v="3"/>
    <x v="0"/>
    <x v="50"/>
    <n v="1.6649663994818234E-3"/>
    <n v="1.5525010702578723E-2"/>
    <n v="0"/>
    <n v="0"/>
    <n v="1.7189977102060546E-2"/>
    <m/>
    <n v="0"/>
    <n v="0"/>
    <n v="0"/>
    <n v="0"/>
    <n v="0"/>
    <n v="0"/>
    <n v="5641.8"/>
    <n v="14714"/>
    <n v="17169"/>
    <n v="16867"/>
    <n v="14880"/>
    <n v="16676"/>
    <n v="85947.8"/>
    <n v="0"/>
    <n v="0"/>
    <n v="0"/>
    <n v="0"/>
    <n v="0"/>
    <n v="0"/>
    <n v="96.982412814405194"/>
    <n v="252.93332307971889"/>
    <n v="295.13471686527754"/>
    <n v="289.94334378045522"/>
    <n v="255.78685927866093"/>
    <n v="286.66005815396164"/>
    <n v="0"/>
    <n v="0"/>
    <n v="645.05045275940165"/>
    <n v="832.39026121307779"/>
    <b v="1"/>
    <n v="143.10019910938388"/>
    <n v="1334.3405148630957"/>
    <n v="0"/>
    <n v="0"/>
    <n v="1477.4407139724794"/>
    <n v="6761"/>
    <n v="20544"/>
    <n v="36147"/>
    <n v="17061"/>
    <n v="21612"/>
    <n v="114329"/>
    <n v="18806"/>
    <n v="14714"/>
    <n v="17169"/>
    <n v="16867"/>
    <n v="14880"/>
    <n v="16676"/>
    <n v="315566"/>
    <n v="116.22143518703135"/>
    <n v="353.15088958473189"/>
    <n v="621.36610230818258"/>
    <n v="293.27819933825498"/>
    <n v="371.50978512973251"/>
    <n v="1965.3128921014802"/>
    <n v="323.27470938135065"/>
    <n v="252.93332307971889"/>
    <n v="295.13471686527754"/>
    <n v="289.94334378045522"/>
    <n v="255.78685927866093"/>
    <n v="286.66005815396164"/>
    <n v="1090.7384270799457"/>
    <n v="2630.1008765694678"/>
    <n v="871.34274932634708"/>
    <n v="832.39026121307779"/>
    <n v="525.40678681888107"/>
    <n v="4899.1655273699571"/>
    <n v="0"/>
    <n v="0"/>
    <n v="5424.5723141888384"/>
  </r>
  <r>
    <s v="AME25-071"/>
    <s v="R180"/>
    <s v="REC"/>
    <d v="2026-07-01T00:00:00"/>
    <d v="2027-06-01T00:00:00"/>
    <x v="3"/>
    <x v="0"/>
    <x v="50"/>
    <n v="1.6649663994818234E-3"/>
    <n v="1.5525010702578723E-2"/>
    <n v="0"/>
    <n v="0"/>
    <n v="1.7189977102060546E-2"/>
    <m/>
    <n v="0"/>
    <n v="0"/>
    <n v="0"/>
    <n v="0"/>
    <n v="0"/>
    <n v="0"/>
    <n v="0"/>
    <n v="0"/>
    <n v="0"/>
    <n v="0"/>
    <n v="0"/>
    <n v="0"/>
    <n v="0"/>
    <n v="0"/>
    <n v="0"/>
    <n v="0"/>
    <n v="0"/>
    <n v="0"/>
    <n v="0"/>
    <n v="0"/>
    <n v="0"/>
    <n v="0"/>
    <n v="0"/>
    <n v="0"/>
    <n v="0"/>
    <n v="0"/>
    <n v="0"/>
    <n v="0"/>
    <n v="0"/>
    <b v="1"/>
    <n v="0"/>
    <n v="0"/>
    <n v="0"/>
    <n v="0"/>
    <n v="0"/>
    <n v="0"/>
    <n v="0"/>
    <n v="0"/>
    <n v="0"/>
    <n v="0"/>
    <n v="0"/>
    <n v="0"/>
    <n v="0"/>
    <n v="0"/>
    <n v="0"/>
    <n v="0"/>
    <n v="0"/>
    <n v="0"/>
    <n v="0"/>
    <n v="0"/>
    <n v="0"/>
    <n v="0"/>
    <n v="0"/>
    <n v="0"/>
    <n v="0"/>
    <n v="0"/>
    <n v="0"/>
    <n v="0"/>
    <n v="0"/>
    <n v="0"/>
    <n v="0"/>
    <n v="0"/>
    <n v="0"/>
    <n v="0"/>
    <n v="0"/>
    <n v="0"/>
    <n v="0"/>
    <n v="0"/>
    <n v="0"/>
  </r>
  <r>
    <s v="AME25-071"/>
    <s v="R181"/>
    <s v="REC"/>
    <d v="2026-07-01T00:00:00"/>
    <d v="2027-06-01T00:00:00"/>
    <x v="3"/>
    <x v="0"/>
    <x v="50"/>
    <n v="1.6649663994818234E-3"/>
    <n v="1.5525010702578723E-2"/>
    <n v="0"/>
    <n v="0"/>
    <n v="1.7189977102060546E-2"/>
    <m/>
    <n v="0"/>
    <n v="0"/>
    <n v="0"/>
    <n v="0"/>
    <n v="0"/>
    <n v="0"/>
    <n v="0"/>
    <n v="0"/>
    <n v="0"/>
    <n v="0"/>
    <n v="0"/>
    <n v="0"/>
    <n v="0"/>
    <n v="0"/>
    <n v="0"/>
    <n v="0"/>
    <n v="0"/>
    <n v="0"/>
    <n v="0"/>
    <n v="0"/>
    <n v="0"/>
    <n v="0"/>
    <n v="0"/>
    <n v="0"/>
    <n v="0"/>
    <n v="0"/>
    <n v="0"/>
    <n v="0"/>
    <n v="0"/>
    <b v="1"/>
    <n v="0"/>
    <n v="0"/>
    <n v="0"/>
    <n v="0"/>
    <n v="0"/>
    <n v="0"/>
    <n v="0"/>
    <n v="0"/>
    <n v="0"/>
    <n v="0"/>
    <n v="0"/>
    <n v="0"/>
    <n v="0"/>
    <n v="0"/>
    <n v="0"/>
    <n v="0"/>
    <n v="0"/>
    <n v="0"/>
    <n v="0"/>
    <n v="0"/>
    <n v="0"/>
    <n v="0"/>
    <n v="0"/>
    <n v="0"/>
    <n v="0"/>
    <n v="0"/>
    <n v="0"/>
    <n v="0"/>
    <n v="0"/>
    <n v="0"/>
    <n v="0"/>
    <n v="0"/>
    <n v="0"/>
    <n v="0"/>
    <n v="0"/>
    <n v="0"/>
    <n v="0"/>
    <n v="0"/>
    <n v="0"/>
  </r>
  <r>
    <s v="AME25-071"/>
    <s v="R185"/>
    <s v="REC"/>
    <d v="2026-07-01T00:00:00"/>
    <d v="2027-06-01T00:00:00"/>
    <x v="3"/>
    <x v="0"/>
    <x v="50"/>
    <n v="1.6649663994818234E-3"/>
    <n v="1.5525010702578723E-2"/>
    <n v="0"/>
    <n v="0"/>
    <n v="1.7189977102060546E-2"/>
    <m/>
    <n v="0"/>
    <n v="0"/>
    <n v="0"/>
    <n v="0"/>
    <n v="0"/>
    <n v="0"/>
    <n v="0"/>
    <n v="0"/>
    <n v="0"/>
    <n v="0"/>
    <n v="0"/>
    <n v="0"/>
    <n v="0"/>
    <n v="0"/>
    <n v="0"/>
    <n v="0"/>
    <n v="0"/>
    <n v="0"/>
    <n v="0"/>
    <n v="0"/>
    <n v="0"/>
    <n v="0"/>
    <n v="0"/>
    <n v="0"/>
    <n v="0"/>
    <n v="0"/>
    <n v="0"/>
    <n v="0"/>
    <n v="0"/>
    <b v="1"/>
    <n v="0"/>
    <n v="0"/>
    <n v="0"/>
    <n v="0"/>
    <n v="0"/>
    <n v="0"/>
    <n v="0"/>
    <n v="0"/>
    <n v="0"/>
    <n v="0"/>
    <n v="0"/>
    <n v="0"/>
    <n v="0"/>
    <n v="0"/>
    <n v="0"/>
    <n v="0"/>
    <n v="0"/>
    <n v="0"/>
    <n v="0"/>
    <n v="0"/>
    <n v="0"/>
    <n v="0"/>
    <n v="0"/>
    <n v="0"/>
    <n v="0"/>
    <n v="0"/>
    <n v="0"/>
    <n v="0"/>
    <n v="0"/>
    <n v="0"/>
    <n v="0"/>
    <n v="0"/>
    <n v="0"/>
    <n v="0"/>
    <n v="0"/>
    <n v="0"/>
    <n v="0"/>
    <n v="0"/>
    <n v="0"/>
  </r>
  <r>
    <s v="AME25-071"/>
    <s v="R187"/>
    <s v="REC"/>
    <d v="2026-07-01T00:00:00"/>
    <d v="2027-06-01T00:00:00"/>
    <x v="3"/>
    <x v="0"/>
    <x v="50"/>
    <n v="1.6649663994818234E-3"/>
    <n v="1.5525010702578723E-2"/>
    <n v="0"/>
    <n v="0"/>
    <n v="1.7189977102060546E-2"/>
    <m/>
    <n v="0"/>
    <n v="0"/>
    <n v="0"/>
    <n v="0"/>
    <n v="0"/>
    <n v="0"/>
    <n v="0"/>
    <n v="0"/>
    <n v="0"/>
    <n v="0"/>
    <n v="0"/>
    <n v="0"/>
    <n v="0"/>
    <n v="0"/>
    <n v="0"/>
    <n v="0"/>
    <n v="0"/>
    <n v="0"/>
    <n v="0"/>
    <n v="0"/>
    <n v="0"/>
    <n v="0"/>
    <n v="0"/>
    <n v="0"/>
    <n v="0"/>
    <n v="0"/>
    <n v="0"/>
    <n v="0"/>
    <n v="0"/>
    <b v="1"/>
    <n v="0"/>
    <n v="0"/>
    <n v="0"/>
    <n v="0"/>
    <n v="0"/>
    <n v="0"/>
    <n v="0"/>
    <n v="0"/>
    <n v="0"/>
    <n v="0"/>
    <n v="0"/>
    <n v="0"/>
    <n v="0"/>
    <n v="0"/>
    <n v="0"/>
    <n v="0"/>
    <n v="0"/>
    <n v="0"/>
    <n v="0"/>
    <n v="0"/>
    <n v="0"/>
    <n v="0"/>
    <n v="0"/>
    <n v="0"/>
    <n v="0"/>
    <n v="0"/>
    <n v="0"/>
    <n v="0"/>
    <n v="0"/>
    <n v="0"/>
    <n v="0"/>
    <n v="0"/>
    <n v="0"/>
    <n v="0"/>
    <n v="0"/>
    <n v="0"/>
    <n v="0"/>
    <n v="0"/>
    <n v="0"/>
  </r>
  <r>
    <s v="AME25-071"/>
    <s v="R188"/>
    <s v="REC"/>
    <d v="2026-07-01T00:00:00"/>
    <d v="2027-06-01T00:00:00"/>
    <x v="3"/>
    <x v="0"/>
    <x v="50"/>
    <n v="1.6649663994818234E-3"/>
    <n v="1.5525010702578723E-2"/>
    <n v="0"/>
    <n v="0"/>
    <n v="1.7189977102060546E-2"/>
    <m/>
    <n v="0"/>
    <n v="0"/>
    <n v="0"/>
    <n v="0"/>
    <n v="0"/>
    <n v="0"/>
    <n v="0"/>
    <n v="0"/>
    <n v="0"/>
    <n v="0"/>
    <n v="0"/>
    <n v="0"/>
    <n v="0"/>
    <n v="0"/>
    <n v="0"/>
    <n v="0"/>
    <n v="0"/>
    <n v="0"/>
    <n v="0"/>
    <n v="0"/>
    <n v="0"/>
    <n v="0"/>
    <n v="0"/>
    <n v="0"/>
    <n v="0"/>
    <n v="0"/>
    <n v="0"/>
    <n v="0"/>
    <n v="0"/>
    <b v="1"/>
    <n v="0"/>
    <n v="0"/>
    <n v="0"/>
    <n v="0"/>
    <n v="0"/>
    <n v="0"/>
    <n v="0"/>
    <n v="0"/>
    <n v="0"/>
    <n v="0"/>
    <n v="0"/>
    <n v="0"/>
    <n v="0"/>
    <n v="0"/>
    <n v="0"/>
    <n v="0"/>
    <n v="0"/>
    <n v="0"/>
    <n v="0"/>
    <n v="0"/>
    <n v="0"/>
    <n v="0"/>
    <n v="0"/>
    <n v="0"/>
    <n v="0"/>
    <n v="0"/>
    <n v="0"/>
    <n v="0"/>
    <n v="0"/>
    <n v="0"/>
    <n v="0"/>
    <n v="0"/>
    <n v="0"/>
    <n v="0"/>
    <n v="0"/>
    <n v="0"/>
    <n v="0"/>
    <n v="0"/>
    <n v="0"/>
  </r>
  <r>
    <s v="AME25-071"/>
    <s v="R189"/>
    <s v="REC"/>
    <d v="2026-07-01T00:00:00"/>
    <d v="2027-06-01T00:00:00"/>
    <x v="3"/>
    <x v="0"/>
    <x v="50"/>
    <n v="1.6649663994818234E-3"/>
    <n v="1.5525010702578723E-2"/>
    <n v="0"/>
    <n v="0"/>
    <n v="1.7189977102060546E-2"/>
    <m/>
    <n v="0"/>
    <n v="0"/>
    <n v="0"/>
    <n v="0"/>
    <n v="0"/>
    <n v="0"/>
    <n v="0"/>
    <n v="0"/>
    <n v="0"/>
    <n v="0"/>
    <n v="0"/>
    <n v="0"/>
    <n v="0"/>
    <n v="0"/>
    <n v="0"/>
    <n v="0"/>
    <n v="0"/>
    <n v="0"/>
    <n v="0"/>
    <n v="0"/>
    <n v="0"/>
    <n v="0"/>
    <n v="0"/>
    <n v="0"/>
    <n v="0"/>
    <n v="0"/>
    <n v="0"/>
    <n v="0"/>
    <n v="0"/>
    <b v="1"/>
    <n v="0"/>
    <n v="0"/>
    <n v="0"/>
    <n v="0"/>
    <n v="0"/>
    <n v="0"/>
    <n v="0"/>
    <n v="0"/>
    <n v="0"/>
    <n v="0"/>
    <n v="0"/>
    <n v="0"/>
    <n v="0"/>
    <n v="0"/>
    <n v="0"/>
    <n v="0"/>
    <n v="0"/>
    <n v="0"/>
    <n v="0"/>
    <n v="0"/>
    <n v="0"/>
    <n v="0"/>
    <n v="0"/>
    <n v="0"/>
    <n v="0"/>
    <n v="0"/>
    <n v="0"/>
    <n v="0"/>
    <n v="0"/>
    <n v="0"/>
    <n v="0"/>
    <n v="0"/>
    <n v="0"/>
    <n v="0"/>
    <n v="0"/>
    <n v="0"/>
    <n v="0"/>
    <n v="0"/>
    <n v="0"/>
  </r>
  <r>
    <s v="AME25-071"/>
    <s v="R190"/>
    <s v="REC"/>
    <d v="2026-07-01T00:00:00"/>
    <d v="2027-06-01T00:00:00"/>
    <x v="3"/>
    <x v="0"/>
    <x v="50"/>
    <n v="1.6649663994818234E-3"/>
    <n v="1.5525010702578723E-2"/>
    <n v="0"/>
    <n v="0"/>
    <n v="1.7189977102060546E-2"/>
    <m/>
    <n v="0"/>
    <n v="0"/>
    <n v="0"/>
    <n v="0"/>
    <n v="0"/>
    <n v="0"/>
    <n v="0"/>
    <n v="0"/>
    <n v="0"/>
    <n v="0"/>
    <n v="0"/>
    <n v="0"/>
    <n v="0"/>
    <n v="0"/>
    <n v="0"/>
    <n v="0"/>
    <n v="0"/>
    <n v="0"/>
    <n v="0"/>
    <n v="0"/>
    <n v="0"/>
    <n v="0"/>
    <n v="0"/>
    <n v="0"/>
    <n v="0"/>
    <n v="0"/>
    <n v="0"/>
    <n v="0"/>
    <n v="0"/>
    <b v="1"/>
    <n v="0"/>
    <n v="0"/>
    <n v="0"/>
    <n v="0"/>
    <n v="0"/>
    <n v="0"/>
    <n v="0"/>
    <n v="0"/>
    <n v="0"/>
    <n v="0"/>
    <n v="0"/>
    <n v="0"/>
    <n v="0"/>
    <n v="0"/>
    <n v="0"/>
    <n v="0"/>
    <n v="0"/>
    <n v="0"/>
    <n v="0"/>
    <n v="0"/>
    <n v="0"/>
    <n v="0"/>
    <n v="0"/>
    <n v="0"/>
    <n v="0"/>
    <n v="0"/>
    <n v="0"/>
    <n v="0"/>
    <n v="0"/>
    <n v="0"/>
    <n v="0"/>
    <n v="0"/>
    <n v="0"/>
    <n v="0"/>
    <n v="0"/>
    <n v="0"/>
    <n v="0"/>
    <n v="0"/>
    <n v="0"/>
  </r>
  <r>
    <s v="AME25-071"/>
    <s v="R191"/>
    <s v="REC"/>
    <d v="2026-07-01T00:00:00"/>
    <d v="2027-06-01T00:00:00"/>
    <x v="3"/>
    <x v="0"/>
    <x v="50"/>
    <n v="1.6649663994818234E-3"/>
    <n v="1.5525010702578723E-2"/>
    <n v="0"/>
    <n v="0"/>
    <n v="1.7189977102060546E-2"/>
    <m/>
    <n v="0"/>
    <n v="0"/>
    <n v="0"/>
    <n v="0"/>
    <n v="0"/>
    <n v="0"/>
    <n v="0"/>
    <n v="0"/>
    <n v="0"/>
    <n v="0"/>
    <n v="0"/>
    <n v="0"/>
    <n v="0"/>
    <n v="0"/>
    <n v="0"/>
    <n v="0"/>
    <n v="0"/>
    <n v="0"/>
    <n v="0"/>
    <n v="0"/>
    <n v="0"/>
    <n v="0"/>
    <n v="0"/>
    <n v="0"/>
    <n v="0"/>
    <n v="0"/>
    <n v="0"/>
    <n v="0"/>
    <n v="0"/>
    <b v="1"/>
    <n v="0"/>
    <n v="0"/>
    <n v="0"/>
    <n v="0"/>
    <n v="0"/>
    <n v="0"/>
    <n v="0"/>
    <n v="0"/>
    <n v="0"/>
    <n v="0"/>
    <n v="0"/>
    <n v="0"/>
    <n v="0"/>
    <n v="0"/>
    <n v="0"/>
    <n v="0"/>
    <n v="0"/>
    <n v="0"/>
    <n v="0"/>
    <n v="0"/>
    <n v="0"/>
    <n v="0"/>
    <n v="0"/>
    <n v="0"/>
    <n v="0"/>
    <n v="0"/>
    <n v="0"/>
    <n v="0"/>
    <n v="0"/>
    <n v="0"/>
    <n v="0"/>
    <n v="0"/>
    <n v="0"/>
    <n v="0"/>
    <n v="0"/>
    <n v="0"/>
    <n v="0"/>
    <n v="0"/>
    <n v="0"/>
  </r>
  <r>
    <s v="AME25-071"/>
    <s v="R194"/>
    <s v="REC"/>
    <d v="2026-07-01T00:00:00"/>
    <d v="2027-06-01T00:00:00"/>
    <x v="3"/>
    <x v="0"/>
    <x v="50"/>
    <n v="1.6649663994818234E-3"/>
    <n v="1.5525010702578723E-2"/>
    <n v="0"/>
    <n v="0"/>
    <n v="1.7189977102060546E-2"/>
    <m/>
    <n v="0"/>
    <n v="0"/>
    <n v="0"/>
    <n v="0"/>
    <n v="0"/>
    <n v="0"/>
    <n v="0"/>
    <n v="0"/>
    <n v="0"/>
    <n v="0"/>
    <n v="0"/>
    <n v="0"/>
    <n v="0"/>
    <n v="0"/>
    <n v="0"/>
    <n v="0"/>
    <n v="0"/>
    <n v="0"/>
    <n v="0"/>
    <n v="0"/>
    <n v="0"/>
    <n v="0"/>
    <n v="0"/>
    <n v="0"/>
    <n v="0"/>
    <n v="0"/>
    <n v="0"/>
    <n v="0"/>
    <n v="0"/>
    <b v="1"/>
    <n v="0"/>
    <n v="0"/>
    <n v="0"/>
    <n v="0"/>
    <n v="0"/>
    <n v="0"/>
    <n v="0"/>
    <n v="0"/>
    <n v="0"/>
    <n v="0"/>
    <n v="0"/>
    <n v="0"/>
    <n v="0"/>
    <n v="0"/>
    <n v="0"/>
    <n v="0"/>
    <n v="0"/>
    <n v="0"/>
    <n v="0"/>
    <n v="0"/>
    <n v="0"/>
    <n v="0"/>
    <n v="0"/>
    <n v="0"/>
    <n v="0"/>
    <n v="0"/>
    <n v="0"/>
    <n v="0"/>
    <n v="0"/>
    <n v="0"/>
    <n v="0"/>
    <n v="0"/>
    <n v="0"/>
    <n v="0"/>
    <n v="0"/>
    <n v="0"/>
    <n v="0"/>
    <n v="0"/>
    <n v="0"/>
  </r>
  <r>
    <s v="AME25-071"/>
    <s v="R196"/>
    <s v="REC"/>
    <d v="2026-07-01T00:00:00"/>
    <d v="2027-06-01T00:00:00"/>
    <x v="3"/>
    <x v="0"/>
    <x v="50"/>
    <n v="1.6649663994818234E-3"/>
    <n v="1.5525010702578723E-2"/>
    <n v="0"/>
    <n v="0"/>
    <n v="1.7189977102060546E-2"/>
    <m/>
    <n v="0"/>
    <n v="0"/>
    <n v="0"/>
    <n v="0"/>
    <n v="0"/>
    <n v="0"/>
    <n v="0"/>
    <n v="0"/>
    <n v="0"/>
    <n v="0"/>
    <n v="0"/>
    <n v="0"/>
    <n v="0"/>
    <n v="0"/>
    <n v="0"/>
    <n v="0"/>
    <n v="0"/>
    <n v="0"/>
    <n v="0"/>
    <n v="0"/>
    <n v="0"/>
    <n v="0"/>
    <n v="0"/>
    <n v="0"/>
    <n v="0"/>
    <n v="0"/>
    <n v="0"/>
    <n v="0"/>
    <n v="0"/>
    <b v="1"/>
    <n v="0"/>
    <n v="0"/>
    <n v="0"/>
    <n v="0"/>
    <n v="0"/>
    <n v="0"/>
    <n v="0"/>
    <n v="0"/>
    <n v="0"/>
    <n v="0"/>
    <n v="0"/>
    <n v="0"/>
    <n v="0"/>
    <n v="0"/>
    <n v="0"/>
    <n v="0"/>
    <n v="0"/>
    <n v="0"/>
    <n v="0"/>
    <n v="0"/>
    <n v="0"/>
    <n v="0"/>
    <n v="0"/>
    <n v="0"/>
    <n v="0"/>
    <n v="0"/>
    <n v="0"/>
    <n v="0"/>
    <n v="0"/>
    <n v="0"/>
    <n v="0"/>
    <n v="0"/>
    <n v="0"/>
    <n v="0"/>
    <n v="0"/>
    <n v="0"/>
    <n v="0"/>
    <n v="0"/>
    <n v="0"/>
  </r>
  <r>
    <s v="AME25-088"/>
    <s v="R20"/>
    <s v="REC"/>
    <d v="2026-01-01T00:00:00"/>
    <d v="2026-12-01T00:00:00"/>
    <x v="0"/>
    <x v="0"/>
    <x v="69"/>
    <n v="1.6649663994818234E-3"/>
    <n v="1.5525010702578723E-2"/>
    <n v="0"/>
    <n v="0"/>
    <n v="1.7189977102060546E-2"/>
    <m/>
    <n v="5882.4"/>
    <n v="23579"/>
    <n v="28161"/>
    <n v="20894"/>
    <n v="19567"/>
    <n v="20129"/>
    <n v="23179"/>
    <n v="14492"/>
    <n v="19899"/>
    <n v="22737"/>
    <n v="15658"/>
    <n v="15420"/>
    <n v="229597.4"/>
    <n v="101.11832130516095"/>
    <n v="405.32247008948559"/>
    <n v="484.08694517112701"/>
    <n v="359.16738157045307"/>
    <n v="336.35628195601873"/>
    <n v="346.01704908737673"/>
    <n v="398.44647924866138"/>
    <n v="249.11714816306144"/>
    <n v="342.06335435390281"/>
    <n v="390.84850936955064"/>
    <n v="269.16066146406405"/>
    <n v="265.06944691377362"/>
    <n v="990.52773656577358"/>
    <n v="1041.5407126138487"/>
    <n v="989.6269817656256"/>
    <n v="925.07861774738831"/>
    <b v="1"/>
    <n v="382.27195640838801"/>
    <n v="3564.5020922842482"/>
    <n v="0"/>
    <n v="0"/>
    <n v="3946.7740486926364"/>
    <n v="19608"/>
    <n v="23579"/>
    <n v="28161"/>
    <n v="20894"/>
    <n v="19567"/>
    <n v="20129"/>
    <n v="23179"/>
    <n v="14492"/>
    <n v="19899"/>
    <n v="22737"/>
    <n v="15658"/>
    <n v="15420"/>
    <n v="243323"/>
    <n v="337.06107101720318"/>
    <n v="405.32247008948559"/>
    <n v="484.08694517112701"/>
    <n v="359.16738157045307"/>
    <n v="336.35628195601873"/>
    <n v="346.01704908737673"/>
    <n v="398.44647924866138"/>
    <n v="249.11714816306144"/>
    <n v="342.06335435390281"/>
    <n v="390.84850936955064"/>
    <n v="269.16066146406405"/>
    <n v="265.06944691377362"/>
    <n v="1226.4704862778158"/>
    <n v="1041.5407126138487"/>
    <n v="989.6269817656256"/>
    <n v="925.07861774738831"/>
    <n v="405.12461922111572"/>
    <n v="3777.5921791835626"/>
    <n v="0"/>
    <n v="0"/>
    <n v="4182.7167984046782"/>
  </r>
  <r>
    <s v="AME25-091"/>
    <s v="R153"/>
    <s v="REC"/>
    <d v="2026-12-01T00:00:00"/>
    <d v="2027-11-01T00:00:00"/>
    <x v="2"/>
    <x v="2"/>
    <x v="70"/>
    <n v="4.7160607E-2"/>
    <n v="0"/>
    <n v="1.0287864484869987E-2"/>
    <n v="0"/>
    <n v="5.7448471484869985E-2"/>
    <m/>
    <n v="0"/>
    <n v="0"/>
    <n v="0"/>
    <n v="0"/>
    <n v="0"/>
    <n v="0"/>
    <n v="0"/>
    <n v="0"/>
    <n v="0"/>
    <n v="0"/>
    <n v="0"/>
    <n v="7559.4"/>
    <n v="7559.4"/>
    <n v="0"/>
    <n v="0"/>
    <n v="0"/>
    <n v="0"/>
    <n v="0"/>
    <n v="0"/>
    <n v="0"/>
    <n v="0"/>
    <n v="0"/>
    <n v="0"/>
    <n v="0"/>
    <n v="434.27597534272616"/>
    <n v="0"/>
    <n v="0"/>
    <n v="0"/>
    <n v="434.27597534272616"/>
    <b v="1"/>
    <n v="356.50589255579996"/>
    <n v="0"/>
    <n v="77.770082786926181"/>
    <n v="0"/>
    <n v="434.27597534272616"/>
    <n v="54119"/>
    <n v="0"/>
    <n v="31515"/>
    <n v="52065"/>
    <n v="54119"/>
    <n v="52533"/>
    <n v="57679"/>
    <n v="48468"/>
    <n v="23759"/>
    <n v="49873"/>
    <n v="39788"/>
    <n v="25198"/>
    <n v="489116"/>
    <n v="3109.0538282896787"/>
    <n v="0"/>
    <n v="1810.4885788456777"/>
    <n v="2991.0546678597557"/>
    <n v="3109.0538282896787"/>
    <n v="3017.9405525146749"/>
    <n v="3313.5703867758157"/>
    <n v="2784.4125159286787"/>
    <n v="1364.918234009026"/>
    <n v="2865.1276183649206"/>
    <n v="2285.7597834400071"/>
    <n v="1447.5865844757539"/>
    <n v="4919.5424071353564"/>
    <n v="9118.0490486641102"/>
    <n v="7462.9011367135208"/>
    <n v="6598.4739862806819"/>
    <n v="23067.007453411999"/>
    <n v="0"/>
    <n v="5031.9591253816689"/>
    <n v="0"/>
    <n v="28098.966578793668"/>
  </r>
  <r>
    <s v="AME25-091"/>
    <s v="R152"/>
    <s v="REC"/>
    <d v="2026-12-01T00:00:00"/>
    <d v="2027-11-01T00:00:00"/>
    <x v="2"/>
    <x v="2"/>
    <x v="70"/>
    <n v="8.9854079999999985E-3"/>
    <n v="0"/>
    <n v="0"/>
    <n v="0"/>
    <n v="8.9854079999999985E-3"/>
    <m/>
    <n v="0"/>
    <n v="0"/>
    <n v="0"/>
    <n v="0"/>
    <n v="0"/>
    <n v="0"/>
    <n v="0"/>
    <n v="0"/>
    <n v="0"/>
    <n v="0"/>
    <n v="0"/>
    <n v="7559.4"/>
    <n v="7559.4"/>
    <n v="0"/>
    <n v="0"/>
    <n v="0"/>
    <n v="0"/>
    <n v="0"/>
    <n v="0"/>
    <n v="0"/>
    <n v="0"/>
    <n v="0"/>
    <n v="0"/>
    <n v="0"/>
    <n v="67.924293235199983"/>
    <n v="0"/>
    <n v="0"/>
    <n v="0"/>
    <n v="67.924293235199983"/>
    <b v="1"/>
    <n v="67.924293235199983"/>
    <n v="0"/>
    <n v="0"/>
    <n v="0"/>
    <n v="67.924293235199983"/>
    <n v="54119"/>
    <n v="0"/>
    <n v="31515"/>
    <n v="52065"/>
    <n v="54119"/>
    <n v="52533"/>
    <n v="57679"/>
    <n v="48468"/>
    <n v="23759"/>
    <n v="49873"/>
    <n v="39788"/>
    <n v="25198"/>
    <n v="489116"/>
    <n v="486.2812955519999"/>
    <n v="0"/>
    <n v="283.17513311999994"/>
    <n v="467.8252675199999"/>
    <n v="486.2812955519999"/>
    <n v="472.03043846399993"/>
    <n v="518.26934803199993"/>
    <n v="435.50475494399996"/>
    <n v="213.48430867199997"/>
    <n v="448.12925318399994"/>
    <n v="357.51141350399996"/>
    <n v="226.41431078399995"/>
    <n v="769.4564286719999"/>
    <n v="1426.1370015359996"/>
    <n v="1167.2584116479998"/>
    <n v="1032.0549774719998"/>
    <n v="4394.9068193279991"/>
    <n v="0"/>
    <n v="0"/>
    <n v="0"/>
    <n v="4394.9068193279991"/>
  </r>
  <r>
    <s v="AME25-092"/>
    <s v="R45"/>
    <s v="REC"/>
    <d v="2025-11-01T00:00:00"/>
    <d v="2026-10-01T00:00:00"/>
    <x v="0"/>
    <x v="0"/>
    <x v="71"/>
    <n v="8.9854079999999985E-3"/>
    <n v="0"/>
    <n v="0"/>
    <n v="0"/>
    <n v="8.9854079999999985E-3"/>
    <m/>
    <n v="12213"/>
    <n v="13478"/>
    <n v="12831"/>
    <n v="12207"/>
    <n v="13817"/>
    <n v="14063"/>
    <n v="14110"/>
    <n v="9537"/>
    <n v="9764"/>
    <n v="10103"/>
    <n v="0"/>
    <n v="0"/>
    <n v="122123"/>
    <n v="109.73878790399998"/>
    <n v="121.10532902399999"/>
    <n v="115.29177004799998"/>
    <n v="109.68487545599999"/>
    <n v="124.15138233599998"/>
    <n v="126.36179270399998"/>
    <n v="126.78410687999998"/>
    <n v="85.693836095999984"/>
    <n v="87.733523711999979"/>
    <n v="90.779577023999991"/>
    <n v="0"/>
    <n v="0"/>
    <n v="346.13588697599994"/>
    <n v="360.19805049599995"/>
    <n v="300.21146668799992"/>
    <n v="90.779577023999991"/>
    <b v="1"/>
    <n v="1097.3249811839999"/>
    <n v="0"/>
    <n v="0"/>
    <n v="0"/>
    <n v="1097.3249811839999"/>
    <n v="12213"/>
    <n v="13478"/>
    <n v="12831"/>
    <n v="12207"/>
    <n v="13817"/>
    <n v="14063"/>
    <n v="14110"/>
    <n v="9537"/>
    <n v="9764"/>
    <n v="10103"/>
    <n v="9092"/>
    <n v="7172"/>
    <n v="138387"/>
    <n v="109.73878790399998"/>
    <n v="121.10532902399999"/>
    <n v="115.29177004799998"/>
    <n v="109.68487545599999"/>
    <n v="124.15138233599998"/>
    <n v="126.36179270399998"/>
    <n v="126.78410687999998"/>
    <n v="85.693836095999984"/>
    <n v="87.733523711999979"/>
    <n v="90.779577023999991"/>
    <n v="81.695329535999988"/>
    <n v="64.443346175999991"/>
    <n v="346.13588697599994"/>
    <n v="360.19805049599995"/>
    <n v="300.21146668799992"/>
    <n v="236.91825273599994"/>
    <n v="1243.4636568959997"/>
    <n v="0"/>
    <n v="0"/>
    <n v="0"/>
    <n v="1243.4636568959997"/>
  </r>
  <r>
    <s v="AME25-092"/>
    <e v="#N/A"/>
    <s v="REC"/>
    <d v="2025-11-01T00:00:00"/>
    <d v="2026-10-01T00:00:00"/>
    <x v="0"/>
    <x v="0"/>
    <x v="71"/>
    <n v="5.0038457877599985E-3"/>
    <n v="0"/>
    <n v="4.9673363878300304E-3"/>
    <n v="0"/>
    <n v="9.9711821755900289E-3"/>
    <m/>
    <s v=""/>
    <s v=""/>
    <s v=""/>
    <s v=""/>
    <s v=""/>
    <s v=""/>
    <s v=""/>
    <s v=""/>
    <s v=""/>
    <s v=""/>
    <s v=""/>
    <s v=""/>
    <n v="0"/>
    <s v=""/>
    <s v=""/>
    <s v=""/>
    <s v=""/>
    <s v=""/>
    <s v=""/>
    <s v=""/>
    <s v=""/>
    <s v=""/>
    <s v=""/>
    <s v=""/>
    <s v=""/>
    <n v="0"/>
    <n v="0"/>
    <n v="0"/>
    <n v="0"/>
    <b v="1"/>
    <n v="0"/>
    <n v="0"/>
    <n v="0"/>
    <n v="0"/>
    <n v="0"/>
    <s v=""/>
    <s v=""/>
    <s v=""/>
    <s v=""/>
    <s v=""/>
    <s v=""/>
    <s v=""/>
    <s v=""/>
    <s v=""/>
    <s v=""/>
    <s v=""/>
    <s v=""/>
    <n v="0"/>
    <e v="#VALUE!"/>
    <e v="#VALUE!"/>
    <e v="#VALUE!"/>
    <e v="#VALUE!"/>
    <e v="#VALUE!"/>
    <e v="#VALUE!"/>
    <e v="#VALUE!"/>
    <e v="#VALUE!"/>
    <e v="#VALUE!"/>
    <e v="#VALUE!"/>
    <e v="#VALUE!"/>
    <e v="#VALUE!"/>
    <s v=""/>
    <s v=""/>
    <s v=""/>
    <s v=""/>
    <n v="0"/>
    <n v="0"/>
    <n v="0"/>
    <n v="0"/>
    <n v="0"/>
  </r>
  <r>
    <s v="AME25-092"/>
    <s v="R46"/>
    <s v="REC"/>
    <d v="2025-11-01T00:00:00"/>
    <d v="2026-10-01T00:00:00"/>
    <x v="0"/>
    <x v="0"/>
    <x v="71"/>
    <n v="5.0038457877599985E-3"/>
    <n v="0"/>
    <n v="4.9673363878300304E-3"/>
    <n v="0"/>
    <n v="9.9711821755900289E-3"/>
    <m/>
    <n v="16526"/>
    <n v="18238"/>
    <n v="17363"/>
    <n v="16518"/>
    <n v="18697"/>
    <n v="19030"/>
    <n v="19094"/>
    <n v="12905"/>
    <n v="13213"/>
    <n v="13671"/>
    <n v="0"/>
    <n v="0"/>
    <n v="165255"/>
    <n v="164.78375663380081"/>
    <n v="181.85442051841096"/>
    <n v="173.12963611476968"/>
    <n v="164.70398717639611"/>
    <n v="186.43119313700677"/>
    <n v="189.75159680147826"/>
    <n v="190.38975246071601"/>
    <n v="128.67810597598933"/>
    <n v="131.74923008607107"/>
    <n v="136.31603152249127"/>
    <n v="0"/>
    <n v="0"/>
    <n v="519.76781326698142"/>
    <n v="540.88677711488117"/>
    <n v="450.81708852277643"/>
    <n v="136.31603152249127"/>
    <b v="1"/>
    <n v="826.91053565627851"/>
    <n v="0"/>
    <n v="820.87717477085164"/>
    <n v="0"/>
    <n v="1647.7877104271302"/>
    <n v="16526"/>
    <n v="18238"/>
    <n v="17363"/>
    <n v="16518"/>
    <n v="18697"/>
    <n v="19030"/>
    <n v="19094"/>
    <n v="12905"/>
    <n v="13213"/>
    <n v="13671"/>
    <n v="12303"/>
    <n v="9704"/>
    <n v="187262"/>
    <n v="164.78375663380081"/>
    <n v="181.85442051841096"/>
    <n v="173.12963611476968"/>
    <n v="164.70398717639611"/>
    <n v="186.43119313700677"/>
    <n v="189.75159680147826"/>
    <n v="190.38975246071601"/>
    <n v="128.67810597598933"/>
    <n v="131.74923008607107"/>
    <n v="136.31603152249127"/>
    <n v="122.67545430628412"/>
    <n v="96.760351831925647"/>
    <n v="519.76781326698142"/>
    <n v="540.88677711488117"/>
    <n v="450.81708852277643"/>
    <n v="355.75183766070109"/>
    <n v="937.0301699075128"/>
    <n v="0"/>
    <n v="930.19334665782719"/>
    <n v="0"/>
    <n v="1867.2235165653401"/>
  </r>
  <r>
    <s v="AME25-093"/>
    <s v="R147"/>
    <s v="REC"/>
    <d v="2025-11-01T00:00:00"/>
    <d v="2026-10-01T00:00:00"/>
    <x v="0"/>
    <x v="0"/>
    <x v="72"/>
    <n v="5.0038457877599985E-3"/>
    <n v="0"/>
    <n v="4.9673363878300304E-3"/>
    <n v="0"/>
    <n v="9.9711821755900289E-3"/>
    <m/>
    <n v="22189"/>
    <n v="5213"/>
    <n v="19411"/>
    <n v="13129"/>
    <n v="19303"/>
    <n v="23136"/>
    <n v="23504"/>
    <n v="18684"/>
    <n v="19769"/>
    <n v="18235"/>
    <n v="0"/>
    <n v="0"/>
    <n v="182573"/>
    <n v="221.25056129416714"/>
    <n v="51.979772681350823"/>
    <n v="193.55061721037805"/>
    <n v="130.91165078332148"/>
    <n v="192.47372953541432"/>
    <n v="230.6932708144509"/>
    <n v="234.36266585506803"/>
    <n v="186.30156776872411"/>
    <n v="197.12030042923928"/>
    <n v="181.82450697188418"/>
    <n v="0"/>
    <n v="0"/>
    <n v="466.78095118589601"/>
    <n v="554.07865113318667"/>
    <n v="617.78453405303139"/>
    <n v="181.82450697188418"/>
    <b v="1"/>
    <n v="913.56713700870625"/>
    <n v="0"/>
    <n v="906.90150633529208"/>
    <n v="0"/>
    <n v="1820.4686433439983"/>
    <n v="22189"/>
    <n v="5213"/>
    <n v="19411"/>
    <n v="13129"/>
    <n v="19303"/>
    <n v="23136"/>
    <n v="23504"/>
    <n v="18684"/>
    <n v="19769"/>
    <n v="18235"/>
    <n v="18922"/>
    <n v="14977"/>
    <n v="216472"/>
    <n v="221.25056129416714"/>
    <n v="51.979772681350823"/>
    <n v="193.55061721037805"/>
    <n v="130.91165078332148"/>
    <n v="192.47372953541432"/>
    <n v="230.6932708144509"/>
    <n v="234.36266585506803"/>
    <n v="186.30156776872411"/>
    <n v="197.12030042923928"/>
    <n v="181.82450697188418"/>
    <n v="188.67470912651453"/>
    <n v="149.33839544381186"/>
    <n v="466.78095118589601"/>
    <n v="554.07865113318667"/>
    <n v="617.78453405303139"/>
    <n v="519.83761154221065"/>
    <n v="1083.1925053679824"/>
    <n v="0"/>
    <n v="1075.2892425463424"/>
    <n v="0"/>
    <n v="2158.4817479143248"/>
  </r>
  <r>
    <s v="AME25-066"/>
    <s v="V7"/>
    <s v="VAM"/>
    <d v="2026-06-01T00:00:00"/>
    <d v="2027-05-01T00:00:00"/>
    <x v="1"/>
    <x v="1"/>
    <x v="2"/>
    <n v="1.1175645879359999E-2"/>
    <n v="0"/>
    <n v="1.1094105371880002E-2"/>
    <n v="0"/>
    <n v="2.2269751251240002E-2"/>
    <m/>
    <n v="0"/>
    <n v="0"/>
    <n v="0"/>
    <n v="0"/>
    <n v="0"/>
    <n v="5271.5999999999995"/>
    <n v="23726"/>
    <n v="22908"/>
    <n v="23726"/>
    <n v="24983"/>
    <n v="22565"/>
    <n v="20148"/>
    <n v="143327.6"/>
    <n v="0"/>
    <n v="0"/>
    <n v="0"/>
    <n v="0"/>
    <n v="0"/>
    <n v="117.39722069603678"/>
    <n v="528.37211818692026"/>
    <n v="510.15546166340596"/>
    <n v="528.37211818692026"/>
    <n v="556.36519550972901"/>
    <n v="502.51693698423065"/>
    <n v="448.69094820998356"/>
    <n v="0"/>
    <n v="117.39722069603678"/>
    <n v="1566.8996980372465"/>
    <n v="1507.5730807039433"/>
    <b v="1"/>
    <n v="1601.7785023385584"/>
    <n v="0"/>
    <n v="1590.0914970986682"/>
    <n v="0"/>
    <n v="3191.8699994372264"/>
    <n v="0"/>
    <n v="33412"/>
    <n v="0"/>
    <n v="15689"/>
    <n v="18199"/>
    <n v="17572"/>
    <n v="23726"/>
    <n v="22908"/>
    <n v="23726"/>
    <n v="24983"/>
    <n v="22565"/>
    <n v="20148"/>
    <n v="222928"/>
    <n v="0"/>
    <n v="744.07692880643094"/>
    <n v="0"/>
    <n v="349.39012738070437"/>
    <n v="405.28720302131677"/>
    <n v="391.32406898678931"/>
    <n v="528.37211818692026"/>
    <n v="510.15546166340596"/>
    <n v="528.37211818692026"/>
    <n v="556.36519550972901"/>
    <n v="502.51693698423065"/>
    <n v="448.69094820998356"/>
    <n v="744.07692880643094"/>
    <n v="1146.0013993888106"/>
    <n v="1566.8996980372465"/>
    <n v="1507.5730807039433"/>
    <n v="2491.364384593966"/>
    <n v="0"/>
    <n v="2473.1867223424651"/>
    <n v="0"/>
    <n v="4964.5511069364311"/>
  </r>
  <r>
    <s v="AME25-066"/>
    <s v="V8"/>
    <s v="VAM"/>
    <d v="2026-06-01T00:00:00"/>
    <d v="2027-05-01T00:00:00"/>
    <x v="1"/>
    <x v="1"/>
    <x v="2"/>
    <n v="0"/>
    <n v="0"/>
    <n v="0"/>
    <n v="0"/>
    <n v="0"/>
    <m/>
    <n v="0"/>
    <n v="0"/>
    <n v="0"/>
    <n v="0"/>
    <n v="0"/>
    <n v="4506.5999999999995"/>
    <n v="17880"/>
    <n v="17263"/>
    <n v="17880"/>
    <n v="8739"/>
    <n v="7893"/>
    <n v="7047"/>
    <n v="81208.600000000006"/>
    <n v="0"/>
    <n v="0"/>
    <n v="0"/>
    <n v="0"/>
    <n v="0"/>
    <n v="0"/>
    <n v="0"/>
    <n v="0"/>
    <n v="0"/>
    <n v="0"/>
    <n v="0"/>
    <n v="0"/>
    <n v="0"/>
    <n v="0"/>
    <n v="0"/>
    <n v="0"/>
    <b v="1"/>
    <n v="0"/>
    <n v="0"/>
    <n v="0"/>
    <n v="0"/>
    <n v="0"/>
    <n v="0"/>
    <n v="8127"/>
    <n v="0"/>
    <n v="13412"/>
    <n v="15558"/>
    <n v="15022"/>
    <n v="17880"/>
    <n v="17263"/>
    <n v="17880"/>
    <n v="8739"/>
    <n v="7893"/>
    <n v="7047"/>
    <n v="128821"/>
    <n v="0"/>
    <n v="0"/>
    <n v="0"/>
    <n v="0"/>
    <n v="0"/>
    <n v="0"/>
    <n v="0"/>
    <n v="0"/>
    <n v="0"/>
    <n v="0"/>
    <n v="0"/>
    <n v="0"/>
    <n v="0"/>
    <n v="0"/>
    <n v="0"/>
    <n v="0"/>
    <n v="0"/>
    <n v="0"/>
    <n v="0"/>
    <n v="0"/>
    <n v="0"/>
  </r>
  <r>
    <s v="AME25-066"/>
    <s v="V9"/>
    <s v="VAM"/>
    <d v="2026-06-01T00:00:00"/>
    <d v="2027-05-01T00:00:00"/>
    <x v="1"/>
    <x v="1"/>
    <x v="2"/>
    <n v="0"/>
    <n v="0"/>
    <n v="0"/>
    <n v="0"/>
    <n v="0"/>
    <m/>
    <n v="0"/>
    <n v="0"/>
    <n v="0"/>
    <n v="0"/>
    <n v="0"/>
    <n v="23487.3"/>
    <n v="82850"/>
    <n v="79993"/>
    <n v="82850"/>
    <n v="89636"/>
    <n v="80962"/>
    <n v="72287"/>
    <n v="512065.3"/>
    <n v="0"/>
    <n v="0"/>
    <n v="0"/>
    <n v="0"/>
    <n v="0"/>
    <n v="0"/>
    <n v="0"/>
    <n v="0"/>
    <n v="0"/>
    <n v="0"/>
    <n v="0"/>
    <n v="0"/>
    <n v="0"/>
    <n v="0"/>
    <n v="0"/>
    <n v="0"/>
    <b v="1"/>
    <n v="0"/>
    <n v="0"/>
    <n v="0"/>
    <n v="0"/>
    <n v="0"/>
    <n v="92359"/>
    <n v="73146"/>
    <n v="33673"/>
    <n v="69903"/>
    <n v="81087"/>
    <n v="78291"/>
    <n v="82850"/>
    <n v="79993"/>
    <n v="82850"/>
    <n v="89636"/>
    <n v="80962"/>
    <n v="72287"/>
    <n v="917037"/>
    <n v="0"/>
    <n v="0"/>
    <n v="0"/>
    <n v="0"/>
    <n v="0"/>
    <n v="0"/>
    <n v="0"/>
    <n v="0"/>
    <n v="0"/>
    <n v="0"/>
    <n v="0"/>
    <n v="0"/>
    <n v="0"/>
    <n v="0"/>
    <n v="0"/>
    <n v="0"/>
    <n v="0"/>
    <n v="0"/>
    <n v="0"/>
    <n v="0"/>
    <n v="0"/>
  </r>
  <r>
    <s v="AME25-066"/>
    <s v="V10"/>
    <s v="VAM"/>
    <d v="2026-06-01T00:00:00"/>
    <d v="2027-05-01T00:00:00"/>
    <x v="1"/>
    <x v="1"/>
    <x v="2"/>
    <n v="0"/>
    <n v="0"/>
    <n v="0"/>
    <n v="0"/>
    <n v="0"/>
    <m/>
    <n v="0"/>
    <n v="0"/>
    <n v="0"/>
    <n v="0"/>
    <n v="0"/>
    <n v="22527"/>
    <n v="78471"/>
    <n v="75765"/>
    <n v="78471"/>
    <n v="84644"/>
    <n v="76453"/>
    <n v="68262"/>
    <n v="484593"/>
    <n v="0"/>
    <n v="0"/>
    <n v="0"/>
    <n v="0"/>
    <n v="0"/>
    <n v="0"/>
    <n v="0"/>
    <n v="0"/>
    <n v="0"/>
    <n v="0"/>
    <n v="0"/>
    <n v="0"/>
    <n v="0"/>
    <n v="0"/>
    <n v="0"/>
    <n v="0"/>
    <b v="1"/>
    <n v="0"/>
    <n v="0"/>
    <n v="0"/>
    <n v="0"/>
    <n v="0"/>
    <n v="52278"/>
    <n v="65922"/>
    <n v="150797"/>
    <n v="67044"/>
    <n v="77771"/>
    <n v="75090"/>
    <n v="78471"/>
    <n v="75765"/>
    <n v="78471"/>
    <n v="84644"/>
    <n v="76453"/>
    <n v="68262"/>
    <n v="950968"/>
    <n v="0"/>
    <n v="0"/>
    <n v="0"/>
    <n v="0"/>
    <n v="0"/>
    <n v="0"/>
    <n v="0"/>
    <n v="0"/>
    <n v="0"/>
    <n v="0"/>
    <n v="0"/>
    <n v="0"/>
    <n v="0"/>
    <n v="0"/>
    <n v="0"/>
    <n v="0"/>
    <n v="0"/>
    <n v="0"/>
    <n v="0"/>
    <n v="0"/>
    <n v="0"/>
  </r>
  <r>
    <s v="AME25-066"/>
    <s v="V11"/>
    <s v="VAM"/>
    <d v="2026-06-01T00:00:00"/>
    <d v="2027-05-01T00:00:00"/>
    <x v="1"/>
    <x v="1"/>
    <x v="2"/>
    <n v="0"/>
    <n v="0"/>
    <n v="0"/>
    <n v="0"/>
    <n v="0"/>
    <m/>
    <n v="0"/>
    <n v="0"/>
    <n v="0"/>
    <n v="0"/>
    <n v="0"/>
    <n v="45726.6"/>
    <n v="150000"/>
    <n v="144828"/>
    <n v="150000"/>
    <n v="160250"/>
    <n v="144742"/>
    <n v="129234"/>
    <n v="924780.6"/>
    <n v="0"/>
    <n v="0"/>
    <n v="0"/>
    <n v="0"/>
    <n v="0"/>
    <n v="0"/>
    <n v="0"/>
    <n v="0"/>
    <n v="0"/>
    <n v="0"/>
    <n v="0"/>
    <n v="0"/>
    <n v="0"/>
    <n v="0"/>
    <n v="0"/>
    <n v="0"/>
    <b v="1"/>
    <n v="0"/>
    <n v="0"/>
    <n v="0"/>
    <n v="0"/>
    <n v="0"/>
    <n v="169905"/>
    <n v="97528"/>
    <n v="178614"/>
    <n v="136091"/>
    <n v="157866"/>
    <n v="152422"/>
    <n v="150000"/>
    <n v="144828"/>
    <n v="150000"/>
    <n v="160250"/>
    <n v="144742"/>
    <n v="129234"/>
    <n v="1771480"/>
    <n v="0"/>
    <n v="0"/>
    <n v="0"/>
    <n v="0"/>
    <n v="0"/>
    <n v="0"/>
    <n v="0"/>
    <n v="0"/>
    <n v="0"/>
    <n v="0"/>
    <n v="0"/>
    <n v="0"/>
    <n v="0"/>
    <n v="0"/>
    <n v="0"/>
    <n v="0"/>
    <n v="0"/>
    <n v="0"/>
    <n v="0"/>
    <n v="0"/>
    <n v="0"/>
  </r>
  <r>
    <s v="AME25-066"/>
    <s v="V12"/>
    <s v="VAM"/>
    <d v="2026-06-01T00:00:00"/>
    <d v="2027-05-01T00:00:00"/>
    <x v="1"/>
    <x v="1"/>
    <x v="2"/>
    <n v="0"/>
    <n v="0"/>
    <n v="0"/>
    <n v="0"/>
    <n v="0"/>
    <m/>
    <n v="0"/>
    <n v="0"/>
    <n v="0"/>
    <n v="0"/>
    <n v="0"/>
    <n v="45151.5"/>
    <n v="147449"/>
    <n v="142364"/>
    <n v="147449"/>
    <n v="157749"/>
    <n v="142483"/>
    <n v="127217"/>
    <n v="909862.5"/>
    <n v="0"/>
    <n v="0"/>
    <n v="0"/>
    <n v="0"/>
    <n v="0"/>
    <n v="0"/>
    <n v="0"/>
    <n v="0"/>
    <n v="0"/>
    <n v="0"/>
    <n v="0"/>
    <n v="0"/>
    <n v="0"/>
    <n v="0"/>
    <n v="0"/>
    <n v="0"/>
    <b v="1"/>
    <n v="0"/>
    <n v="0"/>
    <n v="0"/>
    <n v="0"/>
    <n v="0"/>
    <n v="139409"/>
    <n v="155323"/>
    <n v="224000"/>
    <n v="134379"/>
    <n v="155880"/>
    <n v="150505"/>
    <n v="147449"/>
    <n v="142364"/>
    <n v="147449"/>
    <n v="157749"/>
    <n v="142483"/>
    <n v="127217"/>
    <n v="1824207"/>
    <n v="0"/>
    <n v="0"/>
    <n v="0"/>
    <n v="0"/>
    <n v="0"/>
    <n v="0"/>
    <n v="0"/>
    <n v="0"/>
    <n v="0"/>
    <n v="0"/>
    <n v="0"/>
    <n v="0"/>
    <n v="0"/>
    <n v="0"/>
    <n v="0"/>
    <n v="0"/>
    <n v="0"/>
    <n v="0"/>
    <n v="0"/>
    <n v="0"/>
    <n v="0"/>
  </r>
  <r>
    <s v="AME25-066"/>
    <s v="V13"/>
    <s v="VAM"/>
    <d v="2026-06-01T00:00:00"/>
    <d v="2027-05-01T00:00:00"/>
    <x v="1"/>
    <x v="1"/>
    <x v="2"/>
    <n v="0"/>
    <n v="0"/>
    <n v="0"/>
    <n v="0"/>
    <n v="0"/>
    <m/>
    <n v="0"/>
    <n v="0"/>
    <n v="0"/>
    <n v="0"/>
    <n v="0"/>
    <n v="22527"/>
    <n v="79193"/>
    <n v="76463"/>
    <n v="79193"/>
    <n v="84644"/>
    <n v="76453"/>
    <n v="68262"/>
    <n v="486735"/>
    <n v="0"/>
    <n v="0"/>
    <n v="0"/>
    <n v="0"/>
    <n v="0"/>
    <n v="0"/>
    <n v="0"/>
    <n v="0"/>
    <n v="0"/>
    <n v="0"/>
    <n v="0"/>
    <n v="0"/>
    <n v="0"/>
    <n v="0"/>
    <n v="0"/>
    <n v="0"/>
    <b v="1"/>
    <n v="0"/>
    <n v="0"/>
    <n v="0"/>
    <n v="0"/>
    <n v="0"/>
    <n v="78418"/>
    <n v="51473"/>
    <n v="67346"/>
    <n v="67044"/>
    <n v="77771"/>
    <n v="75090"/>
    <n v="79193"/>
    <n v="76463"/>
    <n v="79193"/>
    <n v="84644"/>
    <n v="76453"/>
    <n v="68262"/>
    <n v="881350"/>
    <n v="0"/>
    <n v="0"/>
    <n v="0"/>
    <n v="0"/>
    <n v="0"/>
    <n v="0"/>
    <n v="0"/>
    <n v="0"/>
    <n v="0"/>
    <n v="0"/>
    <n v="0"/>
    <n v="0"/>
    <n v="0"/>
    <n v="0"/>
    <n v="0"/>
    <n v="0"/>
    <n v="0"/>
    <n v="0"/>
    <n v="0"/>
    <n v="0"/>
    <n v="0"/>
  </r>
  <r>
    <s v="AME25-066"/>
    <s v="V14"/>
    <s v="VAM"/>
    <d v="2026-06-01T00:00:00"/>
    <d v="2027-05-01T00:00:00"/>
    <x v="1"/>
    <x v="1"/>
    <x v="2"/>
    <n v="0"/>
    <n v="0"/>
    <n v="0"/>
    <n v="0"/>
    <n v="0"/>
    <m/>
    <n v="0"/>
    <n v="0"/>
    <n v="0"/>
    <n v="0"/>
    <n v="0"/>
    <n v="22049.399999999998"/>
    <n v="77376"/>
    <n v="74708"/>
    <n v="77376"/>
    <n v="83388"/>
    <n v="75318"/>
    <n v="67248"/>
    <n v="477463.4"/>
    <n v="0"/>
    <n v="0"/>
    <n v="0"/>
    <n v="0"/>
    <n v="0"/>
    <n v="0"/>
    <n v="0"/>
    <n v="0"/>
    <n v="0"/>
    <n v="0"/>
    <n v="0"/>
    <n v="0"/>
    <n v="0"/>
    <n v="0"/>
    <n v="0"/>
    <n v="0"/>
    <b v="1"/>
    <n v="0"/>
    <n v="0"/>
    <n v="0"/>
    <n v="0"/>
    <n v="0"/>
    <n v="90616"/>
    <n v="113783"/>
    <n v="0"/>
    <n v="65623"/>
    <n v="76123"/>
    <n v="73498"/>
    <n v="77376"/>
    <n v="74708"/>
    <n v="77376"/>
    <n v="83388"/>
    <n v="75318"/>
    <n v="67248"/>
    <n v="875057"/>
    <n v="0"/>
    <n v="0"/>
    <n v="0"/>
    <n v="0"/>
    <n v="0"/>
    <n v="0"/>
    <n v="0"/>
    <n v="0"/>
    <n v="0"/>
    <n v="0"/>
    <n v="0"/>
    <n v="0"/>
    <n v="0"/>
    <n v="0"/>
    <n v="0"/>
    <n v="0"/>
    <n v="0"/>
    <n v="0"/>
    <n v="0"/>
    <n v="0"/>
    <n v="0"/>
  </r>
  <r>
    <s v="AME25-066"/>
    <s v="V15"/>
    <s v="VAM"/>
    <d v="2026-06-01T00:00:00"/>
    <d v="2027-05-01T00:00:00"/>
    <x v="1"/>
    <x v="1"/>
    <x v="2"/>
    <n v="0"/>
    <n v="0"/>
    <n v="0"/>
    <n v="0"/>
    <n v="0"/>
    <m/>
    <n v="0"/>
    <n v="0"/>
    <n v="0"/>
    <n v="0"/>
    <n v="0"/>
    <n v="4889.0999999999995"/>
    <n v="21898"/>
    <n v="21143"/>
    <n v="21898"/>
    <n v="21236"/>
    <n v="19181"/>
    <n v="17126"/>
    <n v="127371.1"/>
    <n v="0"/>
    <n v="0"/>
    <n v="0"/>
    <n v="0"/>
    <n v="0"/>
    <n v="0"/>
    <n v="0"/>
    <n v="0"/>
    <n v="0"/>
    <n v="0"/>
    <n v="0"/>
    <n v="0"/>
    <n v="0"/>
    <n v="0"/>
    <n v="0"/>
    <n v="0"/>
    <b v="1"/>
    <n v="0"/>
    <n v="0"/>
    <n v="0"/>
    <n v="0"/>
    <n v="0"/>
    <n v="13070"/>
    <n v="5418"/>
    <n v="8784"/>
    <n v="14551"/>
    <n v="16879"/>
    <n v="16297"/>
    <n v="21898"/>
    <n v="21143"/>
    <n v="21898"/>
    <n v="21236"/>
    <n v="19181"/>
    <n v="17126"/>
    <n v="197481"/>
    <n v="0"/>
    <n v="0"/>
    <n v="0"/>
    <n v="0"/>
    <n v="0"/>
    <n v="0"/>
    <n v="0"/>
    <n v="0"/>
    <n v="0"/>
    <n v="0"/>
    <n v="0"/>
    <n v="0"/>
    <n v="0"/>
    <n v="0"/>
    <n v="0"/>
    <n v="0"/>
    <n v="0"/>
    <n v="0"/>
    <n v="0"/>
    <n v="0"/>
    <n v="0"/>
  </r>
  <r>
    <s v="AME25-066"/>
    <s v="V16"/>
    <s v="VAM"/>
    <d v="2026-06-01T00:00:00"/>
    <d v="2027-05-01T00:00:00"/>
    <x v="1"/>
    <x v="1"/>
    <x v="2"/>
    <n v="0"/>
    <n v="0"/>
    <n v="0"/>
    <n v="0"/>
    <n v="0"/>
    <m/>
    <n v="0"/>
    <n v="0"/>
    <n v="0"/>
    <n v="0"/>
    <n v="0"/>
    <n v="5464.2"/>
    <n v="17157"/>
    <n v="16565"/>
    <n v="17157"/>
    <n v="28730"/>
    <n v="25949"/>
    <n v="23169"/>
    <n v="134191.20000000001"/>
    <n v="0"/>
    <n v="0"/>
    <n v="0"/>
    <n v="0"/>
    <n v="0"/>
    <n v="0"/>
    <n v="0"/>
    <n v="0"/>
    <n v="0"/>
    <n v="0"/>
    <n v="0"/>
    <n v="0"/>
    <n v="0"/>
    <n v="0"/>
    <n v="0"/>
    <n v="0"/>
    <b v="1"/>
    <n v="0"/>
    <n v="0"/>
    <n v="0"/>
    <n v="0"/>
    <n v="0"/>
    <n v="13941"/>
    <n v="19867"/>
    <n v="8784"/>
    <n v="16262"/>
    <n v="18864"/>
    <n v="18214"/>
    <n v="17157"/>
    <n v="16565"/>
    <n v="17157"/>
    <n v="28730"/>
    <n v="25949"/>
    <n v="23169"/>
    <n v="224659"/>
    <n v="0"/>
    <n v="0"/>
    <n v="0"/>
    <n v="0"/>
    <n v="0"/>
    <n v="0"/>
    <n v="0"/>
    <n v="0"/>
    <n v="0"/>
    <n v="0"/>
    <n v="0"/>
    <n v="0"/>
    <n v="0"/>
    <n v="0"/>
    <n v="0"/>
    <n v="0"/>
    <n v="0"/>
    <n v="0"/>
    <n v="0"/>
    <n v="0"/>
    <n v="0"/>
  </r>
  <r>
    <s v="AME25-066"/>
    <s v="V17"/>
    <s v="VAM"/>
    <d v="2026-06-01T00:00:00"/>
    <d v="2027-05-01T00:00:00"/>
    <x v="1"/>
    <x v="1"/>
    <x v="2"/>
    <n v="0"/>
    <n v="0"/>
    <n v="0"/>
    <n v="0"/>
    <n v="0"/>
    <m/>
    <n v="0"/>
    <n v="0"/>
    <n v="0"/>
    <n v="0"/>
    <n v="0"/>
    <n v="4038"/>
    <n v="12749"/>
    <n v="12309"/>
    <n v="12749"/>
    <n v="15081"/>
    <n v="13621"/>
    <n v="12162"/>
    <n v="82709"/>
    <n v="0"/>
    <n v="0"/>
    <n v="0"/>
    <n v="0"/>
    <n v="0"/>
    <n v="0"/>
    <n v="0"/>
    <n v="0"/>
    <n v="0"/>
    <n v="0"/>
    <n v="0"/>
    <n v="0"/>
    <n v="0"/>
    <n v="0"/>
    <n v="0"/>
    <n v="0"/>
    <b v="1"/>
    <n v="0"/>
    <n v="0"/>
    <n v="0"/>
    <n v="0"/>
    <n v="0"/>
    <n v="17378"/>
    <n v="13642"/>
    <n v="8383"/>
    <n v="12018"/>
    <n v="13941"/>
    <n v="13460"/>
    <n v="12749"/>
    <n v="12309"/>
    <n v="12749"/>
    <n v="15081"/>
    <n v="13621"/>
    <n v="12162"/>
    <n v="157493"/>
    <n v="0"/>
    <n v="0"/>
    <n v="0"/>
    <n v="0"/>
    <n v="0"/>
    <n v="0"/>
    <n v="0"/>
    <n v="0"/>
    <n v="0"/>
    <n v="0"/>
    <n v="0"/>
    <n v="0"/>
    <n v="0"/>
    <n v="0"/>
    <n v="0"/>
    <n v="0"/>
    <n v="0"/>
    <n v="0"/>
    <n v="0"/>
    <n v="0"/>
    <n v="0"/>
  </r>
  <r>
    <s v="AME25-066"/>
    <s v="V18"/>
    <s v="VAM"/>
    <d v="2026-06-01T00:00:00"/>
    <d v="2027-05-01T00:00:00"/>
    <x v="1"/>
    <x v="1"/>
    <x v="2"/>
    <n v="0"/>
    <n v="0"/>
    <n v="0"/>
    <n v="0"/>
    <n v="0"/>
    <m/>
    <n v="0"/>
    <n v="0"/>
    <n v="0"/>
    <n v="0"/>
    <n v="0"/>
    <n v="2781"/>
    <n v="8690"/>
    <n v="8391"/>
    <n v="8690"/>
    <n v="11062"/>
    <n v="9992"/>
    <n v="8921"/>
    <n v="58527"/>
    <n v="0"/>
    <n v="0"/>
    <n v="0"/>
    <n v="0"/>
    <n v="0"/>
    <n v="0"/>
    <n v="0"/>
    <n v="0"/>
    <n v="0"/>
    <n v="0"/>
    <n v="0"/>
    <n v="0"/>
    <n v="0"/>
    <n v="0"/>
    <n v="0"/>
    <n v="0"/>
    <b v="1"/>
    <n v="0"/>
    <n v="0"/>
    <n v="0"/>
    <n v="0"/>
    <n v="0"/>
    <n v="6319"/>
    <n v="7692"/>
    <n v="20120"/>
    <n v="8276"/>
    <n v="9601"/>
    <n v="9270"/>
    <n v="8690"/>
    <n v="8391"/>
    <n v="8690"/>
    <n v="11062"/>
    <n v="9992"/>
    <n v="8921"/>
    <n v="117024"/>
    <n v="0"/>
    <n v="0"/>
    <n v="0"/>
    <n v="0"/>
    <n v="0"/>
    <n v="0"/>
    <n v="0"/>
    <n v="0"/>
    <n v="0"/>
    <n v="0"/>
    <n v="0"/>
    <n v="0"/>
    <n v="0"/>
    <n v="0"/>
    <n v="0"/>
    <n v="0"/>
    <n v="0"/>
    <n v="0"/>
    <n v="0"/>
    <n v="0"/>
    <n v="0"/>
  </r>
  <r>
    <s v="AME25-066"/>
    <s v="V19"/>
    <s v="VAM"/>
    <d v="2026-06-01T00:00:00"/>
    <d v="2027-05-01T00:00:00"/>
    <x v="1"/>
    <x v="1"/>
    <x v="2"/>
    <n v="0"/>
    <n v="0"/>
    <n v="0"/>
    <n v="0"/>
    <n v="0"/>
    <m/>
    <n v="0"/>
    <n v="0"/>
    <n v="0"/>
    <n v="0"/>
    <n v="0"/>
    <n v="12741.3"/>
    <n v="43165"/>
    <n v="41676"/>
    <n v="43165"/>
    <n v="45242"/>
    <n v="40864"/>
    <n v="36486"/>
    <n v="263339.3"/>
    <n v="0"/>
    <n v="0"/>
    <n v="0"/>
    <n v="0"/>
    <n v="0"/>
    <n v="0"/>
    <n v="0"/>
    <n v="0"/>
    <n v="0"/>
    <n v="0"/>
    <n v="0"/>
    <n v="0"/>
    <n v="0"/>
    <n v="0"/>
    <n v="0"/>
    <n v="0"/>
    <b v="1"/>
    <n v="0"/>
    <n v="0"/>
    <n v="0"/>
    <n v="0"/>
    <n v="0"/>
    <n v="45815"/>
    <n v="35678"/>
    <n v="25150"/>
    <n v="37921"/>
    <n v="43988"/>
    <n v="42471"/>
    <n v="43165"/>
    <n v="41676"/>
    <n v="43165"/>
    <n v="45242"/>
    <n v="40864"/>
    <n v="36486"/>
    <n v="481621"/>
    <n v="0"/>
    <n v="0"/>
    <n v="0"/>
    <n v="0"/>
    <n v="0"/>
    <n v="0"/>
    <n v="0"/>
    <n v="0"/>
    <n v="0"/>
    <n v="0"/>
    <n v="0"/>
    <n v="0"/>
    <n v="0"/>
    <n v="0"/>
    <n v="0"/>
    <n v="0"/>
    <n v="0"/>
    <n v="0"/>
    <n v="0"/>
    <n v="0"/>
    <n v="0"/>
  </r>
  <r>
    <s v="AME25-066"/>
    <s v="V20"/>
    <s v="VAM"/>
    <d v="2026-06-01T00:00:00"/>
    <d v="2027-05-01T00:00:00"/>
    <x v="1"/>
    <x v="1"/>
    <x v="2"/>
    <n v="0"/>
    <n v="0"/>
    <n v="0"/>
    <n v="0"/>
    <n v="0"/>
    <m/>
    <n v="0"/>
    <n v="0"/>
    <n v="0"/>
    <n v="0"/>
    <n v="0"/>
    <n v="12652.5"/>
    <n v="42869"/>
    <n v="41391"/>
    <n v="42869"/>
    <n v="46245"/>
    <n v="41769"/>
    <n v="37294"/>
    <n v="265089.5"/>
    <n v="0"/>
    <n v="0"/>
    <n v="0"/>
    <n v="0"/>
    <n v="0"/>
    <n v="0"/>
    <n v="0"/>
    <n v="0"/>
    <n v="0"/>
    <n v="0"/>
    <n v="0"/>
    <n v="0"/>
    <n v="0"/>
    <n v="0"/>
    <n v="0"/>
    <n v="0"/>
    <b v="1"/>
    <n v="0"/>
    <n v="0"/>
    <n v="0"/>
    <n v="0"/>
    <n v="0"/>
    <n v="45815"/>
    <n v="31827"/>
    <n v="50854"/>
    <n v="37656"/>
    <n v="43681"/>
    <n v="42175"/>
    <n v="42869"/>
    <n v="41391"/>
    <n v="42869"/>
    <n v="46245"/>
    <n v="41769"/>
    <n v="37294"/>
    <n v="504445"/>
    <n v="0"/>
    <n v="0"/>
    <n v="0"/>
    <n v="0"/>
    <n v="0"/>
    <n v="0"/>
    <n v="0"/>
    <n v="0"/>
    <n v="0"/>
    <n v="0"/>
    <n v="0"/>
    <n v="0"/>
    <n v="0"/>
    <n v="0"/>
    <n v="0"/>
    <n v="0"/>
    <n v="0"/>
    <n v="0"/>
    <n v="0"/>
    <n v="0"/>
    <n v="0"/>
  </r>
  <r>
    <s v="AME25-066"/>
    <s v="V21"/>
    <s v="VAM"/>
    <d v="2026-06-01T00:00:00"/>
    <d v="2027-05-01T00:00:00"/>
    <x v="1"/>
    <x v="1"/>
    <x v="2"/>
    <n v="0"/>
    <n v="0"/>
    <n v="0"/>
    <n v="0"/>
    <n v="0"/>
    <m/>
    <n v="0"/>
    <n v="0"/>
    <n v="0"/>
    <n v="0"/>
    <n v="0"/>
    <n v="34815.9"/>
    <n v="118188"/>
    <n v="114113"/>
    <n v="118188"/>
    <n v="128693"/>
    <n v="116239"/>
    <n v="103785"/>
    <n v="734021.9"/>
    <n v="0"/>
    <n v="0"/>
    <n v="0"/>
    <n v="0"/>
    <n v="0"/>
    <n v="0"/>
    <n v="0"/>
    <n v="0"/>
    <n v="0"/>
    <n v="0"/>
    <n v="0"/>
    <n v="0"/>
    <n v="0"/>
    <n v="0"/>
    <n v="0"/>
    <n v="0"/>
    <b v="1"/>
    <n v="0"/>
    <n v="0"/>
    <n v="0"/>
    <n v="0"/>
    <n v="0"/>
    <n v="20538"/>
    <n v="119280"/>
    <n v="125751"/>
    <n v="103619"/>
    <n v="120198"/>
    <n v="116053"/>
    <n v="118188"/>
    <n v="114113"/>
    <n v="118188"/>
    <n v="128693"/>
    <n v="116239"/>
    <n v="103785"/>
    <n v="1304645"/>
    <n v="0"/>
    <n v="0"/>
    <n v="0"/>
    <n v="0"/>
    <n v="0"/>
    <n v="0"/>
    <n v="0"/>
    <n v="0"/>
    <n v="0"/>
    <n v="0"/>
    <n v="0"/>
    <n v="0"/>
    <n v="0"/>
    <n v="0"/>
    <n v="0"/>
    <n v="0"/>
    <n v="0"/>
    <n v="0"/>
    <n v="0"/>
    <n v="0"/>
    <n v="0"/>
  </r>
  <r>
    <s v="AME25-066"/>
    <s v="V22"/>
    <s v="VAM"/>
    <d v="2026-06-01T00:00:00"/>
    <d v="2027-05-01T00:00:00"/>
    <x v="1"/>
    <x v="1"/>
    <x v="2"/>
    <n v="0"/>
    <n v="0"/>
    <n v="0"/>
    <n v="0"/>
    <n v="0"/>
    <m/>
    <n v="0"/>
    <n v="0"/>
    <n v="0"/>
    <n v="0"/>
    <n v="0"/>
    <n v="34458"/>
    <n v="119639"/>
    <n v="115514"/>
    <n v="119639"/>
    <n v="126679"/>
    <n v="114420"/>
    <n v="102160"/>
    <n v="732509"/>
    <n v="0"/>
    <n v="0"/>
    <n v="0"/>
    <n v="0"/>
    <n v="0"/>
    <n v="0"/>
    <n v="0"/>
    <n v="0"/>
    <n v="0"/>
    <n v="0"/>
    <n v="0"/>
    <n v="0"/>
    <n v="0"/>
    <n v="0"/>
    <n v="0"/>
    <n v="0"/>
    <b v="1"/>
    <n v="0"/>
    <n v="0"/>
    <n v="0"/>
    <n v="0"/>
    <n v="0"/>
    <n v="153243"/>
    <n v="102836"/>
    <n v="134134"/>
    <n v="102553"/>
    <n v="118962"/>
    <n v="114860"/>
    <n v="119639"/>
    <n v="115514"/>
    <n v="119639"/>
    <n v="126679"/>
    <n v="114420"/>
    <n v="102160"/>
    <n v="1424639"/>
    <n v="0"/>
    <n v="0"/>
    <n v="0"/>
    <n v="0"/>
    <n v="0"/>
    <n v="0"/>
    <n v="0"/>
    <n v="0"/>
    <n v="0"/>
    <n v="0"/>
    <n v="0"/>
    <n v="0"/>
    <n v="0"/>
    <n v="0"/>
    <n v="0"/>
    <n v="0"/>
    <n v="0"/>
    <n v="0"/>
    <n v="0"/>
    <n v="0"/>
    <n v="0"/>
  </r>
  <r>
    <s v="AME25-066"/>
    <s v="V23"/>
    <s v="VAM"/>
    <d v="2026-06-01T00:00:00"/>
    <d v="2027-05-01T00:00:00"/>
    <x v="1"/>
    <x v="1"/>
    <x v="2"/>
    <n v="0"/>
    <n v="0"/>
    <n v="0"/>
    <n v="0"/>
    <n v="0"/>
    <m/>
    <n v="0"/>
    <n v="0"/>
    <n v="0"/>
    <n v="0"/>
    <n v="0"/>
    <n v="18216.899999999998"/>
    <n v="68071"/>
    <n v="65724"/>
    <n v="68071"/>
    <n v="71386"/>
    <n v="64477"/>
    <n v="57569"/>
    <n v="413514.9"/>
    <n v="0"/>
    <n v="0"/>
    <n v="0"/>
    <n v="0"/>
    <n v="0"/>
    <n v="0"/>
    <n v="0"/>
    <n v="0"/>
    <n v="0"/>
    <n v="0"/>
    <n v="0"/>
    <n v="0"/>
    <n v="0"/>
    <n v="0"/>
    <n v="0"/>
    <n v="0"/>
    <b v="1"/>
    <n v="0"/>
    <n v="0"/>
    <n v="0"/>
    <n v="0"/>
    <n v="0"/>
    <n v="123226"/>
    <n v="61209"/>
    <n v="67067"/>
    <n v="54217"/>
    <n v="62892"/>
    <n v="60723"/>
    <n v="68071"/>
    <n v="65724"/>
    <n v="68071"/>
    <n v="71386"/>
    <n v="64477"/>
    <n v="57569"/>
    <n v="824632"/>
    <n v="0"/>
    <n v="0"/>
    <n v="0"/>
    <n v="0"/>
    <n v="0"/>
    <n v="0"/>
    <n v="0"/>
    <n v="0"/>
    <n v="0"/>
    <n v="0"/>
    <n v="0"/>
    <n v="0"/>
    <n v="0"/>
    <n v="0"/>
    <n v="0"/>
    <n v="0"/>
    <n v="0"/>
    <n v="0"/>
    <n v="0"/>
    <n v="0"/>
    <n v="0"/>
  </r>
  <r>
    <s v="AME25-066"/>
    <s v="V24"/>
    <s v="VAM"/>
    <d v="2026-06-01T00:00:00"/>
    <d v="2027-05-01T00:00:00"/>
    <x v="1"/>
    <x v="1"/>
    <x v="2"/>
    <n v="0"/>
    <n v="0"/>
    <n v="0"/>
    <n v="0"/>
    <n v="0"/>
    <m/>
    <n v="0"/>
    <n v="0"/>
    <n v="0"/>
    <n v="0"/>
    <n v="0"/>
    <n v="19471.5"/>
    <n v="66046"/>
    <n v="63769"/>
    <n v="66046"/>
    <n v="69372"/>
    <n v="62658"/>
    <n v="55945"/>
    <n v="403307.5"/>
    <n v="0"/>
    <n v="0"/>
    <n v="0"/>
    <n v="0"/>
    <n v="0"/>
    <n v="0"/>
    <n v="0"/>
    <n v="0"/>
    <n v="0"/>
    <n v="0"/>
    <n v="0"/>
    <n v="0"/>
    <n v="0"/>
    <n v="0"/>
    <n v="0"/>
    <n v="0"/>
    <b v="1"/>
    <n v="0"/>
    <n v="0"/>
    <n v="0"/>
    <n v="0"/>
    <n v="0"/>
    <n v="69512"/>
    <n v="65060"/>
    <n v="58684"/>
    <n v="57951"/>
    <n v="67223"/>
    <n v="64905"/>
    <n v="66046"/>
    <n v="63769"/>
    <n v="66046"/>
    <n v="69372"/>
    <n v="62658"/>
    <n v="55945"/>
    <n v="767171"/>
    <n v="0"/>
    <n v="0"/>
    <n v="0"/>
    <n v="0"/>
    <n v="0"/>
    <n v="0"/>
    <n v="0"/>
    <n v="0"/>
    <n v="0"/>
    <n v="0"/>
    <n v="0"/>
    <n v="0"/>
    <n v="0"/>
    <n v="0"/>
    <n v="0"/>
    <n v="0"/>
    <n v="0"/>
    <n v="0"/>
    <n v="0"/>
    <n v="0"/>
    <n v="0"/>
  </r>
  <r>
    <s v="AME25-066"/>
    <s v="V25"/>
    <s v="VAM"/>
    <d v="2026-06-01T00:00:00"/>
    <d v="2027-05-01T00:00:00"/>
    <x v="1"/>
    <x v="1"/>
    <x v="2"/>
    <n v="0"/>
    <n v="0"/>
    <n v="0"/>
    <n v="0"/>
    <n v="0"/>
    <m/>
    <n v="0"/>
    <n v="0"/>
    <n v="0"/>
    <n v="0"/>
    <n v="0"/>
    <n v="6372"/>
    <n v="22882"/>
    <n v="22093"/>
    <n v="22882"/>
    <n v="23127"/>
    <n v="20889"/>
    <n v="18651"/>
    <n v="136896"/>
    <n v="0"/>
    <n v="0"/>
    <n v="0"/>
    <n v="0"/>
    <n v="0"/>
    <n v="0"/>
    <n v="0"/>
    <n v="0"/>
    <n v="0"/>
    <n v="0"/>
    <n v="0"/>
    <n v="0"/>
    <n v="0"/>
    <n v="0"/>
    <n v="0"/>
    <n v="0"/>
    <b v="1"/>
    <n v="0"/>
    <n v="0"/>
    <n v="0"/>
    <n v="0"/>
    <n v="0"/>
    <n v="0"/>
    <n v="18185"/>
    <n v="11737"/>
    <n v="18964"/>
    <n v="21999"/>
    <n v="21240"/>
    <n v="22882"/>
    <n v="22093"/>
    <n v="22882"/>
    <n v="23127"/>
    <n v="20889"/>
    <n v="18651"/>
    <n v="222649"/>
    <n v="0"/>
    <n v="0"/>
    <n v="0"/>
    <n v="0"/>
    <n v="0"/>
    <n v="0"/>
    <n v="0"/>
    <n v="0"/>
    <n v="0"/>
    <n v="0"/>
    <n v="0"/>
    <n v="0"/>
    <n v="0"/>
    <n v="0"/>
    <n v="0"/>
    <n v="0"/>
    <n v="0"/>
    <n v="0"/>
    <n v="0"/>
    <n v="0"/>
    <n v="0"/>
  </r>
  <r>
    <s v="AME25-066"/>
    <s v="V26"/>
    <s v="VAM"/>
    <d v="2026-06-01T00:00:00"/>
    <d v="2027-05-01T00:00:00"/>
    <x v="1"/>
    <x v="1"/>
    <x v="2"/>
    <n v="0"/>
    <n v="0"/>
    <n v="0"/>
    <n v="0"/>
    <n v="0"/>
    <m/>
    <n v="0"/>
    <n v="0"/>
    <n v="0"/>
    <n v="0"/>
    <n v="0"/>
    <n v="5653.2"/>
    <n v="19701"/>
    <n v="19022"/>
    <n v="19701"/>
    <n v="21113"/>
    <n v="19070"/>
    <n v="17027"/>
    <n v="121287.2"/>
    <n v="0"/>
    <n v="0"/>
    <n v="0"/>
    <n v="0"/>
    <n v="0"/>
    <n v="0"/>
    <n v="0"/>
    <n v="0"/>
    <n v="0"/>
    <n v="0"/>
    <n v="0"/>
    <n v="0"/>
    <n v="0"/>
    <n v="0"/>
    <n v="0"/>
    <n v="0"/>
    <b v="1"/>
    <n v="0"/>
    <n v="0"/>
    <n v="0"/>
    <n v="0"/>
    <n v="0"/>
    <n v="4739"/>
    <n v="12592"/>
    <n v="20120"/>
    <n v="16825"/>
    <n v="19517"/>
    <n v="18844"/>
    <n v="19701"/>
    <n v="19022"/>
    <n v="19701"/>
    <n v="21113"/>
    <n v="19070"/>
    <n v="17027"/>
    <n v="208271"/>
    <n v="0"/>
    <n v="0"/>
    <n v="0"/>
    <n v="0"/>
    <n v="0"/>
    <n v="0"/>
    <n v="0"/>
    <n v="0"/>
    <n v="0"/>
    <n v="0"/>
    <n v="0"/>
    <n v="0"/>
    <n v="0"/>
    <n v="0"/>
    <n v="0"/>
    <n v="0"/>
    <n v="0"/>
    <n v="0"/>
    <n v="0"/>
    <n v="0"/>
    <n v="0"/>
  </r>
  <r>
    <s v="AME25-095"/>
    <s v="R24"/>
    <s v="REC"/>
    <d v="2026-10-01T00:00:00"/>
    <d v="2027-09-01T00:00:00"/>
    <x v="1"/>
    <x v="1"/>
    <x v="73"/>
    <n v="0"/>
    <n v="0"/>
    <n v="0"/>
    <n v="0"/>
    <n v="0"/>
    <m/>
    <n v="0"/>
    <n v="0"/>
    <n v="0"/>
    <n v="0"/>
    <n v="0"/>
    <n v="0"/>
    <n v="0"/>
    <n v="0"/>
    <n v="0"/>
    <n v="5564.7"/>
    <n v="16020"/>
    <n v="14174"/>
    <n v="35758.699999999997"/>
    <n v="0"/>
    <n v="0"/>
    <n v="0"/>
    <n v="0"/>
    <n v="0"/>
    <n v="0"/>
    <n v="0"/>
    <n v="0"/>
    <n v="0"/>
    <n v="0"/>
    <n v="0"/>
    <n v="0"/>
    <n v="0"/>
    <n v="0"/>
    <n v="0"/>
    <n v="0"/>
    <b v="1"/>
    <n v="0"/>
    <n v="0"/>
    <n v="0"/>
    <n v="0"/>
    <n v="0"/>
    <n v="19548"/>
    <n v="20941"/>
    <n v="30747"/>
    <n v="23484"/>
    <n v="22497"/>
    <n v="19429"/>
    <n v="22343"/>
    <n v="17486"/>
    <n v="17706"/>
    <n v="18549"/>
    <n v="16020"/>
    <n v="14174"/>
    <n v="242924"/>
    <n v="0"/>
    <n v="0"/>
    <n v="0"/>
    <n v="0"/>
    <n v="0"/>
    <n v="0"/>
    <n v="0"/>
    <n v="0"/>
    <n v="0"/>
    <n v="0"/>
    <n v="0"/>
    <n v="0"/>
    <n v="0"/>
    <n v="0"/>
    <n v="0"/>
    <n v="0"/>
    <n v="0"/>
    <n v="0"/>
    <n v="0"/>
    <n v="0"/>
    <n v="0"/>
  </r>
  <r>
    <s v="AME25-095"/>
    <s v="R25"/>
    <s v="REC"/>
    <d v="2026-10-01T00:00:00"/>
    <d v="2027-09-01T00:00:00"/>
    <x v="1"/>
    <x v="1"/>
    <x v="73"/>
    <m/>
    <m/>
    <m/>
    <m/>
    <n v="0"/>
    <m/>
    <n v="0"/>
    <n v="0"/>
    <n v="0"/>
    <n v="0"/>
    <n v="0"/>
    <n v="0"/>
    <n v="0"/>
    <n v="0"/>
    <n v="0"/>
    <n v="6051.9"/>
    <n v="17422"/>
    <n v="15415"/>
    <n v="38888.9"/>
    <n v="0"/>
    <n v="0"/>
    <n v="0"/>
    <n v="0"/>
    <n v="0"/>
    <n v="0"/>
    <n v="0"/>
    <n v="0"/>
    <n v="0"/>
    <n v="0"/>
    <n v="0"/>
    <n v="0"/>
    <n v="0"/>
    <n v="0"/>
    <n v="0"/>
    <n v="0"/>
    <b v="1"/>
    <n v="0"/>
    <n v="0"/>
    <n v="0"/>
    <n v="0"/>
    <n v="0"/>
    <n v="0"/>
    <n v="0"/>
    <n v="26687"/>
    <n v="23041"/>
    <n v="22189"/>
    <n v="21130"/>
    <n v="24299"/>
    <n v="19017"/>
    <n v="19256"/>
    <n v="20173"/>
    <n v="17422"/>
    <n v="15415"/>
    <n v="208629"/>
    <n v="0"/>
    <n v="0"/>
    <n v="0"/>
    <n v="0"/>
    <n v="0"/>
    <n v="0"/>
    <n v="0"/>
    <n v="0"/>
    <n v="0"/>
    <n v="0"/>
    <n v="0"/>
    <n v="0"/>
    <n v="0"/>
    <n v="0"/>
    <n v="0"/>
    <n v="0"/>
    <n v="0"/>
    <n v="0"/>
    <n v="0"/>
    <n v="0"/>
    <n v="0"/>
  </r>
  <r>
    <s v="AME25-095"/>
    <s v="R26"/>
    <s v="REC"/>
    <d v="2026-10-01T00:00:00"/>
    <d v="2027-09-01T00:00:00"/>
    <x v="1"/>
    <x v="1"/>
    <x v="73"/>
    <m/>
    <m/>
    <m/>
    <m/>
    <n v="0"/>
    <m/>
    <n v="0"/>
    <n v="0"/>
    <n v="0"/>
    <n v="0"/>
    <n v="0"/>
    <n v="0"/>
    <n v="0"/>
    <n v="0"/>
    <n v="0"/>
    <n v="32290.199999999997"/>
    <n v="92957"/>
    <n v="82249"/>
    <n v="207496.2"/>
    <n v="0"/>
    <n v="0"/>
    <n v="0"/>
    <n v="0"/>
    <n v="0"/>
    <n v="0"/>
    <n v="0"/>
    <n v="0"/>
    <n v="0"/>
    <n v="0"/>
    <n v="0"/>
    <n v="0"/>
    <n v="0"/>
    <n v="0"/>
    <n v="0"/>
    <n v="0"/>
    <b v="1"/>
    <n v="0"/>
    <n v="0"/>
    <n v="0"/>
    <n v="0"/>
    <n v="0"/>
    <n v="79817"/>
    <n v="103996"/>
    <n v="153736"/>
    <n v="120615"/>
    <n v="120946"/>
    <n v="112739"/>
    <n v="129650"/>
    <n v="101466"/>
    <n v="102742"/>
    <n v="107634"/>
    <n v="92957"/>
    <n v="82249"/>
    <n v="1308547"/>
    <n v="0"/>
    <n v="0"/>
    <n v="0"/>
    <n v="0"/>
    <n v="0"/>
    <n v="0"/>
    <n v="0"/>
    <n v="0"/>
    <n v="0"/>
    <n v="0"/>
    <n v="0"/>
    <n v="0"/>
    <n v="0"/>
    <n v="0"/>
    <n v="0"/>
    <n v="0"/>
    <n v="0"/>
    <n v="0"/>
    <n v="0"/>
    <n v="0"/>
    <n v="0"/>
  </r>
  <r>
    <s v="AME25-095"/>
    <s v="R27"/>
    <s v="REC"/>
    <d v="2026-10-01T00:00:00"/>
    <d v="2027-09-01T00:00:00"/>
    <x v="1"/>
    <x v="1"/>
    <x v="73"/>
    <m/>
    <m/>
    <m/>
    <m/>
    <n v="0"/>
    <m/>
    <n v="0"/>
    <n v="0"/>
    <n v="0"/>
    <n v="0"/>
    <n v="0"/>
    <n v="0"/>
    <n v="0"/>
    <n v="0"/>
    <n v="0"/>
    <n v="29955.899999999998"/>
    <n v="86237"/>
    <n v="76303"/>
    <n v="192495.9"/>
    <n v="0"/>
    <n v="0"/>
    <n v="0"/>
    <n v="0"/>
    <n v="0"/>
    <n v="0"/>
    <n v="0"/>
    <n v="0"/>
    <n v="0"/>
    <n v="0"/>
    <n v="0"/>
    <n v="0"/>
    <n v="0"/>
    <n v="0"/>
    <n v="0"/>
    <n v="0"/>
    <b v="1"/>
    <n v="0"/>
    <n v="0"/>
    <n v="0"/>
    <n v="0"/>
    <n v="0"/>
    <n v="68858"/>
    <n v="102471"/>
    <n v="146159"/>
    <n v="113672"/>
    <n v="112764"/>
    <n v="104589"/>
    <n v="120278"/>
    <n v="94130"/>
    <n v="95314"/>
    <n v="99853"/>
    <n v="86237"/>
    <n v="76303"/>
    <n v="1220628"/>
    <n v="0"/>
    <n v="0"/>
    <n v="0"/>
    <n v="0"/>
    <n v="0"/>
    <n v="0"/>
    <n v="0"/>
    <n v="0"/>
    <n v="0"/>
    <n v="0"/>
    <n v="0"/>
    <n v="0"/>
    <n v="0"/>
    <n v="0"/>
    <n v="0"/>
    <n v="0"/>
    <n v="0"/>
    <n v="0"/>
    <n v="0"/>
    <n v="0"/>
    <n v="0"/>
  </r>
  <r>
    <s v="AME25-095"/>
    <s v="R28"/>
    <s v="REC"/>
    <d v="2026-10-01T00:00:00"/>
    <d v="2027-09-01T00:00:00"/>
    <x v="1"/>
    <x v="1"/>
    <x v="73"/>
    <m/>
    <m/>
    <m/>
    <m/>
    <n v="0"/>
    <m/>
    <n v="0"/>
    <n v="0"/>
    <n v="0"/>
    <n v="0"/>
    <n v="0"/>
    <n v="0"/>
    <n v="0"/>
    <n v="0"/>
    <n v="0"/>
    <n v="103883.09999999999"/>
    <n v="299057"/>
    <n v="264608"/>
    <n v="667548.1"/>
    <n v="0"/>
    <n v="0"/>
    <n v="0"/>
    <n v="0"/>
    <n v="0"/>
    <n v="0"/>
    <n v="0"/>
    <n v="0"/>
    <n v="0"/>
    <n v="0"/>
    <n v="0"/>
    <n v="0"/>
    <n v="0"/>
    <n v="0"/>
    <n v="0"/>
    <n v="0"/>
    <b v="1"/>
    <n v="0"/>
    <n v="0"/>
    <n v="0"/>
    <n v="0"/>
    <n v="0"/>
    <n v="306959"/>
    <n v="332127"/>
    <n v="484943"/>
    <n v="376646"/>
    <n v="394596"/>
    <n v="362701"/>
    <n v="417106"/>
    <n v="326431"/>
    <n v="330537"/>
    <n v="346277"/>
    <n v="299057"/>
    <n v="264608"/>
    <n v="4241988"/>
    <n v="0"/>
    <n v="0"/>
    <n v="0"/>
    <n v="0"/>
    <n v="0"/>
    <n v="0"/>
    <n v="0"/>
    <n v="0"/>
    <n v="0"/>
    <n v="0"/>
    <n v="0"/>
    <n v="0"/>
    <n v="0"/>
    <n v="0"/>
    <n v="0"/>
    <n v="0"/>
    <n v="0"/>
    <n v="0"/>
    <n v="0"/>
    <n v="0"/>
    <n v="0"/>
  </r>
  <r>
    <s v="AME25-095"/>
    <s v="R29"/>
    <s v="REC"/>
    <d v="2026-10-01T00:00:00"/>
    <d v="2027-09-01T00:00:00"/>
    <x v="1"/>
    <x v="1"/>
    <x v="73"/>
    <m/>
    <m/>
    <m/>
    <m/>
    <n v="0"/>
    <m/>
    <n v="0"/>
    <n v="0"/>
    <n v="0"/>
    <n v="0"/>
    <n v="0"/>
    <n v="0"/>
    <n v="0"/>
    <n v="0"/>
    <n v="0"/>
    <n v="105050.09999999999"/>
    <n v="302417"/>
    <n v="267581"/>
    <n v="675048.1"/>
    <n v="0"/>
    <n v="0"/>
    <n v="0"/>
    <n v="0"/>
    <n v="0"/>
    <n v="0"/>
    <n v="0"/>
    <n v="0"/>
    <n v="0"/>
    <n v="0"/>
    <n v="0"/>
    <n v="0"/>
    <n v="0"/>
    <n v="0"/>
    <n v="0"/>
    <n v="0"/>
    <b v="1"/>
    <n v="0"/>
    <n v="0"/>
    <n v="0"/>
    <n v="0"/>
    <n v="0"/>
    <n v="291978"/>
    <n v="332413"/>
    <n v="475398"/>
    <n v="374653"/>
    <n v="381298"/>
    <n v="366776"/>
    <n v="421793"/>
    <n v="330099"/>
    <n v="334251"/>
    <n v="350167"/>
    <n v="302417"/>
    <n v="267581"/>
    <n v="4228824"/>
    <n v="0"/>
    <n v="0"/>
    <n v="0"/>
    <n v="0"/>
    <n v="0"/>
    <n v="0"/>
    <n v="0"/>
    <n v="0"/>
    <n v="0"/>
    <n v="0"/>
    <n v="0"/>
    <n v="0"/>
    <n v="0"/>
    <n v="0"/>
    <n v="0"/>
    <n v="0"/>
    <n v="0"/>
    <n v="0"/>
    <n v="0"/>
    <n v="0"/>
    <n v="0"/>
  </r>
  <r>
    <s v="AME25-095"/>
    <s v="R30"/>
    <s v="REC"/>
    <d v="2026-10-01T00:00:00"/>
    <d v="2027-09-01T00:00:00"/>
    <x v="1"/>
    <x v="1"/>
    <x v="73"/>
    <m/>
    <m/>
    <m/>
    <m/>
    <n v="0"/>
    <m/>
    <n v="0"/>
    <n v="0"/>
    <n v="0"/>
    <n v="0"/>
    <n v="0"/>
    <n v="0"/>
    <n v="0"/>
    <n v="0"/>
    <n v="0"/>
    <n v="43401.299999999996"/>
    <n v="124943"/>
    <n v="110551"/>
    <n v="278895.3"/>
    <n v="0"/>
    <n v="0"/>
    <n v="0"/>
    <n v="0"/>
    <n v="0"/>
    <n v="0"/>
    <n v="0"/>
    <n v="0"/>
    <n v="0"/>
    <n v="0"/>
    <n v="0"/>
    <n v="0"/>
    <n v="0"/>
    <n v="0"/>
    <n v="0"/>
    <n v="0"/>
    <b v="1"/>
    <n v="0"/>
    <n v="0"/>
    <n v="0"/>
    <n v="0"/>
    <n v="0"/>
    <n v="120781"/>
    <n v="138916"/>
    <n v="199406"/>
    <n v="156971"/>
    <n v="149545"/>
    <n v="151533"/>
    <n v="174263"/>
    <n v="136380"/>
    <n v="138095"/>
    <n v="144671"/>
    <n v="124943"/>
    <n v="110551"/>
    <n v="1746055"/>
    <n v="0"/>
    <n v="0"/>
    <n v="0"/>
    <n v="0"/>
    <n v="0"/>
    <n v="0"/>
    <n v="0"/>
    <n v="0"/>
    <n v="0"/>
    <n v="0"/>
    <n v="0"/>
    <n v="0"/>
    <n v="0"/>
    <n v="0"/>
    <n v="0"/>
    <n v="0"/>
    <n v="0"/>
    <n v="0"/>
    <n v="0"/>
    <n v="0"/>
    <n v="0"/>
  </r>
  <r>
    <s v="AME25-095"/>
    <s v="R31"/>
    <s v="REC"/>
    <d v="2026-10-01T00:00:00"/>
    <d v="2027-09-01T00:00:00"/>
    <x v="1"/>
    <x v="1"/>
    <x v="73"/>
    <m/>
    <m/>
    <m/>
    <m/>
    <n v="0"/>
    <m/>
    <n v="0"/>
    <n v="0"/>
    <n v="0"/>
    <n v="0"/>
    <n v="0"/>
    <n v="0"/>
    <n v="0"/>
    <n v="0"/>
    <n v="0"/>
    <n v="42197.4"/>
    <n v="121478"/>
    <n v="107484"/>
    <n v="271159.40000000002"/>
    <n v="0"/>
    <n v="0"/>
    <n v="0"/>
    <n v="0"/>
    <n v="0"/>
    <n v="0"/>
    <n v="0"/>
    <n v="0"/>
    <n v="0"/>
    <n v="0"/>
    <n v="0"/>
    <n v="0"/>
    <n v="0"/>
    <n v="0"/>
    <n v="0"/>
    <n v="0"/>
    <b v="1"/>
    <n v="0"/>
    <n v="0"/>
    <n v="0"/>
    <n v="0"/>
    <n v="0"/>
    <n v="124961"/>
    <n v="132227"/>
    <n v="197167"/>
    <n v="153223"/>
    <n v="149099"/>
    <n v="147330"/>
    <n v="169429"/>
    <n v="132597"/>
    <n v="134265"/>
    <n v="140658"/>
    <n v="121478"/>
    <n v="107484"/>
    <n v="1709918"/>
    <n v="0"/>
    <n v="0"/>
    <n v="0"/>
    <n v="0"/>
    <n v="0"/>
    <n v="0"/>
    <n v="0"/>
    <n v="0"/>
    <n v="0"/>
    <n v="0"/>
    <n v="0"/>
    <n v="0"/>
    <n v="0"/>
    <n v="0"/>
    <n v="0"/>
    <n v="0"/>
    <n v="0"/>
    <n v="0"/>
    <n v="0"/>
    <n v="0"/>
    <n v="0"/>
  </r>
  <r>
    <s v="AME25-095"/>
    <s v="R32"/>
    <s v="REC"/>
    <d v="2026-10-01T00:00:00"/>
    <d v="2027-09-01T00:00:00"/>
    <x v="1"/>
    <x v="1"/>
    <x v="73"/>
    <m/>
    <m/>
    <m/>
    <m/>
    <n v="0"/>
    <m/>
    <n v="0"/>
    <n v="0"/>
    <n v="0"/>
    <n v="0"/>
    <n v="0"/>
    <n v="0"/>
    <n v="0"/>
    <n v="0"/>
    <n v="0"/>
    <n v="6970.8"/>
    <n v="20068"/>
    <n v="17756"/>
    <n v="44794.8"/>
    <n v="0"/>
    <n v="0"/>
    <n v="0"/>
    <n v="0"/>
    <n v="0"/>
    <n v="0"/>
    <n v="0"/>
    <n v="0"/>
    <n v="0"/>
    <n v="0"/>
    <n v="0"/>
    <n v="0"/>
    <n v="0"/>
    <n v="0"/>
    <n v="0"/>
    <n v="0"/>
    <b v="1"/>
    <n v="0"/>
    <n v="0"/>
    <n v="0"/>
    <n v="0"/>
    <n v="0"/>
    <n v="21588"/>
    <n v="25233"/>
    <n v="41903"/>
    <n v="27200"/>
    <n v="27089"/>
    <n v="24338"/>
    <n v="27989"/>
    <n v="21905"/>
    <n v="22180"/>
    <n v="23236"/>
    <n v="20068"/>
    <n v="17756"/>
    <n v="300485"/>
    <n v="0"/>
    <n v="0"/>
    <n v="0"/>
    <n v="0"/>
    <n v="0"/>
    <n v="0"/>
    <n v="0"/>
    <n v="0"/>
    <n v="0"/>
    <n v="0"/>
    <n v="0"/>
    <n v="0"/>
    <n v="0"/>
    <n v="0"/>
    <n v="0"/>
    <n v="0"/>
    <n v="0"/>
    <n v="0"/>
    <n v="0"/>
    <n v="0"/>
    <n v="0"/>
  </r>
  <r>
    <s v="AME25-095"/>
    <s v="R33"/>
    <s v="REC"/>
    <d v="2026-10-01T00:00:00"/>
    <d v="2027-09-01T00:00:00"/>
    <x v="1"/>
    <x v="1"/>
    <x v="73"/>
    <m/>
    <m/>
    <m/>
    <m/>
    <n v="0"/>
    <m/>
    <n v="0"/>
    <n v="0"/>
    <n v="0"/>
    <n v="0"/>
    <n v="0"/>
    <n v="0"/>
    <n v="0"/>
    <n v="0"/>
    <n v="0"/>
    <n v="7113.3"/>
    <n v="20478"/>
    <n v="18119"/>
    <n v="45710.3"/>
    <n v="0"/>
    <n v="0"/>
    <n v="0"/>
    <n v="0"/>
    <n v="0"/>
    <n v="0"/>
    <n v="0"/>
    <n v="0"/>
    <n v="0"/>
    <n v="0"/>
    <n v="0"/>
    <n v="0"/>
    <n v="0"/>
    <n v="0"/>
    <n v="0"/>
    <n v="0"/>
    <b v="1"/>
    <n v="0"/>
    <n v="0"/>
    <n v="0"/>
    <n v="0"/>
    <n v="0"/>
    <n v="22493"/>
    <n v="24865"/>
    <n v="38554"/>
    <n v="27627"/>
    <n v="25533"/>
    <n v="24836"/>
    <n v="28561"/>
    <n v="22352"/>
    <n v="22633"/>
    <n v="23711"/>
    <n v="20478"/>
    <n v="18119"/>
    <n v="299762"/>
    <n v="0"/>
    <n v="0"/>
    <n v="0"/>
    <n v="0"/>
    <n v="0"/>
    <n v="0"/>
    <n v="0"/>
    <n v="0"/>
    <n v="0"/>
    <n v="0"/>
    <n v="0"/>
    <n v="0"/>
    <n v="0"/>
    <n v="0"/>
    <n v="0"/>
    <n v="0"/>
    <n v="0"/>
    <n v="0"/>
    <n v="0"/>
    <n v="0"/>
    <n v="0"/>
  </r>
  <r>
    <s v="AME25-095"/>
    <s v="R34"/>
    <s v="REC"/>
    <d v="2026-10-01T00:00:00"/>
    <d v="2027-09-01T00:00:00"/>
    <x v="1"/>
    <x v="1"/>
    <x v="73"/>
    <m/>
    <m/>
    <m/>
    <m/>
    <n v="0"/>
    <m/>
    <n v="0"/>
    <n v="0"/>
    <n v="0"/>
    <n v="0"/>
    <n v="0"/>
    <n v="0"/>
    <n v="0"/>
    <n v="0"/>
    <n v="0"/>
    <n v="1406.1"/>
    <n v="4048"/>
    <n v="3582"/>
    <n v="9036.1"/>
    <n v="0"/>
    <n v="0"/>
    <n v="0"/>
    <n v="0"/>
    <n v="0"/>
    <n v="0"/>
    <n v="0"/>
    <n v="0"/>
    <n v="0"/>
    <n v="0"/>
    <n v="0"/>
    <n v="0"/>
    <n v="0"/>
    <n v="0"/>
    <n v="0"/>
    <n v="0"/>
    <b v="1"/>
    <n v="0"/>
    <n v="0"/>
    <n v="0"/>
    <n v="0"/>
    <n v="0"/>
    <n v="5587"/>
    <n v="6267"/>
    <n v="9670"/>
    <n v="7765"/>
    <n v="4130"/>
    <n v="4909"/>
    <n v="5646"/>
    <n v="4418"/>
    <n v="4474"/>
    <n v="4687"/>
    <n v="4048"/>
    <n v="3582"/>
    <n v="65183"/>
    <n v="0"/>
    <n v="0"/>
    <n v="0"/>
    <n v="0"/>
    <n v="0"/>
    <n v="0"/>
    <n v="0"/>
    <n v="0"/>
    <n v="0"/>
    <n v="0"/>
    <n v="0"/>
    <n v="0"/>
    <n v="0"/>
    <n v="0"/>
    <n v="0"/>
    <n v="0"/>
    <n v="0"/>
    <n v="0"/>
    <n v="0"/>
    <n v="0"/>
    <n v="0"/>
  </r>
  <r>
    <s v="AME25-095"/>
    <s v="R35"/>
    <s v="REC"/>
    <d v="2026-10-01T00:00:00"/>
    <d v="2027-09-01T00:00:00"/>
    <x v="1"/>
    <x v="1"/>
    <x v="73"/>
    <m/>
    <m/>
    <m/>
    <m/>
    <n v="0"/>
    <m/>
    <n v="0"/>
    <n v="0"/>
    <n v="0"/>
    <n v="0"/>
    <n v="0"/>
    <n v="0"/>
    <n v="0"/>
    <n v="0"/>
    <n v="0"/>
    <n v="1318.8"/>
    <n v="3797"/>
    <n v="3359"/>
    <n v="8474.7999999999993"/>
    <n v="0"/>
    <n v="0"/>
    <n v="0"/>
    <n v="0"/>
    <n v="0"/>
    <n v="0"/>
    <n v="0"/>
    <n v="0"/>
    <n v="0"/>
    <n v="0"/>
    <n v="0"/>
    <n v="0"/>
    <n v="0"/>
    <n v="0"/>
    <n v="0"/>
    <n v="0"/>
    <b v="1"/>
    <n v="0"/>
    <n v="0"/>
    <n v="0"/>
    <n v="0"/>
    <n v="0"/>
    <n v="5429"/>
    <n v="6322"/>
    <n v="8540"/>
    <n v="7306"/>
    <n v="4114"/>
    <n v="4605"/>
    <n v="5295"/>
    <n v="4144"/>
    <n v="4196"/>
    <n v="4396"/>
    <n v="3797"/>
    <n v="3359"/>
    <n v="61503"/>
    <n v="0"/>
    <n v="0"/>
    <n v="0"/>
    <n v="0"/>
    <n v="0"/>
    <n v="0"/>
    <n v="0"/>
    <n v="0"/>
    <n v="0"/>
    <n v="0"/>
    <n v="0"/>
    <n v="0"/>
    <n v="0"/>
    <n v="0"/>
    <n v="0"/>
    <n v="0"/>
    <n v="0"/>
    <n v="0"/>
    <n v="0"/>
    <n v="0"/>
    <n v="0"/>
  </r>
  <r>
    <s v="AME25-095"/>
    <s v="R36"/>
    <s v="REC"/>
    <d v="2026-10-01T00:00:00"/>
    <d v="2027-09-01T00:00:00"/>
    <x v="1"/>
    <x v="1"/>
    <x v="73"/>
    <m/>
    <m/>
    <m/>
    <m/>
    <n v="0"/>
    <m/>
    <n v="0"/>
    <n v="0"/>
    <n v="0"/>
    <n v="0"/>
    <n v="0"/>
    <n v="0"/>
    <n v="0"/>
    <n v="0"/>
    <n v="0"/>
    <n v="4792.8"/>
    <n v="13797"/>
    <n v="12208"/>
    <n v="30797.8"/>
    <n v="0"/>
    <n v="0"/>
    <n v="0"/>
    <n v="0"/>
    <n v="0"/>
    <n v="0"/>
    <n v="0"/>
    <n v="0"/>
    <n v="0"/>
    <n v="0"/>
    <n v="0"/>
    <n v="0"/>
    <n v="0"/>
    <n v="0"/>
    <n v="0"/>
    <n v="0"/>
    <b v="1"/>
    <n v="0"/>
    <n v="0"/>
    <n v="0"/>
    <n v="0"/>
    <n v="0"/>
    <n v="18601"/>
    <n v="17399"/>
    <n v="27733"/>
    <n v="16542"/>
    <n v="17089"/>
    <n v="16734"/>
    <n v="19244"/>
    <n v="15060"/>
    <n v="15250"/>
    <n v="15976"/>
    <n v="13797"/>
    <n v="12208"/>
    <n v="205633"/>
    <n v="0"/>
    <n v="0"/>
    <n v="0"/>
    <n v="0"/>
    <n v="0"/>
    <n v="0"/>
    <n v="0"/>
    <n v="0"/>
    <n v="0"/>
    <n v="0"/>
    <n v="0"/>
    <n v="0"/>
    <n v="0"/>
    <n v="0"/>
    <n v="0"/>
    <n v="0"/>
    <n v="0"/>
    <n v="0"/>
    <n v="0"/>
    <n v="0"/>
    <n v="0"/>
  </r>
  <r>
    <s v="AME25-095"/>
    <s v="R37"/>
    <s v="REC"/>
    <d v="2026-10-01T00:00:00"/>
    <d v="2027-09-01T00:00:00"/>
    <x v="1"/>
    <x v="1"/>
    <x v="73"/>
    <m/>
    <m/>
    <m/>
    <m/>
    <n v="0"/>
    <m/>
    <n v="0"/>
    <n v="0"/>
    <n v="0"/>
    <n v="0"/>
    <n v="0"/>
    <n v="0"/>
    <n v="0"/>
    <n v="0"/>
    <n v="0"/>
    <n v="4632"/>
    <n v="13334"/>
    <n v="11798"/>
    <n v="29764"/>
    <n v="0"/>
    <n v="0"/>
    <n v="0"/>
    <n v="0"/>
    <n v="0"/>
    <n v="0"/>
    <n v="0"/>
    <n v="0"/>
    <n v="0"/>
    <n v="0"/>
    <n v="0"/>
    <n v="0"/>
    <n v="0"/>
    <n v="0"/>
    <n v="0"/>
    <n v="0"/>
    <b v="1"/>
    <n v="0"/>
    <n v="0"/>
    <n v="0"/>
    <n v="0"/>
    <n v="0"/>
    <n v="20152"/>
    <n v="20096"/>
    <n v="27440"/>
    <n v="16526"/>
    <n v="16950"/>
    <n v="16172"/>
    <n v="18598"/>
    <n v="14555"/>
    <n v="14738"/>
    <n v="15440"/>
    <n v="13334"/>
    <n v="11798"/>
    <n v="205799"/>
    <n v="0"/>
    <n v="0"/>
    <n v="0"/>
    <n v="0"/>
    <n v="0"/>
    <n v="0"/>
    <n v="0"/>
    <n v="0"/>
    <n v="0"/>
    <n v="0"/>
    <n v="0"/>
    <n v="0"/>
    <n v="0"/>
    <n v="0"/>
    <n v="0"/>
    <n v="0"/>
    <n v="0"/>
    <n v="0"/>
    <n v="0"/>
    <n v="0"/>
    <n v="0"/>
  </r>
  <r>
    <s v="AME25-095"/>
    <s v="R38"/>
    <s v="REC"/>
    <d v="2026-10-01T00:00:00"/>
    <d v="2027-09-01T00:00:00"/>
    <x v="1"/>
    <x v="1"/>
    <x v="73"/>
    <m/>
    <m/>
    <m/>
    <m/>
    <n v="0"/>
    <m/>
    <n v="0"/>
    <n v="0"/>
    <n v="0"/>
    <n v="0"/>
    <n v="0"/>
    <n v="0"/>
    <n v="0"/>
    <n v="0"/>
    <n v="0"/>
    <n v="17374.2"/>
    <n v="50017"/>
    <n v="44255"/>
    <n v="111646.2"/>
    <n v="0"/>
    <n v="0"/>
    <n v="0"/>
    <n v="0"/>
    <n v="0"/>
    <n v="0"/>
    <n v="0"/>
    <n v="0"/>
    <n v="0"/>
    <n v="0"/>
    <n v="0"/>
    <n v="0"/>
    <n v="0"/>
    <n v="0"/>
    <n v="0"/>
    <n v="0"/>
    <b v="1"/>
    <n v="0"/>
    <n v="0"/>
    <n v="0"/>
    <n v="0"/>
    <n v="0"/>
    <n v="60412"/>
    <n v="58681"/>
    <n v="86632"/>
    <n v="61311"/>
    <n v="61868"/>
    <n v="60661"/>
    <n v="69761"/>
    <n v="54595"/>
    <n v="55282"/>
    <n v="57914"/>
    <n v="50017"/>
    <n v="44255"/>
    <n v="721389"/>
    <n v="0"/>
    <n v="0"/>
    <n v="0"/>
    <n v="0"/>
    <n v="0"/>
    <n v="0"/>
    <n v="0"/>
    <n v="0"/>
    <n v="0"/>
    <n v="0"/>
    <n v="0"/>
    <n v="0"/>
    <n v="0"/>
    <n v="0"/>
    <n v="0"/>
    <n v="0"/>
    <n v="0"/>
    <n v="0"/>
    <n v="0"/>
    <n v="0"/>
    <n v="0"/>
  </r>
  <r>
    <s v="AME25-095"/>
    <s v="R39"/>
    <s v="REC"/>
    <d v="2026-10-01T00:00:00"/>
    <d v="2027-09-01T00:00:00"/>
    <x v="1"/>
    <x v="1"/>
    <x v="73"/>
    <m/>
    <m/>
    <m/>
    <m/>
    <n v="0"/>
    <m/>
    <n v="0"/>
    <n v="0"/>
    <n v="0"/>
    <n v="0"/>
    <n v="0"/>
    <n v="0"/>
    <n v="0"/>
    <n v="0"/>
    <n v="0"/>
    <n v="17323.8"/>
    <n v="49872"/>
    <n v="44127"/>
    <n v="111322.8"/>
    <n v="0"/>
    <n v="0"/>
    <n v="0"/>
    <n v="0"/>
    <n v="0"/>
    <n v="0"/>
    <n v="0"/>
    <n v="0"/>
    <n v="0"/>
    <n v="0"/>
    <n v="0"/>
    <n v="0"/>
    <n v="0"/>
    <n v="0"/>
    <n v="0"/>
    <n v="0"/>
    <b v="1"/>
    <n v="0"/>
    <n v="0"/>
    <n v="0"/>
    <n v="0"/>
    <n v="0"/>
    <n v="64118"/>
    <n v="64254"/>
    <n v="88181"/>
    <n v="62134"/>
    <n v="64164"/>
    <n v="60485"/>
    <n v="69558"/>
    <n v="54436"/>
    <n v="55121"/>
    <n v="57746"/>
    <n v="49872"/>
    <n v="44127"/>
    <n v="734196"/>
    <n v="0"/>
    <n v="0"/>
    <n v="0"/>
    <n v="0"/>
    <n v="0"/>
    <n v="0"/>
    <n v="0"/>
    <n v="0"/>
    <n v="0"/>
    <n v="0"/>
    <n v="0"/>
    <n v="0"/>
    <n v="0"/>
    <n v="0"/>
    <n v="0"/>
    <n v="0"/>
    <n v="0"/>
    <n v="0"/>
    <n v="0"/>
    <n v="0"/>
    <n v="0"/>
  </r>
  <r>
    <s v="AME25-095"/>
    <s v="R40"/>
    <s v="REC"/>
    <d v="2026-10-01T00:00:00"/>
    <d v="2027-09-01T00:00:00"/>
    <x v="1"/>
    <x v="1"/>
    <x v="73"/>
    <m/>
    <m/>
    <m/>
    <m/>
    <n v="0"/>
    <m/>
    <n v="0"/>
    <n v="0"/>
    <n v="0"/>
    <n v="0"/>
    <n v="0"/>
    <n v="0"/>
    <n v="0"/>
    <n v="0"/>
    <n v="0"/>
    <n v="9438.6"/>
    <n v="27171"/>
    <n v="24041"/>
    <n v="60650.6"/>
    <n v="0"/>
    <n v="0"/>
    <n v="0"/>
    <n v="0"/>
    <n v="0"/>
    <n v="0"/>
    <n v="0"/>
    <n v="0"/>
    <n v="0"/>
    <n v="0"/>
    <n v="0"/>
    <n v="0"/>
    <n v="0"/>
    <n v="0"/>
    <n v="0"/>
    <n v="0"/>
    <b v="1"/>
    <n v="0"/>
    <n v="0"/>
    <n v="0"/>
    <n v="0"/>
    <n v="0"/>
    <n v="29933"/>
    <n v="31405"/>
    <n v="49794"/>
    <n v="33463"/>
    <n v="33715"/>
    <n v="32954"/>
    <n v="37897"/>
    <n v="29658"/>
    <n v="30032"/>
    <n v="31462"/>
    <n v="27171"/>
    <n v="24041"/>
    <n v="391525"/>
    <n v="0"/>
    <n v="0"/>
    <n v="0"/>
    <n v="0"/>
    <n v="0"/>
    <n v="0"/>
    <n v="0"/>
    <n v="0"/>
    <n v="0"/>
    <n v="0"/>
    <n v="0"/>
    <n v="0"/>
    <n v="0"/>
    <n v="0"/>
    <n v="0"/>
    <n v="0"/>
    <n v="0"/>
    <n v="0"/>
    <n v="0"/>
    <n v="0"/>
    <n v="0"/>
  </r>
  <r>
    <s v="AME25-095"/>
    <s v="R41"/>
    <s v="REC"/>
    <d v="2026-10-01T00:00:00"/>
    <d v="2027-09-01T00:00:00"/>
    <x v="1"/>
    <x v="1"/>
    <x v="73"/>
    <m/>
    <m/>
    <m/>
    <m/>
    <n v="0"/>
    <m/>
    <n v="0"/>
    <n v="0"/>
    <n v="0"/>
    <n v="0"/>
    <n v="0"/>
    <n v="0"/>
    <n v="0"/>
    <n v="0"/>
    <n v="0"/>
    <n v="9663.6"/>
    <n v="27820"/>
    <n v="24615"/>
    <n v="62098.6"/>
    <n v="0"/>
    <n v="0"/>
    <n v="0"/>
    <n v="0"/>
    <n v="0"/>
    <n v="0"/>
    <n v="0"/>
    <n v="0"/>
    <n v="0"/>
    <n v="0"/>
    <n v="0"/>
    <n v="0"/>
    <n v="0"/>
    <n v="0"/>
    <n v="0"/>
    <n v="0"/>
    <b v="1"/>
    <n v="0"/>
    <n v="0"/>
    <n v="0"/>
    <n v="0"/>
    <n v="0"/>
    <n v="31025"/>
    <n v="31405"/>
    <n v="47952"/>
    <n v="33874"/>
    <n v="34331"/>
    <n v="33740"/>
    <n v="38801"/>
    <n v="30366"/>
    <n v="30748"/>
    <n v="32212"/>
    <n v="27820"/>
    <n v="24615"/>
    <n v="396889"/>
    <n v="0"/>
    <n v="0"/>
    <n v="0"/>
    <n v="0"/>
    <n v="0"/>
    <n v="0"/>
    <n v="0"/>
    <n v="0"/>
    <n v="0"/>
    <n v="0"/>
    <n v="0"/>
    <n v="0"/>
    <n v="0"/>
    <n v="0"/>
    <n v="0"/>
    <n v="0"/>
    <n v="0"/>
    <n v="0"/>
    <n v="0"/>
    <n v="0"/>
    <n v="0"/>
  </r>
  <r>
    <s v="AME25-095"/>
    <s v="R42"/>
    <s v="REC"/>
    <d v="2026-10-01T00:00:00"/>
    <d v="2027-09-01T00:00:00"/>
    <x v="1"/>
    <x v="1"/>
    <x v="73"/>
    <m/>
    <m/>
    <m/>
    <m/>
    <n v="0"/>
    <m/>
    <n v="0"/>
    <n v="0"/>
    <n v="0"/>
    <n v="0"/>
    <n v="0"/>
    <n v="0"/>
    <n v="0"/>
    <n v="0"/>
    <n v="0"/>
    <n v="2302.1999999999998"/>
    <n v="6627"/>
    <n v="5864"/>
    <n v="14793.2"/>
    <n v="0"/>
    <n v="0"/>
    <n v="0"/>
    <n v="0"/>
    <n v="0"/>
    <n v="0"/>
    <n v="0"/>
    <n v="0"/>
    <n v="0"/>
    <n v="0"/>
    <n v="0"/>
    <n v="0"/>
    <n v="0"/>
    <n v="0"/>
    <n v="0"/>
    <n v="0"/>
    <b v="1"/>
    <n v="0"/>
    <n v="0"/>
    <n v="0"/>
    <n v="0"/>
    <n v="0"/>
    <n v="8187"/>
    <n v="9088"/>
    <n v="15175"/>
    <n v="10374"/>
    <n v="9677"/>
    <n v="8038"/>
    <n v="9244"/>
    <n v="7234"/>
    <n v="7325"/>
    <n v="7674"/>
    <n v="6627"/>
    <n v="5864"/>
    <n v="104507"/>
    <n v="0"/>
    <n v="0"/>
    <n v="0"/>
    <n v="0"/>
    <n v="0"/>
    <n v="0"/>
    <n v="0"/>
    <n v="0"/>
    <n v="0"/>
    <n v="0"/>
    <n v="0"/>
    <n v="0"/>
    <n v="0"/>
    <n v="0"/>
    <n v="0"/>
    <n v="0"/>
    <n v="0"/>
    <n v="0"/>
    <n v="0"/>
    <n v="0"/>
    <n v="0"/>
  </r>
  <r>
    <s v="AME25-095"/>
    <s v="R43"/>
    <s v="REC"/>
    <d v="2026-10-01T00:00:00"/>
    <d v="2027-09-01T00:00:00"/>
    <x v="1"/>
    <x v="1"/>
    <x v="73"/>
    <m/>
    <m/>
    <m/>
    <m/>
    <n v="0"/>
    <m/>
    <n v="0"/>
    <n v="0"/>
    <n v="0"/>
    <n v="0"/>
    <n v="0"/>
    <n v="0"/>
    <n v="0"/>
    <n v="0"/>
    <n v="0"/>
    <n v="2720.4"/>
    <n v="7831"/>
    <n v="6929"/>
    <n v="17480.400000000001"/>
    <n v="0"/>
    <n v="0"/>
    <n v="0"/>
    <n v="0"/>
    <n v="0"/>
    <n v="0"/>
    <n v="0"/>
    <n v="0"/>
    <n v="0"/>
    <n v="0"/>
    <n v="0"/>
    <n v="0"/>
    <n v="0"/>
    <n v="0"/>
    <n v="0"/>
    <n v="0"/>
    <b v="1"/>
    <n v="0"/>
    <n v="0"/>
    <n v="0"/>
    <n v="0"/>
    <n v="0"/>
    <n v="12022"/>
    <n v="10436"/>
    <n v="15238"/>
    <n v="10690"/>
    <n v="10139"/>
    <n v="9498"/>
    <n v="10923"/>
    <n v="8548"/>
    <n v="8656"/>
    <n v="9068"/>
    <n v="7831"/>
    <n v="6929"/>
    <n v="119978"/>
    <n v="0"/>
    <n v="0"/>
    <n v="0"/>
    <n v="0"/>
    <n v="0"/>
    <n v="0"/>
    <n v="0"/>
    <n v="0"/>
    <n v="0"/>
    <n v="0"/>
    <n v="0"/>
    <n v="0"/>
    <n v="0"/>
    <n v="0"/>
    <n v="0"/>
    <n v="0"/>
    <n v="0"/>
    <n v="0"/>
    <n v="0"/>
    <n v="0"/>
    <n v="0"/>
  </r>
  <r>
    <s v="AME25-068"/>
    <s v="V7"/>
    <s v="VAM"/>
    <d v="2026-09-01T00:00:00"/>
    <d v="2027-08-01T00:00:00"/>
    <x v="3"/>
    <x v="0"/>
    <x v="48"/>
    <m/>
    <m/>
    <m/>
    <m/>
    <n v="0"/>
    <m/>
    <n v="0"/>
    <n v="0"/>
    <n v="0"/>
    <n v="0"/>
    <n v="0"/>
    <n v="0"/>
    <n v="0"/>
    <n v="0"/>
    <n v="16608.2"/>
    <n v="24983"/>
    <n v="22565"/>
    <n v="20148"/>
    <n v="84304.2"/>
    <n v="0"/>
    <n v="0"/>
    <n v="0"/>
    <n v="0"/>
    <n v="0"/>
    <n v="0"/>
    <n v="0"/>
    <n v="0"/>
    <n v="0"/>
    <n v="0"/>
    <n v="0"/>
    <n v="0"/>
    <n v="0"/>
    <n v="0"/>
    <n v="0"/>
    <n v="0"/>
    <b v="1"/>
    <n v="0"/>
    <n v="0"/>
    <n v="0"/>
    <n v="0"/>
    <n v="0"/>
    <n v="0"/>
    <n v="33412"/>
    <n v="0"/>
    <n v="15689"/>
    <n v="18199"/>
    <n v="17572"/>
    <n v="23726"/>
    <n v="22908"/>
    <n v="23726"/>
    <n v="24983"/>
    <n v="22565"/>
    <n v="20148"/>
    <n v="222928"/>
    <n v="0"/>
    <n v="0"/>
    <n v="0"/>
    <n v="0"/>
    <n v="0"/>
    <n v="0"/>
    <n v="0"/>
    <n v="0"/>
    <n v="0"/>
    <n v="0"/>
    <n v="0"/>
    <n v="0"/>
    <n v="0"/>
    <n v="0"/>
    <n v="0"/>
    <n v="0"/>
    <n v="0"/>
    <n v="0"/>
    <n v="0"/>
    <n v="0"/>
    <n v="0"/>
  </r>
  <r>
    <s v="AME25-068"/>
    <s v="V8"/>
    <s v="VAM"/>
    <d v="2026-09-01T00:00:00"/>
    <d v="2027-08-01T00:00:00"/>
    <x v="3"/>
    <x v="0"/>
    <x v="48"/>
    <m/>
    <m/>
    <m/>
    <m/>
    <n v="0"/>
    <m/>
    <n v="0"/>
    <n v="0"/>
    <n v="0"/>
    <n v="0"/>
    <n v="0"/>
    <n v="0"/>
    <n v="0"/>
    <n v="0"/>
    <n v="12516"/>
    <n v="8739"/>
    <n v="7893"/>
    <n v="7047"/>
    <n v="36195"/>
    <n v="0"/>
    <n v="0"/>
    <n v="0"/>
    <n v="0"/>
    <n v="0"/>
    <n v="0"/>
    <n v="0"/>
    <n v="0"/>
    <n v="0"/>
    <n v="0"/>
    <n v="0"/>
    <n v="0"/>
    <n v="0"/>
    <n v="0"/>
    <n v="0"/>
    <n v="0"/>
    <b v="1"/>
    <n v="0"/>
    <n v="0"/>
    <n v="0"/>
    <n v="0"/>
    <n v="0"/>
    <n v="0"/>
    <n v="8127"/>
    <n v="0"/>
    <n v="13412"/>
    <n v="15558"/>
    <n v="15022"/>
    <n v="17880"/>
    <n v="17263"/>
    <n v="17880"/>
    <n v="8739"/>
    <n v="7893"/>
    <n v="7047"/>
    <n v="128821"/>
    <n v="0"/>
    <n v="0"/>
    <n v="0"/>
    <n v="0"/>
    <n v="0"/>
    <n v="0"/>
    <n v="0"/>
    <n v="0"/>
    <n v="0"/>
    <n v="0"/>
    <n v="0"/>
    <n v="0"/>
    <n v="0"/>
    <n v="0"/>
    <n v="0"/>
    <n v="0"/>
    <n v="0"/>
    <n v="0"/>
    <n v="0"/>
    <n v="0"/>
    <n v="0"/>
  </r>
  <r>
    <s v="AME25-068"/>
    <s v="V9"/>
    <s v="VAM"/>
    <d v="2026-09-01T00:00:00"/>
    <d v="2027-08-01T00:00:00"/>
    <x v="3"/>
    <x v="0"/>
    <x v="48"/>
    <m/>
    <m/>
    <m/>
    <m/>
    <n v="0"/>
    <m/>
    <n v="0"/>
    <n v="0"/>
    <n v="0"/>
    <n v="0"/>
    <n v="0"/>
    <n v="0"/>
    <n v="0"/>
    <n v="0"/>
    <n v="57994.999999999993"/>
    <n v="89636"/>
    <n v="80962"/>
    <n v="72287"/>
    <n v="300880"/>
    <n v="0"/>
    <n v="0"/>
    <n v="0"/>
    <n v="0"/>
    <n v="0"/>
    <n v="0"/>
    <n v="0"/>
    <n v="0"/>
    <n v="0"/>
    <n v="0"/>
    <n v="0"/>
    <n v="0"/>
    <n v="0"/>
    <n v="0"/>
    <n v="0"/>
    <n v="0"/>
    <b v="1"/>
    <n v="0"/>
    <n v="0"/>
    <n v="0"/>
    <n v="0"/>
    <n v="0"/>
    <n v="92359"/>
    <n v="73146"/>
    <n v="33673"/>
    <n v="69903"/>
    <n v="81087"/>
    <n v="78291"/>
    <n v="82850"/>
    <n v="79993"/>
    <n v="82850"/>
    <n v="89636"/>
    <n v="80962"/>
    <n v="72287"/>
    <n v="917037"/>
    <n v="0"/>
    <n v="0"/>
    <n v="0"/>
    <n v="0"/>
    <n v="0"/>
    <n v="0"/>
    <n v="0"/>
    <n v="0"/>
    <n v="0"/>
    <n v="0"/>
    <n v="0"/>
    <n v="0"/>
    <n v="0"/>
    <n v="0"/>
    <n v="0"/>
    <n v="0"/>
    <n v="0"/>
    <n v="0"/>
    <n v="0"/>
    <n v="0"/>
    <n v="0"/>
  </r>
  <r>
    <s v="AME25-068"/>
    <s v="V10"/>
    <s v="VAM"/>
    <d v="2026-09-01T00:00:00"/>
    <d v="2027-08-01T00:00:00"/>
    <x v="3"/>
    <x v="0"/>
    <x v="48"/>
    <m/>
    <m/>
    <m/>
    <m/>
    <n v="0"/>
    <m/>
    <n v="0"/>
    <n v="0"/>
    <n v="0"/>
    <n v="0"/>
    <n v="0"/>
    <n v="0"/>
    <n v="0"/>
    <n v="0"/>
    <n v="54929.7"/>
    <n v="84644"/>
    <n v="76453"/>
    <n v="68262"/>
    <n v="284288.7"/>
    <n v="0"/>
    <n v="0"/>
    <n v="0"/>
    <n v="0"/>
    <n v="0"/>
    <n v="0"/>
    <n v="0"/>
    <n v="0"/>
    <n v="0"/>
    <n v="0"/>
    <n v="0"/>
    <n v="0"/>
    <n v="0"/>
    <n v="0"/>
    <n v="0"/>
    <n v="0"/>
    <b v="1"/>
    <n v="0"/>
    <n v="0"/>
    <n v="0"/>
    <n v="0"/>
    <n v="0"/>
    <n v="52278"/>
    <n v="65922"/>
    <n v="150797"/>
    <n v="67044"/>
    <n v="77771"/>
    <n v="75090"/>
    <n v="78471"/>
    <n v="75765"/>
    <n v="78471"/>
    <n v="84644"/>
    <n v="76453"/>
    <n v="68262"/>
    <n v="950968"/>
    <n v="0"/>
    <n v="0"/>
    <n v="0"/>
    <n v="0"/>
    <n v="0"/>
    <n v="0"/>
    <n v="0"/>
    <n v="0"/>
    <n v="0"/>
    <n v="0"/>
    <n v="0"/>
    <n v="0"/>
    <n v="0"/>
    <n v="0"/>
    <n v="0"/>
    <n v="0"/>
    <n v="0"/>
    <n v="0"/>
    <n v="0"/>
    <n v="0"/>
    <n v="0"/>
  </r>
  <r>
    <s v="AME25-068"/>
    <s v="V11"/>
    <s v="VAM"/>
    <d v="2026-09-01T00:00:00"/>
    <d v="2027-08-01T00:00:00"/>
    <x v="3"/>
    <x v="0"/>
    <x v="48"/>
    <m/>
    <m/>
    <m/>
    <m/>
    <n v="0"/>
    <m/>
    <n v="0"/>
    <n v="0"/>
    <n v="0"/>
    <n v="0"/>
    <n v="0"/>
    <n v="0"/>
    <n v="0"/>
    <n v="0"/>
    <n v="105000"/>
    <n v="160250"/>
    <n v="144742"/>
    <n v="129234"/>
    <n v="539226"/>
    <n v="0"/>
    <n v="0"/>
    <n v="0"/>
    <n v="0"/>
    <n v="0"/>
    <n v="0"/>
    <n v="0"/>
    <n v="0"/>
    <n v="0"/>
    <n v="0"/>
    <n v="0"/>
    <n v="0"/>
    <n v="0"/>
    <n v="0"/>
    <n v="0"/>
    <n v="0"/>
    <b v="1"/>
    <n v="0"/>
    <n v="0"/>
    <n v="0"/>
    <n v="0"/>
    <n v="0"/>
    <n v="169905"/>
    <n v="97528"/>
    <n v="178614"/>
    <n v="136091"/>
    <n v="157866"/>
    <n v="152422"/>
    <n v="150000"/>
    <n v="144828"/>
    <n v="150000"/>
    <n v="160250"/>
    <n v="144742"/>
    <n v="129234"/>
    <n v="1771480"/>
    <n v="0"/>
    <n v="0"/>
    <n v="0"/>
    <n v="0"/>
    <n v="0"/>
    <n v="0"/>
    <n v="0"/>
    <n v="0"/>
    <n v="0"/>
    <n v="0"/>
    <n v="0"/>
    <n v="0"/>
    <n v="0"/>
    <n v="0"/>
    <n v="0"/>
    <n v="0"/>
    <n v="0"/>
    <n v="0"/>
    <n v="0"/>
    <n v="0"/>
    <n v="0"/>
  </r>
  <r>
    <s v="AME25-068"/>
    <s v="V12"/>
    <s v="VAM"/>
    <d v="2026-09-01T00:00:00"/>
    <d v="2027-08-01T00:00:00"/>
    <x v="3"/>
    <x v="0"/>
    <x v="48"/>
    <m/>
    <m/>
    <m/>
    <m/>
    <n v="0"/>
    <m/>
    <n v="0"/>
    <n v="0"/>
    <n v="0"/>
    <n v="0"/>
    <n v="0"/>
    <n v="0"/>
    <n v="0"/>
    <n v="0"/>
    <n v="103214.29999999999"/>
    <n v="157749"/>
    <n v="142483"/>
    <n v="127217"/>
    <n v="530663.30000000005"/>
    <n v="0"/>
    <n v="0"/>
    <n v="0"/>
    <n v="0"/>
    <n v="0"/>
    <n v="0"/>
    <n v="0"/>
    <n v="0"/>
    <n v="0"/>
    <n v="0"/>
    <n v="0"/>
    <n v="0"/>
    <n v="0"/>
    <n v="0"/>
    <n v="0"/>
    <n v="0"/>
    <b v="1"/>
    <n v="0"/>
    <n v="0"/>
    <n v="0"/>
    <n v="0"/>
    <n v="0"/>
    <n v="139409"/>
    <n v="155323"/>
    <n v="224000"/>
    <n v="134379"/>
    <n v="155880"/>
    <n v="150505"/>
    <n v="147449"/>
    <n v="142364"/>
    <n v="147449"/>
    <n v="157749"/>
    <n v="142483"/>
    <n v="127217"/>
    <n v="1824207"/>
    <n v="0"/>
    <n v="0"/>
    <n v="0"/>
    <n v="0"/>
    <n v="0"/>
    <n v="0"/>
    <n v="0"/>
    <n v="0"/>
    <n v="0"/>
    <n v="0"/>
    <n v="0"/>
    <n v="0"/>
    <n v="0"/>
    <n v="0"/>
    <n v="0"/>
    <n v="0"/>
    <n v="0"/>
    <n v="0"/>
    <n v="0"/>
    <n v="0"/>
    <n v="0"/>
  </r>
  <r>
    <s v="AME25-068"/>
    <s v="V13"/>
    <s v="VAM"/>
    <d v="2026-09-01T00:00:00"/>
    <d v="2027-08-01T00:00:00"/>
    <x v="3"/>
    <x v="0"/>
    <x v="48"/>
    <m/>
    <m/>
    <m/>
    <m/>
    <n v="0"/>
    <m/>
    <n v="0"/>
    <n v="0"/>
    <n v="0"/>
    <n v="0"/>
    <n v="0"/>
    <n v="0"/>
    <n v="0"/>
    <n v="0"/>
    <n v="55435.1"/>
    <n v="84644"/>
    <n v="76453"/>
    <n v="68262"/>
    <n v="284794.09999999998"/>
    <n v="0"/>
    <n v="0"/>
    <n v="0"/>
    <n v="0"/>
    <n v="0"/>
    <n v="0"/>
    <n v="0"/>
    <n v="0"/>
    <n v="0"/>
    <n v="0"/>
    <n v="0"/>
    <n v="0"/>
    <n v="0"/>
    <n v="0"/>
    <n v="0"/>
    <n v="0"/>
    <b v="1"/>
    <n v="0"/>
    <n v="0"/>
    <n v="0"/>
    <n v="0"/>
    <n v="0"/>
    <n v="78418"/>
    <n v="51473"/>
    <n v="67346"/>
    <n v="67044"/>
    <n v="77771"/>
    <n v="75090"/>
    <n v="79193"/>
    <n v="76463"/>
    <n v="79193"/>
    <n v="84644"/>
    <n v="76453"/>
    <n v="68262"/>
    <n v="881350"/>
    <n v="0"/>
    <n v="0"/>
    <n v="0"/>
    <n v="0"/>
    <n v="0"/>
    <n v="0"/>
    <n v="0"/>
    <n v="0"/>
    <n v="0"/>
    <n v="0"/>
    <n v="0"/>
    <n v="0"/>
    <n v="0"/>
    <n v="0"/>
    <n v="0"/>
    <n v="0"/>
    <n v="0"/>
    <n v="0"/>
    <n v="0"/>
    <n v="0"/>
    <n v="0"/>
  </r>
  <r>
    <s v="AME25-068"/>
    <s v="V14"/>
    <s v="VAM"/>
    <d v="2026-09-01T00:00:00"/>
    <d v="2027-08-01T00:00:00"/>
    <x v="3"/>
    <x v="0"/>
    <x v="48"/>
    <m/>
    <m/>
    <m/>
    <m/>
    <n v="0"/>
    <m/>
    <n v="0"/>
    <n v="0"/>
    <n v="0"/>
    <n v="0"/>
    <n v="0"/>
    <n v="0"/>
    <n v="0"/>
    <n v="0"/>
    <n v="54163.199999999997"/>
    <n v="83388"/>
    <n v="75318"/>
    <n v="67248"/>
    <n v="280117.2"/>
    <n v="0"/>
    <n v="0"/>
    <n v="0"/>
    <n v="0"/>
    <n v="0"/>
    <n v="0"/>
    <n v="0"/>
    <n v="0"/>
    <n v="0"/>
    <n v="0"/>
    <n v="0"/>
    <n v="0"/>
    <n v="0"/>
    <n v="0"/>
    <n v="0"/>
    <n v="0"/>
    <b v="1"/>
    <n v="0"/>
    <n v="0"/>
    <n v="0"/>
    <n v="0"/>
    <n v="0"/>
    <n v="90616"/>
    <n v="113783"/>
    <n v="0"/>
    <n v="65623"/>
    <n v="76123"/>
    <n v="73498"/>
    <n v="77376"/>
    <n v="74708"/>
    <n v="77376"/>
    <n v="83388"/>
    <n v="75318"/>
    <n v="67248"/>
    <n v="875057"/>
    <n v="0"/>
    <n v="0"/>
    <n v="0"/>
    <n v="0"/>
    <n v="0"/>
    <n v="0"/>
    <n v="0"/>
    <n v="0"/>
    <n v="0"/>
    <n v="0"/>
    <n v="0"/>
    <n v="0"/>
    <n v="0"/>
    <n v="0"/>
    <n v="0"/>
    <n v="0"/>
    <n v="0"/>
    <n v="0"/>
    <n v="0"/>
    <n v="0"/>
    <n v="0"/>
  </r>
  <r>
    <s v="AME25-068"/>
    <s v="V15"/>
    <s v="VAM"/>
    <d v="2026-09-01T00:00:00"/>
    <d v="2027-08-01T00:00:00"/>
    <x v="3"/>
    <x v="0"/>
    <x v="48"/>
    <m/>
    <m/>
    <m/>
    <m/>
    <n v="0"/>
    <m/>
    <n v="0"/>
    <n v="0"/>
    <n v="0"/>
    <n v="0"/>
    <n v="0"/>
    <n v="0"/>
    <n v="0"/>
    <n v="0"/>
    <n v="15328.599999999999"/>
    <n v="21236"/>
    <n v="19181"/>
    <n v="17126"/>
    <n v="72871.600000000006"/>
    <n v="0"/>
    <n v="0"/>
    <n v="0"/>
    <n v="0"/>
    <n v="0"/>
    <n v="0"/>
    <n v="0"/>
    <n v="0"/>
    <n v="0"/>
    <n v="0"/>
    <n v="0"/>
    <n v="0"/>
    <n v="0"/>
    <n v="0"/>
    <n v="0"/>
    <n v="0"/>
    <b v="1"/>
    <n v="0"/>
    <n v="0"/>
    <n v="0"/>
    <n v="0"/>
    <n v="0"/>
    <n v="13070"/>
    <n v="5418"/>
    <n v="8784"/>
    <n v="14551"/>
    <n v="16879"/>
    <n v="16297"/>
    <n v="21898"/>
    <n v="21143"/>
    <n v="21898"/>
    <n v="21236"/>
    <n v="19181"/>
    <n v="17126"/>
    <n v="197481"/>
    <n v="0"/>
    <n v="0"/>
    <n v="0"/>
    <n v="0"/>
    <n v="0"/>
    <n v="0"/>
    <n v="0"/>
    <n v="0"/>
    <n v="0"/>
    <n v="0"/>
    <n v="0"/>
    <n v="0"/>
    <n v="0"/>
    <n v="0"/>
    <n v="0"/>
    <n v="0"/>
    <n v="0"/>
    <n v="0"/>
    <n v="0"/>
    <n v="0"/>
    <n v="0"/>
  </r>
  <r>
    <s v="AME25-068"/>
    <s v="V16"/>
    <s v="VAM"/>
    <d v="2026-09-01T00:00:00"/>
    <d v="2027-08-01T00:00:00"/>
    <x v="3"/>
    <x v="0"/>
    <x v="48"/>
    <m/>
    <m/>
    <m/>
    <m/>
    <n v="0"/>
    <m/>
    <n v="0"/>
    <n v="0"/>
    <n v="0"/>
    <n v="0"/>
    <n v="0"/>
    <n v="0"/>
    <n v="0"/>
    <n v="0"/>
    <n v="12009.9"/>
    <n v="28730"/>
    <n v="25949"/>
    <n v="23169"/>
    <n v="89857.9"/>
    <n v="0"/>
    <n v="0"/>
    <n v="0"/>
    <n v="0"/>
    <n v="0"/>
    <n v="0"/>
    <n v="0"/>
    <n v="0"/>
    <n v="0"/>
    <n v="0"/>
    <n v="0"/>
    <n v="0"/>
    <n v="0"/>
    <n v="0"/>
    <n v="0"/>
    <n v="0"/>
    <b v="1"/>
    <n v="0"/>
    <n v="0"/>
    <n v="0"/>
    <n v="0"/>
    <n v="0"/>
    <n v="13941"/>
    <n v="19867"/>
    <n v="8784"/>
    <n v="16262"/>
    <n v="18864"/>
    <n v="18214"/>
    <n v="17157"/>
    <n v="16565"/>
    <n v="17157"/>
    <n v="28730"/>
    <n v="25949"/>
    <n v="23169"/>
    <n v="224659"/>
    <n v="0"/>
    <n v="0"/>
    <n v="0"/>
    <n v="0"/>
    <n v="0"/>
    <n v="0"/>
    <n v="0"/>
    <n v="0"/>
    <n v="0"/>
    <n v="0"/>
    <n v="0"/>
    <n v="0"/>
    <n v="0"/>
    <n v="0"/>
    <n v="0"/>
    <n v="0"/>
    <n v="0"/>
    <n v="0"/>
    <n v="0"/>
    <n v="0"/>
    <n v="0"/>
  </r>
  <r>
    <s v="AME25-068"/>
    <s v="V17"/>
    <s v="VAM"/>
    <d v="2026-09-01T00:00:00"/>
    <d v="2027-08-01T00:00:00"/>
    <x v="3"/>
    <x v="0"/>
    <x v="48"/>
    <m/>
    <m/>
    <m/>
    <m/>
    <n v="0"/>
    <m/>
    <n v="0"/>
    <n v="0"/>
    <n v="0"/>
    <n v="0"/>
    <n v="0"/>
    <n v="0"/>
    <n v="0"/>
    <n v="0"/>
    <n v="8924.2999999999993"/>
    <n v="15081"/>
    <n v="13621"/>
    <n v="12162"/>
    <n v="49788.3"/>
    <n v="0"/>
    <n v="0"/>
    <n v="0"/>
    <n v="0"/>
    <n v="0"/>
    <n v="0"/>
    <n v="0"/>
    <n v="0"/>
    <n v="0"/>
    <n v="0"/>
    <n v="0"/>
    <n v="0"/>
    <n v="0"/>
    <n v="0"/>
    <n v="0"/>
    <n v="0"/>
    <b v="1"/>
    <n v="0"/>
    <n v="0"/>
    <n v="0"/>
    <n v="0"/>
    <n v="0"/>
    <n v="17378"/>
    <n v="13642"/>
    <n v="8383"/>
    <n v="12018"/>
    <n v="13941"/>
    <n v="13460"/>
    <n v="12749"/>
    <n v="12309"/>
    <n v="12749"/>
    <n v="15081"/>
    <n v="13621"/>
    <n v="12162"/>
    <n v="157493"/>
    <n v="0"/>
    <n v="0"/>
    <n v="0"/>
    <n v="0"/>
    <n v="0"/>
    <n v="0"/>
    <n v="0"/>
    <n v="0"/>
    <n v="0"/>
    <n v="0"/>
    <n v="0"/>
    <n v="0"/>
    <n v="0"/>
    <n v="0"/>
    <n v="0"/>
    <n v="0"/>
    <n v="0"/>
    <n v="0"/>
    <n v="0"/>
    <n v="0"/>
    <n v="0"/>
  </r>
  <r>
    <s v="AME25-068"/>
    <s v="V18"/>
    <s v="VAM"/>
    <d v="2026-09-01T00:00:00"/>
    <d v="2027-08-01T00:00:00"/>
    <x v="3"/>
    <x v="0"/>
    <x v="48"/>
    <m/>
    <m/>
    <m/>
    <m/>
    <n v="0"/>
    <m/>
    <n v="0"/>
    <n v="0"/>
    <n v="0"/>
    <n v="0"/>
    <n v="0"/>
    <n v="0"/>
    <n v="0"/>
    <n v="0"/>
    <n v="6083"/>
    <n v="11062"/>
    <n v="9992"/>
    <n v="8921"/>
    <n v="36058"/>
    <n v="0"/>
    <n v="0"/>
    <n v="0"/>
    <n v="0"/>
    <n v="0"/>
    <n v="0"/>
    <n v="0"/>
    <n v="0"/>
    <n v="0"/>
    <n v="0"/>
    <n v="0"/>
    <n v="0"/>
    <n v="0"/>
    <n v="0"/>
    <n v="0"/>
    <n v="0"/>
    <b v="1"/>
    <n v="0"/>
    <n v="0"/>
    <n v="0"/>
    <n v="0"/>
    <n v="0"/>
    <n v="6319"/>
    <n v="7692"/>
    <n v="20120"/>
    <n v="8276"/>
    <n v="9601"/>
    <n v="9270"/>
    <n v="8690"/>
    <n v="8391"/>
    <n v="8690"/>
    <n v="11062"/>
    <n v="9992"/>
    <n v="8921"/>
    <n v="117024"/>
    <n v="0"/>
    <n v="0"/>
    <n v="0"/>
    <n v="0"/>
    <n v="0"/>
    <n v="0"/>
    <n v="0"/>
    <n v="0"/>
    <n v="0"/>
    <n v="0"/>
    <n v="0"/>
    <n v="0"/>
    <n v="0"/>
    <n v="0"/>
    <n v="0"/>
    <n v="0"/>
    <n v="0"/>
    <n v="0"/>
    <n v="0"/>
    <n v="0"/>
    <n v="0"/>
  </r>
  <r>
    <s v="AME25-068"/>
    <s v="V19"/>
    <s v="VAM"/>
    <d v="2026-09-01T00:00:00"/>
    <d v="2027-08-01T00:00:00"/>
    <x v="3"/>
    <x v="0"/>
    <x v="48"/>
    <m/>
    <m/>
    <m/>
    <m/>
    <n v="0"/>
    <m/>
    <n v="0"/>
    <n v="0"/>
    <n v="0"/>
    <n v="0"/>
    <n v="0"/>
    <n v="0"/>
    <n v="0"/>
    <n v="0"/>
    <n v="30215.499999999996"/>
    <n v="45242"/>
    <n v="40864"/>
    <n v="36486"/>
    <n v="152807.5"/>
    <n v="0"/>
    <n v="0"/>
    <n v="0"/>
    <n v="0"/>
    <n v="0"/>
    <n v="0"/>
    <n v="0"/>
    <n v="0"/>
    <n v="0"/>
    <n v="0"/>
    <n v="0"/>
    <n v="0"/>
    <n v="0"/>
    <n v="0"/>
    <n v="0"/>
    <n v="0"/>
    <b v="1"/>
    <n v="0"/>
    <n v="0"/>
    <n v="0"/>
    <n v="0"/>
    <n v="0"/>
    <n v="45815"/>
    <n v="35678"/>
    <n v="25150"/>
    <n v="37921"/>
    <n v="43988"/>
    <n v="42471"/>
    <n v="43165"/>
    <n v="41676"/>
    <n v="43165"/>
    <n v="45242"/>
    <n v="40864"/>
    <n v="36486"/>
    <n v="481621"/>
    <n v="0"/>
    <n v="0"/>
    <n v="0"/>
    <n v="0"/>
    <n v="0"/>
    <n v="0"/>
    <n v="0"/>
    <n v="0"/>
    <n v="0"/>
    <n v="0"/>
    <n v="0"/>
    <n v="0"/>
    <n v="0"/>
    <n v="0"/>
    <n v="0"/>
    <n v="0"/>
    <n v="0"/>
    <n v="0"/>
    <n v="0"/>
    <n v="0"/>
    <n v="0"/>
  </r>
  <r>
    <s v="AME25-068"/>
    <s v="V20"/>
    <s v="VAM"/>
    <d v="2026-09-01T00:00:00"/>
    <d v="2027-08-01T00:00:00"/>
    <x v="3"/>
    <x v="0"/>
    <x v="48"/>
    <m/>
    <m/>
    <m/>
    <m/>
    <n v="0"/>
    <m/>
    <n v="0"/>
    <n v="0"/>
    <n v="0"/>
    <n v="0"/>
    <n v="0"/>
    <n v="0"/>
    <n v="0"/>
    <n v="0"/>
    <n v="30008.3"/>
    <n v="46245"/>
    <n v="41769"/>
    <n v="37294"/>
    <n v="155316.29999999999"/>
    <n v="0"/>
    <n v="0"/>
    <n v="0"/>
    <n v="0"/>
    <n v="0"/>
    <n v="0"/>
    <n v="0"/>
    <n v="0"/>
    <n v="0"/>
    <n v="0"/>
    <n v="0"/>
    <n v="0"/>
    <n v="0"/>
    <n v="0"/>
    <n v="0"/>
    <n v="0"/>
    <b v="1"/>
    <n v="0"/>
    <n v="0"/>
    <n v="0"/>
    <n v="0"/>
    <n v="0"/>
    <n v="45815"/>
    <n v="31827"/>
    <n v="50854"/>
    <n v="37656"/>
    <n v="43681"/>
    <n v="42175"/>
    <n v="42869"/>
    <n v="41391"/>
    <n v="42869"/>
    <n v="46245"/>
    <n v="41769"/>
    <n v="37294"/>
    <n v="504445"/>
    <n v="0"/>
    <n v="0"/>
    <n v="0"/>
    <n v="0"/>
    <n v="0"/>
    <n v="0"/>
    <n v="0"/>
    <n v="0"/>
    <n v="0"/>
    <n v="0"/>
    <n v="0"/>
    <n v="0"/>
    <n v="0"/>
    <n v="0"/>
    <n v="0"/>
    <n v="0"/>
    <n v="0"/>
    <n v="0"/>
    <n v="0"/>
    <n v="0"/>
    <n v="0"/>
  </r>
  <r>
    <s v="AME25-068"/>
    <s v="V21"/>
    <s v="VAM"/>
    <d v="2026-09-01T00:00:00"/>
    <d v="2027-08-01T00:00:00"/>
    <x v="3"/>
    <x v="0"/>
    <x v="48"/>
    <m/>
    <m/>
    <m/>
    <m/>
    <n v="0"/>
    <m/>
    <n v="0"/>
    <n v="0"/>
    <n v="0"/>
    <n v="0"/>
    <n v="0"/>
    <n v="0"/>
    <n v="0"/>
    <n v="0"/>
    <n v="82731.599999999991"/>
    <n v="128693"/>
    <n v="116239"/>
    <n v="103785"/>
    <n v="431448.6"/>
    <n v="0"/>
    <n v="0"/>
    <n v="0"/>
    <n v="0"/>
    <n v="0"/>
    <n v="0"/>
    <n v="0"/>
    <n v="0"/>
    <n v="0"/>
    <n v="0"/>
    <n v="0"/>
    <n v="0"/>
    <n v="0"/>
    <n v="0"/>
    <n v="0"/>
    <n v="0"/>
    <b v="1"/>
    <n v="0"/>
    <n v="0"/>
    <n v="0"/>
    <n v="0"/>
    <n v="0"/>
    <n v="20538"/>
    <n v="119280"/>
    <n v="125751"/>
    <n v="103619"/>
    <n v="120198"/>
    <n v="116053"/>
    <n v="118188"/>
    <n v="114113"/>
    <n v="118188"/>
    <n v="128693"/>
    <n v="116239"/>
    <n v="103785"/>
    <n v="1304645"/>
    <n v="0"/>
    <n v="0"/>
    <n v="0"/>
    <n v="0"/>
    <n v="0"/>
    <n v="0"/>
    <n v="0"/>
    <n v="0"/>
    <n v="0"/>
    <n v="0"/>
    <n v="0"/>
    <n v="0"/>
    <n v="0"/>
    <n v="0"/>
    <n v="0"/>
    <n v="0"/>
    <n v="0"/>
    <n v="0"/>
    <n v="0"/>
    <n v="0"/>
    <n v="0"/>
  </r>
  <r>
    <s v="AME25-068"/>
    <s v="V22"/>
    <s v="VAM"/>
    <d v="2026-09-01T00:00:00"/>
    <d v="2027-08-01T00:00:00"/>
    <x v="3"/>
    <x v="0"/>
    <x v="48"/>
    <m/>
    <m/>
    <m/>
    <m/>
    <n v="0"/>
    <m/>
    <n v="0"/>
    <n v="0"/>
    <n v="0"/>
    <n v="0"/>
    <n v="0"/>
    <n v="0"/>
    <n v="0"/>
    <n v="0"/>
    <n v="83747.299999999988"/>
    <n v="126679"/>
    <n v="114420"/>
    <n v="102160"/>
    <n v="427006.3"/>
    <n v="0"/>
    <n v="0"/>
    <n v="0"/>
    <n v="0"/>
    <n v="0"/>
    <n v="0"/>
    <n v="0"/>
    <n v="0"/>
    <n v="0"/>
    <n v="0"/>
    <n v="0"/>
    <n v="0"/>
    <n v="0"/>
    <n v="0"/>
    <n v="0"/>
    <n v="0"/>
    <b v="1"/>
    <n v="0"/>
    <n v="0"/>
    <n v="0"/>
    <n v="0"/>
    <n v="0"/>
    <n v="153243"/>
    <n v="102836"/>
    <n v="134134"/>
    <n v="102553"/>
    <n v="118962"/>
    <n v="114860"/>
    <n v="119639"/>
    <n v="115514"/>
    <n v="119639"/>
    <n v="126679"/>
    <n v="114420"/>
    <n v="102160"/>
    <n v="1424639"/>
    <n v="0"/>
    <n v="0"/>
    <n v="0"/>
    <n v="0"/>
    <n v="0"/>
    <n v="0"/>
    <n v="0"/>
    <n v="0"/>
    <n v="0"/>
    <n v="0"/>
    <n v="0"/>
    <n v="0"/>
    <n v="0"/>
    <n v="0"/>
    <n v="0"/>
    <n v="0"/>
    <n v="0"/>
    <n v="0"/>
    <n v="0"/>
    <n v="0"/>
    <n v="0"/>
  </r>
  <r>
    <s v="AME25-068"/>
    <s v="V23"/>
    <s v="VAM"/>
    <d v="2026-09-01T00:00:00"/>
    <d v="2027-08-01T00:00:00"/>
    <x v="3"/>
    <x v="0"/>
    <x v="48"/>
    <m/>
    <m/>
    <m/>
    <m/>
    <n v="0"/>
    <m/>
    <n v="0"/>
    <n v="0"/>
    <n v="0"/>
    <n v="0"/>
    <n v="0"/>
    <n v="0"/>
    <n v="0"/>
    <n v="0"/>
    <n v="47649.7"/>
    <n v="71386"/>
    <n v="64477"/>
    <n v="57569"/>
    <n v="241081.7"/>
    <n v="0"/>
    <n v="0"/>
    <n v="0"/>
    <n v="0"/>
    <n v="0"/>
    <n v="0"/>
    <n v="0"/>
    <n v="0"/>
    <n v="0"/>
    <n v="0"/>
    <n v="0"/>
    <n v="0"/>
    <n v="0"/>
    <n v="0"/>
    <n v="0"/>
    <n v="0"/>
    <b v="1"/>
    <n v="0"/>
    <n v="0"/>
    <n v="0"/>
    <n v="0"/>
    <n v="0"/>
    <n v="123226"/>
    <n v="61209"/>
    <n v="67067"/>
    <n v="54217"/>
    <n v="62892"/>
    <n v="60723"/>
    <n v="68071"/>
    <n v="65724"/>
    <n v="68071"/>
    <n v="71386"/>
    <n v="64477"/>
    <n v="57569"/>
    <n v="824632"/>
    <n v="0"/>
    <n v="0"/>
    <n v="0"/>
    <n v="0"/>
    <n v="0"/>
    <n v="0"/>
    <n v="0"/>
    <n v="0"/>
    <n v="0"/>
    <n v="0"/>
    <n v="0"/>
    <n v="0"/>
    <n v="0"/>
    <n v="0"/>
    <n v="0"/>
    <n v="0"/>
    <n v="0"/>
    <n v="0"/>
    <n v="0"/>
    <n v="0"/>
    <n v="0"/>
  </r>
  <r>
    <s v="AME25-068"/>
    <s v="V24"/>
    <s v="VAM"/>
    <d v="2026-09-01T00:00:00"/>
    <d v="2027-08-01T00:00:00"/>
    <x v="3"/>
    <x v="0"/>
    <x v="48"/>
    <m/>
    <m/>
    <m/>
    <m/>
    <n v="0"/>
    <m/>
    <n v="0"/>
    <n v="0"/>
    <n v="0"/>
    <n v="0"/>
    <n v="0"/>
    <n v="0"/>
    <n v="0"/>
    <n v="0"/>
    <n v="46232.2"/>
    <n v="69372"/>
    <n v="62658"/>
    <n v="55945"/>
    <n v="234207.2"/>
    <n v="0"/>
    <n v="0"/>
    <n v="0"/>
    <n v="0"/>
    <n v="0"/>
    <n v="0"/>
    <n v="0"/>
    <n v="0"/>
    <n v="0"/>
    <n v="0"/>
    <n v="0"/>
    <n v="0"/>
    <n v="0"/>
    <n v="0"/>
    <n v="0"/>
    <n v="0"/>
    <b v="1"/>
    <n v="0"/>
    <n v="0"/>
    <n v="0"/>
    <n v="0"/>
    <n v="0"/>
    <n v="69512"/>
    <n v="65060"/>
    <n v="58684"/>
    <n v="57951"/>
    <n v="67223"/>
    <n v="64905"/>
    <n v="66046"/>
    <n v="63769"/>
    <n v="66046"/>
    <n v="69372"/>
    <n v="62658"/>
    <n v="55945"/>
    <n v="767171"/>
    <n v="0"/>
    <n v="0"/>
    <n v="0"/>
    <n v="0"/>
    <n v="0"/>
    <n v="0"/>
    <n v="0"/>
    <n v="0"/>
    <n v="0"/>
    <n v="0"/>
    <n v="0"/>
    <n v="0"/>
    <n v="0"/>
    <n v="0"/>
    <n v="0"/>
    <n v="0"/>
    <n v="0"/>
    <n v="0"/>
    <n v="0"/>
    <n v="0"/>
    <n v="0"/>
  </r>
  <r>
    <s v="AME25-068"/>
    <s v="V25"/>
    <s v="VAM"/>
    <d v="2026-09-01T00:00:00"/>
    <d v="2027-08-01T00:00:00"/>
    <x v="3"/>
    <x v="0"/>
    <x v="48"/>
    <m/>
    <m/>
    <m/>
    <m/>
    <n v="0"/>
    <m/>
    <n v="0"/>
    <n v="0"/>
    <n v="0"/>
    <n v="0"/>
    <n v="0"/>
    <n v="0"/>
    <n v="0"/>
    <n v="0"/>
    <n v="16017.4"/>
    <n v="23127"/>
    <n v="20889"/>
    <n v="18651"/>
    <n v="78684.399999999994"/>
    <n v="0"/>
    <n v="0"/>
    <n v="0"/>
    <n v="0"/>
    <n v="0"/>
    <n v="0"/>
    <n v="0"/>
    <n v="0"/>
    <n v="0"/>
    <n v="0"/>
    <n v="0"/>
    <n v="0"/>
    <n v="0"/>
    <n v="0"/>
    <n v="0"/>
    <n v="0"/>
    <b v="1"/>
    <n v="0"/>
    <n v="0"/>
    <n v="0"/>
    <n v="0"/>
    <n v="0"/>
    <n v="0"/>
    <n v="18185"/>
    <n v="11737"/>
    <n v="18964"/>
    <n v="21999"/>
    <n v="21240"/>
    <n v="22882"/>
    <n v="22093"/>
    <n v="22882"/>
    <n v="23127"/>
    <n v="20889"/>
    <n v="18651"/>
    <n v="222649"/>
    <n v="0"/>
    <n v="0"/>
    <n v="0"/>
    <n v="0"/>
    <n v="0"/>
    <n v="0"/>
    <n v="0"/>
    <n v="0"/>
    <n v="0"/>
    <n v="0"/>
    <n v="0"/>
    <n v="0"/>
    <n v="0"/>
    <n v="0"/>
    <n v="0"/>
    <n v="0"/>
    <n v="0"/>
    <n v="0"/>
    <n v="0"/>
    <n v="0"/>
    <n v="0"/>
  </r>
  <r>
    <s v="AME25-068"/>
    <s v="V26"/>
    <s v="VAM"/>
    <d v="2026-09-01T00:00:00"/>
    <d v="2027-08-01T00:00:00"/>
    <x v="3"/>
    <x v="0"/>
    <x v="48"/>
    <m/>
    <m/>
    <m/>
    <m/>
    <n v="0"/>
    <m/>
    <n v="0"/>
    <n v="0"/>
    <n v="0"/>
    <n v="0"/>
    <n v="0"/>
    <n v="0"/>
    <n v="0"/>
    <n v="0"/>
    <n v="13790.699999999999"/>
    <n v="21113"/>
    <n v="19070"/>
    <n v="17027"/>
    <n v="71000.7"/>
    <n v="0"/>
    <n v="0"/>
    <n v="0"/>
    <n v="0"/>
    <n v="0"/>
    <n v="0"/>
    <n v="0"/>
    <n v="0"/>
    <n v="0"/>
    <n v="0"/>
    <n v="0"/>
    <n v="0"/>
    <n v="0"/>
    <n v="0"/>
    <n v="0"/>
    <n v="0"/>
    <b v="1"/>
    <n v="0"/>
    <n v="0"/>
    <n v="0"/>
    <n v="0"/>
    <n v="0"/>
    <n v="4739"/>
    <n v="12592"/>
    <n v="20120"/>
    <n v="16825"/>
    <n v="19517"/>
    <n v="18844"/>
    <n v="19701"/>
    <n v="19022"/>
    <n v="19701"/>
    <n v="21113"/>
    <n v="19070"/>
    <n v="17027"/>
    <n v="208271"/>
    <n v="0"/>
    <n v="0"/>
    <n v="0"/>
    <n v="0"/>
    <n v="0"/>
    <n v="0"/>
    <n v="0"/>
    <n v="0"/>
    <n v="0"/>
    <n v="0"/>
    <n v="0"/>
    <n v="0"/>
    <n v="0"/>
    <n v="0"/>
    <n v="0"/>
    <n v="0"/>
    <n v="0"/>
    <n v="0"/>
    <n v="0"/>
    <n v="0"/>
    <n v="0"/>
  </r>
  <r>
    <s v="AME25-068"/>
    <s v="V5"/>
    <s v="VAM"/>
    <d v="2026-09-01T00:00:00"/>
    <d v="2027-08-01T00:00:00"/>
    <x v="3"/>
    <x v="0"/>
    <x v="48"/>
    <m/>
    <m/>
    <m/>
    <m/>
    <n v="0"/>
    <m/>
    <n v="0"/>
    <n v="0"/>
    <n v="0"/>
    <n v="0"/>
    <n v="0"/>
    <n v="0"/>
    <n v="0"/>
    <n v="0"/>
    <n v="0"/>
    <n v="0"/>
    <n v="0"/>
    <n v="0"/>
    <n v="0"/>
    <n v="0"/>
    <n v="0"/>
    <n v="0"/>
    <n v="0"/>
    <n v="0"/>
    <n v="0"/>
    <n v="0"/>
    <n v="0"/>
    <n v="0"/>
    <n v="0"/>
    <n v="0"/>
    <n v="0"/>
    <n v="0"/>
    <n v="0"/>
    <n v="0"/>
    <n v="0"/>
    <b v="1"/>
    <n v="0"/>
    <n v="0"/>
    <n v="0"/>
    <n v="0"/>
    <n v="0"/>
    <n v="0"/>
    <n v="75157"/>
    <n v="75275"/>
    <n v="0"/>
    <n v="0"/>
    <n v="0"/>
    <n v="0"/>
    <n v="0"/>
    <n v="0"/>
    <n v="0"/>
    <n v="0"/>
    <n v="0"/>
    <n v="150432"/>
    <n v="0"/>
    <n v="0"/>
    <n v="0"/>
    <n v="0"/>
    <n v="0"/>
    <n v="0"/>
    <n v="0"/>
    <n v="0"/>
    <n v="0"/>
    <n v="0"/>
    <n v="0"/>
    <n v="0"/>
    <n v="0"/>
    <n v="0"/>
    <n v="0"/>
    <n v="0"/>
    <n v="0"/>
    <n v="0"/>
    <n v="0"/>
    <n v="0"/>
    <n v="0"/>
  </r>
  <r>
    <s v="AME25-068"/>
    <s v="V6"/>
    <s v="VAM"/>
    <d v="2026-09-01T00:00:00"/>
    <d v="2027-08-01T00:00:00"/>
    <x v="3"/>
    <x v="0"/>
    <x v="48"/>
    <m/>
    <m/>
    <m/>
    <m/>
    <n v="0"/>
    <m/>
    <n v="0"/>
    <n v="0"/>
    <n v="0"/>
    <n v="0"/>
    <n v="0"/>
    <n v="0"/>
    <n v="0"/>
    <n v="0"/>
    <n v="0"/>
    <n v="0"/>
    <n v="0"/>
    <n v="0"/>
    <n v="0"/>
    <n v="0"/>
    <n v="0"/>
    <n v="0"/>
    <n v="0"/>
    <n v="0"/>
    <n v="0"/>
    <n v="0"/>
    <n v="0"/>
    <n v="0"/>
    <n v="0"/>
    <n v="0"/>
    <n v="0"/>
    <n v="0"/>
    <n v="0"/>
    <n v="0"/>
    <n v="0"/>
    <b v="1"/>
    <n v="0"/>
    <n v="0"/>
    <n v="0"/>
    <n v="0"/>
    <n v="0"/>
    <n v="0"/>
    <n v="75157"/>
    <n v="75275"/>
    <n v="0"/>
    <n v="0"/>
    <n v="0"/>
    <n v="0"/>
    <n v="0"/>
    <n v="0"/>
    <n v="0"/>
    <n v="0"/>
    <n v="0"/>
    <n v="150432"/>
    <n v="0"/>
    <n v="0"/>
    <n v="0"/>
    <n v="0"/>
    <n v="0"/>
    <n v="0"/>
    <n v="0"/>
    <n v="0"/>
    <n v="0"/>
    <n v="0"/>
    <n v="0"/>
    <n v="0"/>
    <n v="0"/>
    <n v="0"/>
    <n v="0"/>
    <n v="0"/>
    <n v="0"/>
    <n v="0"/>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3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location ref="Q12:V16" firstHeaderRow="0" firstDataRow="1" firstDataCol="1"/>
  <pivotFields count="83">
    <pivotField showAll="0"/>
    <pivotField showAll="0"/>
    <pivotField showAll="0"/>
    <pivotField showAll="0"/>
    <pivotField showAll="0" defaultSubtotal="0"/>
    <pivotField axis="axisRow" showAll="0">
      <items count="16">
        <item m="1" x="10"/>
        <item m="1" x="7"/>
        <item m="1" x="11"/>
        <item m="1" x="6"/>
        <item m="1" x="8"/>
        <item m="1" x="9"/>
        <item m="1" x="13"/>
        <item m="1" x="12"/>
        <item m="1" x="4"/>
        <item m="1" x="5"/>
        <item x="0"/>
        <item m="1" x="14"/>
        <item x="2"/>
        <item x="1"/>
        <item x="3"/>
        <item t="default"/>
      </items>
    </pivotField>
    <pivotField showAll="0"/>
    <pivotField showAll="0"/>
    <pivotField numFmtId="166" showAll="0"/>
    <pivotField numFmtId="166" showAll="0"/>
    <pivotField numFmtId="166" showAll="0"/>
    <pivotField numFmtId="166" showAll="0"/>
    <pivotField numFmtId="166"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pivotField showAll="0"/>
    <pivotField showAll="0"/>
    <pivotField showAll="0"/>
    <pivotField showAll="0"/>
    <pivotField showAll="0"/>
    <pivotField showAll="0"/>
    <pivotField showAll="0"/>
    <pivotField showAll="0"/>
    <pivotField showAll="0"/>
    <pivotField showAll="0"/>
    <pivotField showAll="0"/>
    <pivotField numFmtId="165" showAll="0"/>
    <pivotField numFmtId="165" showAll="0"/>
    <pivotField numFmtId="165" showAll="0" defaultSubtotal="0"/>
    <pivotField numFmtId="165" showAll="0" defaultSubtota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dataField="1" numFmtId="165" showAll="0" defaultSubtotal="0"/>
    <pivotField dataField="1" numFmtId="165" showAll="0" defaultSubtotal="0"/>
    <pivotField dataField="1" numFmtId="165" showAll="0" defaultSubtotal="0"/>
    <pivotField dataField="1" numFmtId="165" showAll="0" defaultSubtotal="0"/>
    <pivotField dataField="1" numFmtId="165" showAll="0" defaultSubtotal="0"/>
  </pivotFields>
  <rowFields count="1">
    <field x="5"/>
  </rowFields>
  <rowItems count="4">
    <i>
      <x v="10"/>
    </i>
    <i>
      <x v="12"/>
    </i>
    <i>
      <x v="13"/>
    </i>
    <i>
      <x v="14"/>
    </i>
  </rowItems>
  <colFields count="1">
    <field x="-2"/>
  </colFields>
  <colItems count="5">
    <i>
      <x/>
    </i>
    <i i="1">
      <x v="1"/>
    </i>
    <i i="2">
      <x v="2"/>
    </i>
    <i i="3">
      <x v="3"/>
    </i>
    <i i="4">
      <x v="4"/>
    </i>
  </colItems>
  <dataFields count="5">
    <dataField name="Sum of Labor_ASV" fld="78" baseField="0" baseItem="0"/>
    <dataField name="Sum of Yield_ASV" fld="79" baseField="0" baseItem="0"/>
    <dataField name="Sum of Material_ASV" fld="80" baseField="0" baseItem="0"/>
    <dataField name="Sum of OH_ASV" fld="81" baseField="0" baseItem="0"/>
    <dataField name="Sum of Total_ASV" fld="82" baseField="0" baseItem="0"/>
  </dataFields>
  <formats count="5">
    <format dxfId="20">
      <pivotArea outline="0" collapsedLevelsAreSubtotals="1" fieldPosition="0"/>
    </format>
    <format dxfId="21">
      <pivotArea outline="0" collapsedLevelsAreSubtotals="1" fieldPosition="0"/>
    </format>
    <format dxfId="22">
      <pivotArea outline="0" collapsedLevelsAreSubtotals="1" fieldPosition="0"/>
    </format>
    <format dxfId="23">
      <pivotArea outline="0" collapsedLevelsAreSubtotals="1" fieldPosition="0"/>
    </format>
    <format dxfId="2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3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location ref="AF2:AK5" firstHeaderRow="0" firstDataRow="1" firstDataCol="1"/>
  <pivotFields count="83">
    <pivotField showAll="0"/>
    <pivotField showAll="0"/>
    <pivotField showAll="0"/>
    <pivotField showAll="0"/>
    <pivotField showAll="0" defaultSubtotal="0"/>
    <pivotField showAll="0" sortType="descending">
      <items count="16">
        <item m="1" x="4"/>
        <item m="1" x="5"/>
        <item m="1" x="10"/>
        <item m="1" x="7"/>
        <item m="1" x="11"/>
        <item m="1" x="6"/>
        <item m="1" x="8"/>
        <item x="0"/>
        <item m="1" x="9"/>
        <item m="1" x="14"/>
        <item x="1"/>
        <item x="2"/>
        <item x="3"/>
        <item m="1" x="12"/>
        <item m="1" x="13"/>
        <item t="default"/>
      </items>
      <autoSortScope>
        <pivotArea dataOnly="0" outline="0" fieldPosition="0">
          <references count="1">
            <reference field="4294967294" count="1" selected="0">
              <x v="4"/>
            </reference>
          </references>
        </pivotArea>
      </autoSortScope>
    </pivotField>
    <pivotField axis="axisRow" showAll="0">
      <items count="15">
        <item m="1" x="5"/>
        <item m="1" x="11"/>
        <item m="1" x="7"/>
        <item m="1" x="6"/>
        <item m="1" x="9"/>
        <item m="1" x="13"/>
        <item m="1" x="8"/>
        <item m="1" x="12"/>
        <item m="1" x="10"/>
        <item m="1" x="3"/>
        <item m="1" x="4"/>
        <item x="0"/>
        <item x="1"/>
        <item x="2"/>
        <item t="default"/>
      </items>
    </pivotField>
    <pivotField showAll="0" sortType="descending">
      <autoSortScope>
        <pivotArea dataOnly="0" outline="0" fieldPosition="0">
          <references count="1">
            <reference field="4294967294" count="1" selected="0">
              <x v="4"/>
            </reference>
          </references>
        </pivotArea>
      </autoSortScope>
    </pivotField>
    <pivotField numFmtId="166" showAll="0"/>
    <pivotField numFmtId="166" showAll="0"/>
    <pivotField numFmtId="166" showAll="0"/>
    <pivotField numFmtId="166" showAll="0"/>
    <pivotField numFmtId="166"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pivotField showAll="0"/>
    <pivotField showAll="0"/>
    <pivotField showAll="0"/>
    <pivotField showAll="0"/>
    <pivotField showAll="0"/>
    <pivotField showAll="0"/>
    <pivotField showAll="0"/>
    <pivotField showAll="0"/>
    <pivotField showAll="0"/>
    <pivotField showAll="0"/>
    <pivotField showAll="0"/>
    <pivotField numFmtId="165" showAll="0"/>
    <pivotField numFmtId="165" showAll="0"/>
    <pivotField numFmtId="165" showAll="0" defaultSubtotal="0"/>
    <pivotField numFmtId="165" showAll="0" defaultSubtotal="0"/>
    <pivotField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numFmtId="165" showAll="0" defaultSubtotal="0"/>
    <pivotField numFmtId="165" showAll="0" defaultSubtotal="0"/>
    <pivotField numFmtId="165" showAll="0" defaultSubtotal="0"/>
    <pivotField numFmtId="165" showAll="0" defaultSubtotal="0"/>
    <pivotField numFmtId="165" showAll="0" defaultSubtotal="0"/>
  </pivotFields>
  <rowFields count="1">
    <field x="6"/>
  </rowFields>
  <rowItems count="3">
    <i>
      <x v="11"/>
    </i>
    <i>
      <x v="12"/>
    </i>
    <i>
      <x v="13"/>
    </i>
  </rowItems>
  <colFields count="1">
    <field x="-2"/>
  </colFields>
  <colItems count="5">
    <i>
      <x/>
    </i>
    <i i="1">
      <x v="1"/>
    </i>
    <i i="2">
      <x v="2"/>
    </i>
    <i i="3">
      <x v="3"/>
    </i>
    <i i="4">
      <x v="4"/>
    </i>
  </colItems>
  <dataFields count="5">
    <dataField name="Sum of Labor_CSV" fld="44" baseField="7" baseItem="3"/>
    <dataField name="Sum of Yield_CSV" fld="45" baseField="7" baseItem="35"/>
    <dataField name="Sum of Material_CSV" fld="46" baseField="7" baseItem="2"/>
    <dataField name="Sum of OH_CSV" fld="47" baseField="7" baseItem="0"/>
    <dataField name="Sum of Total__CSV" fld="48" baseField="0" baseItem="0"/>
  </dataFields>
  <formats count="5">
    <format dxfId="15">
      <pivotArea outline="0" collapsedLevelsAreSubtotals="1" fieldPosition="0"/>
    </format>
    <format dxfId="16">
      <pivotArea outline="0" collapsedLevelsAreSubtotals="1" fieldPosition="0"/>
    </format>
    <format dxfId="17">
      <pivotArea outline="0" collapsedLevelsAreSubtotals="1" fieldPosition="0"/>
    </format>
    <format dxfId="18">
      <pivotArea outline="0" collapsedLevelsAreSubtotals="1" fieldPosition="0"/>
    </format>
    <format dxfId="1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3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location ref="Q2:V6" firstHeaderRow="0" firstDataRow="1" firstDataCol="1"/>
  <pivotFields count="83">
    <pivotField showAll="0"/>
    <pivotField showAll="0"/>
    <pivotField showAll="0"/>
    <pivotField showAll="0"/>
    <pivotField showAll="0" defaultSubtotal="0"/>
    <pivotField axis="axisRow" showAll="0" sortType="descending">
      <items count="16">
        <item m="1" x="10"/>
        <item m="1" x="7"/>
        <item m="1" x="11"/>
        <item m="1" x="6"/>
        <item m="1" x="8"/>
        <item m="1" x="9"/>
        <item m="1" x="13"/>
        <item m="1" x="12"/>
        <item m="1" x="4"/>
        <item m="1" x="5"/>
        <item x="0"/>
        <item m="1" x="14"/>
        <item x="2"/>
        <item x="1"/>
        <item x="3"/>
        <item t="default"/>
      </items>
      <autoSortScope>
        <pivotArea dataOnly="0" outline="0" fieldPosition="0">
          <references count="1">
            <reference field="4294967294" count="1" selected="0">
              <x v="4"/>
            </reference>
          </references>
        </pivotArea>
      </autoSortScope>
    </pivotField>
    <pivotField showAll="0">
      <items count="15">
        <item m="1" x="3"/>
        <item m="1" x="4"/>
        <item m="1" x="5"/>
        <item m="1" x="11"/>
        <item m="1" x="7"/>
        <item m="1" x="6"/>
        <item m="1" x="9"/>
        <item m="1" x="13"/>
        <item m="1" x="8"/>
        <item x="2"/>
        <item x="1"/>
        <item x="0"/>
        <item m="1" x="10"/>
        <item m="1" x="12"/>
        <item t="default"/>
      </items>
    </pivotField>
    <pivotField showAll="0" sortType="descending">
      <autoSortScope>
        <pivotArea dataOnly="0" outline="0" fieldPosition="0">
          <references count="1">
            <reference field="4294967294" count="1" selected="0">
              <x v="4"/>
            </reference>
          </references>
        </pivotArea>
      </autoSortScope>
    </pivotField>
    <pivotField numFmtId="166" showAll="0"/>
    <pivotField numFmtId="166" showAll="0"/>
    <pivotField numFmtId="166" showAll="0"/>
    <pivotField numFmtId="166" showAll="0"/>
    <pivotField numFmtId="166"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pivotField showAll="0"/>
    <pivotField showAll="0"/>
    <pivotField showAll="0"/>
    <pivotField showAll="0"/>
    <pivotField showAll="0"/>
    <pivotField showAll="0"/>
    <pivotField showAll="0"/>
    <pivotField showAll="0"/>
    <pivotField showAll="0"/>
    <pivotField showAll="0"/>
    <pivotField showAll="0"/>
    <pivotField numFmtId="165" showAll="0"/>
    <pivotField numFmtId="165" showAll="0"/>
    <pivotField numFmtId="165" showAll="0" defaultSubtotal="0"/>
    <pivotField numFmtId="165" showAll="0" defaultSubtotal="0"/>
    <pivotField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numFmtId="165" showAll="0" defaultSubtotal="0"/>
    <pivotField numFmtId="165" showAll="0" defaultSubtotal="0"/>
    <pivotField numFmtId="165" showAll="0" defaultSubtotal="0"/>
    <pivotField numFmtId="165" showAll="0" defaultSubtotal="0"/>
    <pivotField numFmtId="165" showAll="0" defaultSubtotal="0"/>
  </pivotFields>
  <rowFields count="1">
    <field x="5"/>
  </rowFields>
  <rowItems count="4">
    <i>
      <x v="14"/>
    </i>
    <i>
      <x v="13"/>
    </i>
    <i>
      <x v="12"/>
    </i>
    <i>
      <x v="10"/>
    </i>
  </rowItems>
  <colFields count="1">
    <field x="-2"/>
  </colFields>
  <colItems count="5">
    <i>
      <x/>
    </i>
    <i i="1">
      <x v="1"/>
    </i>
    <i i="2">
      <x v="2"/>
    </i>
    <i i="3">
      <x v="3"/>
    </i>
    <i i="4">
      <x v="4"/>
    </i>
  </colItems>
  <dataFields count="5">
    <dataField name="Sum of Labor_CSV" fld="44" baseField="7" baseItem="3"/>
    <dataField name="Sum of Yield_CSV" fld="45" baseField="7" baseItem="35"/>
    <dataField name="Sum of Material_CSV" fld="46" baseField="7" baseItem="2"/>
    <dataField name="Sum of OH_CSV" fld="47" baseField="7" baseItem="0"/>
    <dataField name="Sum of Total__CSV" fld="48" baseField="0" baseItem="0"/>
  </dataFields>
  <formats count="5">
    <format dxfId="10">
      <pivotArea outline="0" collapsedLevelsAreSubtotals="1" fieldPosition="0"/>
    </format>
    <format dxfId="11">
      <pivotArea outline="0" collapsedLevelsAreSubtotals="1" fieldPosition="0"/>
    </format>
    <format dxfId="12">
      <pivotArea outline="0" collapsedLevelsAreSubtotals="1" fieldPosition="0"/>
    </format>
    <format dxfId="13">
      <pivotArea outline="0" collapsedLevelsAreSubtotals="1" fieldPosition="0"/>
    </format>
    <format dxfId="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3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location ref="A2:F76" firstHeaderRow="0" firstDataRow="1" firstDataCol="1"/>
  <pivotFields count="83">
    <pivotField showAll="0"/>
    <pivotField showAll="0"/>
    <pivotField showAll="0"/>
    <pivotField showAll="0"/>
    <pivotField showAll="0" defaultSubtotal="0"/>
    <pivotField showAll="0">
      <items count="16">
        <item m="1" x="4"/>
        <item m="1" x="5"/>
        <item m="1" x="10"/>
        <item m="1" x="7"/>
        <item m="1" x="11"/>
        <item m="1" x="6"/>
        <item m="1" x="8"/>
        <item x="0"/>
        <item m="1" x="9"/>
        <item m="1" x="14"/>
        <item x="1"/>
        <item x="2"/>
        <item x="3"/>
        <item m="1" x="12"/>
        <item m="1" x="13"/>
        <item t="default"/>
      </items>
    </pivotField>
    <pivotField showAll="0">
      <items count="15">
        <item m="1" x="3"/>
        <item m="1" x="4"/>
        <item m="1" x="5"/>
        <item m="1" x="11"/>
        <item m="1" x="7"/>
        <item m="1" x="6"/>
        <item m="1" x="9"/>
        <item m="1" x="13"/>
        <item m="1" x="8"/>
        <item x="2"/>
        <item x="1"/>
        <item x="0"/>
        <item m="1" x="10"/>
        <item m="1" x="12"/>
        <item t="default"/>
      </items>
    </pivotField>
    <pivotField axis="axisRow" showAll="0" sortType="descending">
      <items count="130">
        <item m="1" x="87"/>
        <item m="1" x="108"/>
        <item m="1" x="74"/>
        <item m="1" x="88"/>
        <item m="1" x="126"/>
        <item m="1" x="114"/>
        <item m="1" x="81"/>
        <item m="1" x="119"/>
        <item m="1" x="95"/>
        <item m="1" x="112"/>
        <item m="1" x="83"/>
        <item m="1" x="116"/>
        <item m="1" x="125"/>
        <item m="1" x="78"/>
        <item m="1" x="113"/>
        <item m="1" x="93"/>
        <item m="1" x="86"/>
        <item x="42"/>
        <item m="1" x="103"/>
        <item m="1" x="107"/>
        <item m="1" x="102"/>
        <item m="1" x="121"/>
        <item m="1" x="76"/>
        <item m="1" x="75"/>
        <item m="1" x="89"/>
        <item m="1" x="99"/>
        <item m="1" x="128"/>
        <item m="1" x="92"/>
        <item m="1" x="111"/>
        <item m="1" x="115"/>
        <item m="1" x="118"/>
        <item m="1" x="82"/>
        <item m="1" x="77"/>
        <item m="1" x="101"/>
        <item m="1" x="106"/>
        <item m="1" x="84"/>
        <item m="1" x="127"/>
        <item m="1" x="124"/>
        <item m="1" x="80"/>
        <item m="1" x="120"/>
        <item m="1" x="105"/>
        <item m="1" x="100"/>
        <item m="1" x="104"/>
        <item m="1" x="85"/>
        <item m="1" x="97"/>
        <item m="1" x="122"/>
        <item m="1" x="90"/>
        <item m="1" x="91"/>
        <item m="1" x="94"/>
        <item m="1" x="117"/>
        <item m="1" x="96"/>
        <item m="1" x="123"/>
        <item m="1" x="79"/>
        <item m="1" x="110"/>
        <item m="1" x="10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3"/>
        <item x="44"/>
        <item x="45"/>
        <item x="46"/>
        <item x="47"/>
        <item x="48"/>
        <item x="49"/>
        <item x="50"/>
        <item x="51"/>
        <item x="52"/>
        <item x="53"/>
        <item m="1" x="98"/>
        <item x="54"/>
        <item x="55"/>
        <item x="56"/>
        <item x="57"/>
        <item x="58"/>
        <item x="59"/>
        <item x="60"/>
        <item x="61"/>
        <item x="62"/>
        <item x="63"/>
        <item x="64"/>
        <item x="65"/>
        <item x="66"/>
        <item x="67"/>
        <item x="68"/>
        <item x="69"/>
        <item x="70"/>
        <item x="71"/>
        <item x="72"/>
        <item x="73"/>
        <item t="default"/>
      </items>
      <autoSortScope>
        <pivotArea dataOnly="0" outline="0" fieldPosition="0">
          <references count="1">
            <reference field="4294967294" count="1" selected="0">
              <x v="4"/>
            </reference>
          </references>
        </pivotArea>
      </autoSortScope>
    </pivotField>
    <pivotField numFmtId="166" showAll="0"/>
    <pivotField numFmtId="166" showAll="0"/>
    <pivotField numFmtId="166" showAll="0"/>
    <pivotField numFmtId="166" showAll="0"/>
    <pivotField numFmtId="166"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pivotField showAll="0"/>
    <pivotField showAll="0"/>
    <pivotField showAll="0"/>
    <pivotField showAll="0"/>
    <pivotField showAll="0"/>
    <pivotField showAll="0"/>
    <pivotField showAll="0"/>
    <pivotField showAll="0"/>
    <pivotField showAll="0"/>
    <pivotField showAll="0"/>
    <pivotField showAll="0"/>
    <pivotField numFmtId="165" showAll="0"/>
    <pivotField numFmtId="165" showAll="0"/>
    <pivotField numFmtId="165" showAll="0" defaultSubtotal="0"/>
    <pivotField numFmtId="165" showAll="0" defaultSubtotal="0"/>
    <pivotField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numFmtId="165" showAll="0" defaultSubtotal="0"/>
    <pivotField numFmtId="165" showAll="0" defaultSubtotal="0"/>
    <pivotField numFmtId="165" showAll="0" defaultSubtotal="0"/>
    <pivotField numFmtId="165" showAll="0" defaultSubtotal="0"/>
    <pivotField numFmtId="165" showAll="0" defaultSubtotal="0"/>
  </pivotFields>
  <rowFields count="1">
    <field x="7"/>
  </rowFields>
  <rowItems count="74">
    <i>
      <x v="57"/>
    </i>
    <i>
      <x v="101"/>
    </i>
    <i>
      <x v="75"/>
    </i>
    <i>
      <x v="103"/>
    </i>
    <i>
      <x v="106"/>
    </i>
    <i>
      <x v="93"/>
    </i>
    <i>
      <x v="86"/>
    </i>
    <i>
      <x v="63"/>
    </i>
    <i>
      <x v="95"/>
    </i>
    <i>
      <x v="73"/>
    </i>
    <i>
      <x v="79"/>
    </i>
    <i>
      <x v="56"/>
    </i>
    <i>
      <x v="71"/>
    </i>
    <i>
      <x v="100"/>
    </i>
    <i>
      <x v="102"/>
    </i>
    <i>
      <x v="82"/>
    </i>
    <i>
      <x v="74"/>
    </i>
    <i>
      <x v="60"/>
    </i>
    <i>
      <x v="66"/>
    </i>
    <i>
      <x v="64"/>
    </i>
    <i>
      <x v="55"/>
    </i>
    <i>
      <x v="87"/>
    </i>
    <i>
      <x v="61"/>
    </i>
    <i>
      <x v="117"/>
    </i>
    <i>
      <x v="59"/>
    </i>
    <i>
      <x v="81"/>
    </i>
    <i>
      <x v="121"/>
    </i>
    <i>
      <x v="92"/>
    </i>
    <i>
      <x v="104"/>
    </i>
    <i>
      <x v="118"/>
    </i>
    <i>
      <x v="122"/>
    </i>
    <i>
      <x v="99"/>
    </i>
    <i>
      <x v="123"/>
    </i>
    <i>
      <x v="76"/>
    </i>
    <i>
      <x v="72"/>
    </i>
    <i>
      <x v="65"/>
    </i>
    <i>
      <x v="62"/>
    </i>
    <i>
      <x v="84"/>
    </i>
    <i>
      <x v="68"/>
    </i>
    <i>
      <x v="119"/>
    </i>
    <i>
      <x v="116"/>
    </i>
    <i>
      <x v="70"/>
    </i>
    <i>
      <x v="89"/>
    </i>
    <i>
      <x v="97"/>
    </i>
    <i>
      <x v="124"/>
    </i>
    <i>
      <x v="114"/>
    </i>
    <i>
      <x v="110"/>
    </i>
    <i>
      <x v="126"/>
    </i>
    <i>
      <x v="120"/>
    </i>
    <i>
      <x v="96"/>
    </i>
    <i>
      <x v="127"/>
    </i>
    <i>
      <x v="88"/>
    </i>
    <i>
      <x v="85"/>
    </i>
    <i>
      <x v="77"/>
    </i>
    <i>
      <x v="125"/>
    </i>
    <i>
      <x v="91"/>
    </i>
    <i>
      <x v="115"/>
    </i>
    <i>
      <x v="111"/>
    </i>
    <i>
      <x v="107"/>
    </i>
    <i>
      <x v="94"/>
    </i>
    <i>
      <x v="113"/>
    </i>
    <i>
      <x v="105"/>
    </i>
    <i>
      <x v="83"/>
    </i>
    <i>
      <x v="109"/>
    </i>
    <i>
      <x v="128"/>
    </i>
    <i>
      <x v="67"/>
    </i>
    <i>
      <x v="78"/>
    </i>
    <i>
      <x v="58"/>
    </i>
    <i>
      <x v="98"/>
    </i>
    <i>
      <x v="80"/>
    </i>
    <i>
      <x v="69"/>
    </i>
    <i>
      <x v="112"/>
    </i>
    <i>
      <x v="17"/>
    </i>
    <i>
      <x v="90"/>
    </i>
  </rowItems>
  <colFields count="1">
    <field x="-2"/>
  </colFields>
  <colItems count="5">
    <i>
      <x/>
    </i>
    <i i="1">
      <x v="1"/>
    </i>
    <i i="2">
      <x v="2"/>
    </i>
    <i i="3">
      <x v="3"/>
    </i>
    <i i="4">
      <x v="4"/>
    </i>
  </colItems>
  <dataFields count="5">
    <dataField name="Sum of Labor_CSV" fld="44" baseField="7" baseItem="3"/>
    <dataField name="Sum of Yield_CSV" fld="45" baseField="7" baseItem="35"/>
    <dataField name="Sum of Material_CSV" fld="46" baseField="7" baseItem="2"/>
    <dataField name="Sum of OH_CSV" fld="47" baseField="7" baseItem="0"/>
    <dataField name="Sum of Total__CSV" fld="48" baseField="0" baseItem="0"/>
  </dataFields>
  <formats count="5">
    <format dxfId="25">
      <pivotArea collapsedLevelsAreSubtotals="1" fieldPosition="0">
        <references count="1">
          <reference field="7" count="0"/>
        </references>
      </pivotArea>
    </format>
    <format dxfId="26">
      <pivotArea collapsedLevelsAreSubtotals="1" fieldPosition="0">
        <references count="1">
          <reference field="7" count="0"/>
        </references>
      </pivotArea>
    </format>
    <format dxfId="27">
      <pivotArea collapsedLevelsAreSubtotals="1" fieldPosition="0">
        <references count="1">
          <reference field="7" count="0"/>
        </references>
      </pivotArea>
    </format>
    <format dxfId="28">
      <pivotArea collapsedLevelsAreSubtotals="1" fieldPosition="0">
        <references count="1">
          <reference field="7" count="0"/>
        </references>
      </pivotArea>
    </format>
    <format dxfId="29">
      <pivotArea collapsedLevelsAreSubtotals="1" fieldPosition="0">
        <references count="1">
          <reference field="7"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6" cacheId="3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location ref="AW2:BE5" firstHeaderRow="0" firstDataRow="1" firstDataCol="1"/>
  <pivotFields count="83">
    <pivotField showAll="0"/>
    <pivotField showAll="0"/>
    <pivotField showAll="0"/>
    <pivotField showAll="0"/>
    <pivotField showAll="0" defaultSubtotal="0"/>
    <pivotField showAll="0"/>
    <pivotField axis="axisRow" showAll="0">
      <items count="15">
        <item m="1" x="5"/>
        <item m="1" x="11"/>
        <item m="1" x="7"/>
        <item m="1" x="6"/>
        <item m="1" x="9"/>
        <item m="1" x="13"/>
        <item m="1" x="8"/>
        <item m="1" x="12"/>
        <item m="1" x="10"/>
        <item m="1" x="3"/>
        <item m="1" x="4"/>
        <item x="0"/>
        <item x="1"/>
        <item x="2"/>
        <item t="default"/>
      </items>
    </pivotField>
    <pivotField showAll="0"/>
    <pivotField numFmtId="166" showAll="0"/>
    <pivotField numFmtId="166" showAll="0"/>
    <pivotField numFmtId="166" showAll="0"/>
    <pivotField numFmtId="166" showAll="0"/>
    <pivotField numFmtId="166"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pivotField showAll="0"/>
    <pivotField showAll="0"/>
    <pivotField showAll="0"/>
    <pivotField showAll="0"/>
    <pivotField showAll="0"/>
    <pivotField showAll="0"/>
    <pivotField showAll="0"/>
    <pivotField showAll="0"/>
    <pivotField showAll="0"/>
    <pivotField showAll="0"/>
    <pivotField showAll="0"/>
    <pivotField dataField="1" numFmtId="165" showAll="0"/>
    <pivotField dataField="1" numFmtId="165" showAll="0"/>
    <pivotField dataField="1" numFmtId="165" showAll="0" defaultSubtotal="0"/>
    <pivotField dataField="1" numFmtId="165" showAll="0" defaultSubtota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defaultSubtotal="0"/>
    <pivotField dataField="1" showAll="0" defaultSubtotal="0"/>
    <pivotField numFmtId="165" showAll="0" defaultSubtotal="0"/>
    <pivotField numFmtId="165" showAll="0" defaultSubtotal="0"/>
    <pivotField numFmtId="165" showAll="0" defaultSubtotal="0"/>
    <pivotField numFmtId="165" showAll="0" defaultSubtotal="0"/>
    <pivotField numFmtId="165" showAll="0" defaultSubtotal="0"/>
  </pivotFields>
  <rowFields count="1">
    <field x="6"/>
  </rowFields>
  <rowItems count="3">
    <i>
      <x v="11"/>
    </i>
    <i>
      <x v="12"/>
    </i>
    <i>
      <x v="13"/>
    </i>
  </rowItems>
  <colFields count="1">
    <field x="-2"/>
  </colFields>
  <colItems count="8">
    <i>
      <x/>
    </i>
    <i i="1">
      <x v="1"/>
    </i>
    <i i="2">
      <x v="2"/>
    </i>
    <i i="3">
      <x v="3"/>
    </i>
    <i i="4">
      <x v="4"/>
    </i>
    <i i="5">
      <x v="5"/>
    </i>
    <i i="6">
      <x v="6"/>
    </i>
    <i i="7">
      <x v="7"/>
    </i>
  </colItems>
  <dataFields count="8">
    <dataField name="Sum of Cal_Q1_x000a_Saving" fld="39" baseField="0" baseItem="0"/>
    <dataField name="Sum of Cal_Q2_x000a_Saving" fld="40" baseField="0" baseItem="0"/>
    <dataField name="Sum of Cal_Q3_x000a_Saving" fld="41" baseField="0" baseItem="0"/>
    <dataField name="Sum of Cal_Q4_x000a_Saving" fld="42" baseField="0" baseItem="0"/>
    <dataField name="Sum of Ann_Q1" fld="74" baseField="6" baseItem="5"/>
    <dataField name="Sum of Ann_Q2" fld="75" baseField="6" baseItem="5"/>
    <dataField name="Sum of Ann_Q3" fld="76" baseField="6" baseItem="2"/>
    <dataField name="Sum of Ann_Q4" fld="77" baseField="6" baseItem="2"/>
  </dataFields>
  <formats count="5">
    <format dxfId="5">
      <pivotArea outline="0" collapsedLevelsAreSubtotals="1" fieldPosition="0"/>
    </format>
    <format dxfId="6">
      <pivotArea outline="0" collapsedLevelsAreSubtotals="1" fieldPosition="0"/>
    </format>
    <format dxfId="7">
      <pivotArea outline="0" collapsedLevelsAreSubtotals="1" fieldPosition="0"/>
    </format>
    <format dxfId="8">
      <pivotArea outline="0" collapsedLevelsAreSubtotals="1" fieldPosition="0"/>
    </format>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5" cacheId="3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location ref="AF12:AK15" firstHeaderRow="0" firstDataRow="1" firstDataCol="1"/>
  <pivotFields count="83">
    <pivotField showAll="0"/>
    <pivotField showAll="0"/>
    <pivotField showAll="0"/>
    <pivotField showAll="0"/>
    <pivotField showAll="0" defaultSubtotal="0"/>
    <pivotField showAll="0">
      <items count="16">
        <item m="1" x="4"/>
        <item m="1" x="5"/>
        <item m="1" x="10"/>
        <item m="1" x="7"/>
        <item m="1" x="11"/>
        <item m="1" x="6"/>
        <item m="1" x="8"/>
        <item x="0"/>
        <item m="1" x="9"/>
        <item m="1" x="14"/>
        <item x="1"/>
        <item x="2"/>
        <item x="3"/>
        <item m="1" x="12"/>
        <item m="1" x="13"/>
        <item t="default"/>
      </items>
    </pivotField>
    <pivotField axis="axisRow" showAll="0">
      <items count="15">
        <item m="1" x="5"/>
        <item m="1" x="11"/>
        <item m="1" x="7"/>
        <item m="1" x="6"/>
        <item m="1" x="9"/>
        <item m="1" x="13"/>
        <item m="1" x="8"/>
        <item m="1" x="12"/>
        <item m="1" x="10"/>
        <item m="1" x="3"/>
        <item m="1" x="4"/>
        <item x="0"/>
        <item x="1"/>
        <item x="2"/>
        <item t="default"/>
      </items>
    </pivotField>
    <pivotField showAll="0"/>
    <pivotField numFmtId="166" showAll="0"/>
    <pivotField numFmtId="166" showAll="0"/>
    <pivotField numFmtId="166" showAll="0"/>
    <pivotField numFmtId="166" showAll="0"/>
    <pivotField numFmtId="166"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pivotField showAll="0"/>
    <pivotField showAll="0"/>
    <pivotField showAll="0"/>
    <pivotField showAll="0"/>
    <pivotField showAll="0"/>
    <pivotField showAll="0"/>
    <pivotField showAll="0"/>
    <pivotField showAll="0"/>
    <pivotField showAll="0"/>
    <pivotField showAll="0"/>
    <pivotField showAll="0"/>
    <pivotField numFmtId="165" showAll="0"/>
    <pivotField numFmtId="165" showAll="0"/>
    <pivotField numFmtId="165" showAll="0" defaultSubtotal="0"/>
    <pivotField numFmtId="165" showAll="0" defaultSubtota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dataField="1" numFmtId="165" showAll="0" defaultSubtotal="0"/>
    <pivotField dataField="1" numFmtId="165" showAll="0" defaultSubtotal="0"/>
    <pivotField dataField="1" numFmtId="165" showAll="0" defaultSubtotal="0"/>
    <pivotField dataField="1" numFmtId="165" showAll="0" defaultSubtotal="0"/>
    <pivotField dataField="1" numFmtId="165" showAll="0" defaultSubtotal="0"/>
  </pivotFields>
  <rowFields count="1">
    <field x="6"/>
  </rowFields>
  <rowItems count="3">
    <i>
      <x v="11"/>
    </i>
    <i>
      <x v="12"/>
    </i>
    <i>
      <x v="13"/>
    </i>
  </rowItems>
  <colFields count="1">
    <field x="-2"/>
  </colFields>
  <colItems count="5">
    <i>
      <x/>
    </i>
    <i i="1">
      <x v="1"/>
    </i>
    <i i="2">
      <x v="2"/>
    </i>
    <i i="3">
      <x v="3"/>
    </i>
    <i i="4">
      <x v="4"/>
    </i>
  </colItems>
  <dataFields count="5">
    <dataField name="Sum of Labor_ASV" fld="78" baseField="0" baseItem="0"/>
    <dataField name="Sum of Yield_ASV" fld="79" baseField="0" baseItem="0"/>
    <dataField name="Sum of Material_ASV" fld="80" baseField="0" baseItem="0"/>
    <dataField name="Sum of OH_ASV" fld="81" baseField="0" baseItem="0"/>
    <dataField name="Sum of Total_ASV" fld="82" baseField="0" baseItem="0"/>
  </dataFields>
  <formats count="5">
    <format dxfId="0">
      <pivotArea outline="0" collapsedLevelsAreSubtotals="1" fieldPosition="0"/>
    </format>
    <format dxfId="1">
      <pivotArea outline="0" collapsedLevelsAreSubtotals="1" fieldPosition="0"/>
    </format>
    <format dxfId="2">
      <pivotArea outline="0" collapsedLevelsAreSubtotals="1" fieldPosition="0"/>
    </format>
    <format dxfId="3">
      <pivotArea outline="0" collapsedLevelsAreSubtotals="1" fieldPosition="0"/>
    </format>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VC_Project" sourceName="VC Project">
  <pivotTables>
    <pivotTable tabId="6" name="PivotTable1"/>
    <pivotTable tabId="6" name="PivotTable3"/>
    <pivotTable tabId="6" name="PivotTable5"/>
  </pivotTables>
  <data>
    <tabular pivotCacheId="1">
      <items count="15">
        <i x="0" s="1"/>
        <i x="1" s="1"/>
        <i x="2" s="1"/>
        <i x="3" s="1"/>
        <i x="4" s="1" nd="1"/>
        <i x="5" s="1" nd="1"/>
        <i x="10" s="1" nd="1"/>
        <i x="7" s="1" nd="1"/>
        <i x="11" s="1" nd="1"/>
        <i x="6" s="1" nd="1"/>
        <i x="8" s="1" nd="1"/>
        <i x="9" s="1" nd="1"/>
        <i x="14" s="1" nd="1"/>
        <i x="12" s="1" nd="1"/>
        <i x="13"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6" name="PivotTable2"/>
    <pivotTable tabId="6" name="PivotTable1"/>
  </pivotTables>
  <data>
    <tabular pivotCacheId="1">
      <items count="14">
        <i x="2" s="1"/>
        <i x="1" s="1"/>
        <i x="0" s="1"/>
        <i x="3" s="1" nd="1"/>
        <i x="4" s="1" nd="1"/>
        <i x="5" s="1" nd="1"/>
        <i x="11" s="1" nd="1"/>
        <i x="7" s="1" nd="1"/>
        <i x="6" s="1" nd="1"/>
        <i x="9" s="1" nd="1"/>
        <i x="13" s="1" nd="1"/>
        <i x="8" s="1" nd="1"/>
        <i x="10" s="1" nd="1"/>
        <i x="12"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VC Project 1" cache="Slicer_VC_Project" caption="VC Project" style="Dashboard" rowHeight="234950"/>
  <slicer name="Category 1" cache="Slicer_Category" caption="Process Line" style="Dashboard" rowHeight="234950"/>
</slicers>
</file>

<file path=xl/tables/table1.xml><?xml version="1.0" encoding="utf-8"?>
<table xmlns="http://schemas.openxmlformats.org/spreadsheetml/2006/main" id="1" name="Table1" displayName="Table1" ref="C2:CG319" totalsRowShown="0" headerRowDxfId="112">
  <autoFilter ref="C2:CG319"/>
  <tableColumns count="83">
    <tableColumn id="1" name="Project Number" dataDxfId="111"/>
    <tableColumn id="2" name="Part Number" dataDxfId="110"/>
    <tableColumn id="3" name="VAM-REC" dataDxfId="109"/>
    <tableColumn id="4" name="Start Date" dataDxfId="108">
      <calculatedColumnFormula>INDEX(Proj_Reg!G:G,MATCH($C3,Proj_Reg!$B:$B,0),1)</calculatedColumnFormula>
    </tableColumn>
    <tableColumn id="5" name="End Date" dataDxfId="107">
      <calculatedColumnFormula>INDEX(Proj_Reg!H:H,MATCH($C3,Proj_Reg!$B:$B,0),1)</calculatedColumnFormula>
    </tableColumn>
    <tableColumn id="6" name="VC Project" dataDxfId="106">
      <calculatedColumnFormula>IF(INDEX(Proj_Reg!C:C,MATCH($C3,Proj_Reg!$B:$B,0),1)=0,"",INDEX(Proj_Reg!C:C,MATCH($C3,Proj_Reg!$B:$B,0),1))</calculatedColumnFormula>
    </tableColumn>
    <tableColumn id="7" name="Category" dataDxfId="105">
      <calculatedColumnFormula>IF(INDEX(Proj_Reg!D:D,MATCH($C3,Proj_Reg!$B:$B,0),1)=0,"",INDEX(Proj_Reg!D:D,MATCH($C3,Proj_Reg!$B:$B,0),1))</calculatedColumnFormula>
    </tableColumn>
    <tableColumn id="8" name="Project Name" dataDxfId="104">
      <calculatedColumnFormula>INDEX(Proj_Reg!E:E,MATCH($C3,Proj_Reg!$B:$B,0),1)</calculatedColumnFormula>
    </tableColumn>
    <tableColumn id="9" name="Labor_x000a_Saving" dataDxfId="103"/>
    <tableColumn id="10" name="Yield_x000a_Saving" dataDxfId="102"/>
    <tableColumn id="11" name="Material_x000a_Saving" dataDxfId="101"/>
    <tableColumn id="12" name="OH_x000a_Saving" dataDxfId="100"/>
    <tableColumn id="13" name="Total_x000a_Saving" dataDxfId="99">
      <calculatedColumnFormula>SUM(Table1[[#This Row],[Labor
Saving]:[OH
Saving]])</calculatedColumnFormula>
    </tableColumn>
    <tableColumn id="14" name="Status"/>
    <tableColumn id="16" name="Jan" dataDxfId="98" dataCellStyle="Percent">
      <calculatedColumnFormula>IFERROR(IF($F3=Q$1,0.3,IF(AND(Q$1&gt;$F3,Q$1&lt;=$G3),100%,0))*AZ3,"")</calculatedColumnFormula>
    </tableColumn>
    <tableColumn id="17" name="Feb" dataDxfId="97" dataCellStyle="Percent">
      <calculatedColumnFormula>IFERROR(IF($F3=R$1,0.3,IF(AND(R$1&gt;$F3,R$1&lt;=$G3),100%,0))*BA3,"")</calculatedColumnFormula>
    </tableColumn>
    <tableColumn id="18" name="Mar" dataDxfId="96" dataCellStyle="Percent">
      <calculatedColumnFormula>IFERROR(IF($F3=S$1,0.3,IF(AND(S$1&gt;$F3,S$1&lt;=$G3),100%,0))*BB3,"")</calculatedColumnFormula>
    </tableColumn>
    <tableColumn id="19" name="Apr" dataDxfId="95" dataCellStyle="Percent">
      <calculatedColumnFormula>IFERROR(IF($F3=T$1,0.3,IF(AND(T$1&gt;$F3,T$1&lt;=$G3),100%,0))*BC3,"")</calculatedColumnFormula>
    </tableColumn>
    <tableColumn id="20" name="May" dataDxfId="94" dataCellStyle="Percent">
      <calculatedColumnFormula>IFERROR(IF($F3=U$1,0.3,IF(AND(U$1&gt;$F3,U$1&lt;=$G3),100%,0))*BD3,"")</calculatedColumnFormula>
    </tableColumn>
    <tableColumn id="21" name="Jun" dataDxfId="93" dataCellStyle="Percent">
      <calculatedColumnFormula>IFERROR(IF($F3=V$1,0.3,IF(AND(V$1&gt;$F3,V$1&lt;=$G3),100%,0))*BE3,"")</calculatedColumnFormula>
    </tableColumn>
    <tableColumn id="22" name="Jul" dataDxfId="92" dataCellStyle="Percent">
      <calculatedColumnFormula>IFERROR(IF($F3=W$1,0.3,IF(AND(W$1&gt;$F3,W$1&lt;=$G3),100%,0))*BF3,"")</calculatedColumnFormula>
    </tableColumn>
    <tableColumn id="23" name="Aug" dataDxfId="91" dataCellStyle="Percent">
      <calculatedColumnFormula>IFERROR(IF($F3=X$1,0.3,IF(AND(X$1&gt;$F3,X$1&lt;=$G3),100%,0))*BG3,"")</calculatedColumnFormula>
    </tableColumn>
    <tableColumn id="24" name="Sep" dataDxfId="90" dataCellStyle="Percent">
      <calculatedColumnFormula>IFERROR(IF($F3=Y$1,0.7,IF(AND(Y$1&gt;$F3,Y$1&lt;=$G3),100%,0))*BH3,"")</calculatedColumnFormula>
    </tableColumn>
    <tableColumn id="25" name="Oct" dataDxfId="89" dataCellStyle="Percent">
      <calculatedColumnFormula>IFERROR(IF($F3=Z$1,0.3,IF(AND(Z$1&gt;$F3,Z$1&lt;=$G3),100%,0))*BI3,"")</calculatedColumnFormula>
    </tableColumn>
    <tableColumn id="26" name="Nov" dataDxfId="88" dataCellStyle="Percent">
      <calculatedColumnFormula>IFERROR(IF($F3=AA$1,0.3,IF(AND(AA$1&gt;$F3,AA$1&lt;=$G3),100%,0))*BJ3,"")</calculatedColumnFormula>
    </tableColumn>
    <tableColumn id="27" name="Dec" dataDxfId="87" dataCellStyle="Percent">
      <calculatedColumnFormula>IFERROR(IF($F3=AB$1,0.3,IF(AND(AB$1&gt;$F3,AB$1&lt;=$G3),100%,0))*BK3,"")</calculatedColumnFormula>
    </tableColumn>
    <tableColumn id="28" name="Calendar_x000a_Volume2" dataDxfId="86">
      <calculatedColumnFormula>SUM(Table1[[#This Row],[Jan]:[Dec]])</calculatedColumnFormula>
    </tableColumn>
    <tableColumn id="29" name="Jan_CSV" dataDxfId="85">
      <calculatedColumnFormula>IFERROR($O3*Q3,"")</calculatedColumnFormula>
    </tableColumn>
    <tableColumn id="30" name="Feb_CSV" dataDxfId="84">
      <calculatedColumnFormula>IFERROR($O3*R3,"")</calculatedColumnFormula>
    </tableColumn>
    <tableColumn id="31" name="Mar_CSV" dataDxfId="83">
      <calculatedColumnFormula>IFERROR($O3*S3,"")</calculatedColumnFormula>
    </tableColumn>
    <tableColumn id="32" name="Apr_CSV" dataDxfId="82">
      <calculatedColumnFormula>IFERROR($O3*T3,"")</calculatedColumnFormula>
    </tableColumn>
    <tableColumn id="33" name="May_CSV" dataDxfId="81">
      <calculatedColumnFormula>IFERROR($O3*U3,"")</calculatedColumnFormula>
    </tableColumn>
    <tableColumn id="34" name="Jun_CSV" dataDxfId="80">
      <calculatedColumnFormula>IFERROR($O3*V3,"")</calculatedColumnFormula>
    </tableColumn>
    <tableColumn id="35" name="Jul_CSV" dataDxfId="79">
      <calculatedColumnFormula>IFERROR($O3*W3,"")</calculatedColumnFormula>
    </tableColumn>
    <tableColumn id="36" name="Aug_CSV" dataDxfId="78">
      <calculatedColumnFormula>IFERROR($O3*X3,"")</calculatedColumnFormula>
    </tableColumn>
    <tableColumn id="37" name="Sep_CSV" dataDxfId="77">
      <calculatedColumnFormula>IFERROR($O3*Y3,"")</calculatedColumnFormula>
    </tableColumn>
    <tableColumn id="38" name="Oct_CSV" dataDxfId="76">
      <calculatedColumnFormula>IFERROR($O3*Z3,"")</calculatedColumnFormula>
    </tableColumn>
    <tableColumn id="39" name="Nov_CSV" dataDxfId="75">
      <calculatedColumnFormula>IFERROR($O3*AA3,"")</calculatedColumnFormula>
    </tableColumn>
    <tableColumn id="40" name="Dec_CSV" dataDxfId="74">
      <calculatedColumnFormula>IFERROR($O3*AB3,"")</calculatedColumnFormula>
    </tableColumn>
    <tableColumn id="41" name="Cal_Q1_x000a_Saving" dataDxfId="73">
      <calculatedColumnFormula>SUM(AD3:AF3)</calculatedColumnFormula>
    </tableColumn>
    <tableColumn id="42" name="Cal_Q2_x000a_Saving" dataDxfId="72">
      <calculatedColumnFormula>SUM(AG3:AI3)</calculatedColumnFormula>
    </tableColumn>
    <tableColumn id="43" name="Cal_Q3_x000a_Saving" dataDxfId="71">
      <calculatedColumnFormula>SUM(AJ3:AL3)</calculatedColumnFormula>
    </tableColumn>
    <tableColumn id="44" name="Cal_Q4_x000a_Saving" dataDxfId="70">
      <calculatedColumnFormula>SUM(AM3:AO3)</calculatedColumnFormula>
    </tableColumn>
    <tableColumn id="45" name="Column4" dataDxfId="69">
      <calculatedColumnFormula>SUM(AD3:AO3)=SUM(AP3:AS3)</calculatedColumnFormula>
    </tableColumn>
    <tableColumn id="46" name="Labor_CSV" dataDxfId="68">
      <calculatedColumnFormula>IFERROR(K3*SUM($Q3:$AB3),"")</calculatedColumnFormula>
    </tableColumn>
    <tableColumn id="47" name="Yield_CSV" dataDxfId="67">
      <calculatedColumnFormula>IFERROR(L3*SUM($Q3:$AB3),"")</calculatedColumnFormula>
    </tableColumn>
    <tableColumn id="48" name="Material_CSV" dataDxfId="66">
      <calculatedColumnFormula>IFERROR(M3*SUM($Q3:$AB3),"")</calculatedColumnFormula>
    </tableColumn>
    <tableColumn id="49" name="OH_CSV" dataDxfId="65">
      <calculatedColumnFormula>IFERROR(N3*SUM($Q3:$AB3),"")</calculatedColumnFormula>
    </tableColumn>
    <tableColumn id="50" name="Total__CSV" dataDxfId="64">
      <calculatedColumnFormula>SUM(AU3:AX3)</calculatedColumnFormula>
    </tableColumn>
    <tableColumn id="52" name="Jan_AVF" dataDxfId="63">
      <calculatedColumnFormula>IFERROR(IF($E3="REC",INDEX(A_Type_Volume!$B:$B,MATCH($D3,A_Type_Volume!$A:$A,0),1),IF($E3="VAM",INDEX(C_Type_Volume!$B:$B,MATCH($D3,C_Type_Volume!$A:$A,0),1),"X")),"")</calculatedColumnFormula>
    </tableColumn>
    <tableColumn id="53" name="Feb_AVF" dataDxfId="62">
      <calculatedColumnFormula>IFERROR(IF($E3="REC",INDEX(A_Type_Volume!$C:$C,MATCH($D3,A_Type_Volume!$A:$A,0),1),IF($E3="VAM",INDEX(C_Type_Volume!$C:$C,MATCH($D3,C_Type_Volume!$A:$A,0),1),"X")),"")</calculatedColumnFormula>
    </tableColumn>
    <tableColumn id="54" name="Mar_AVF" dataDxfId="61">
      <calculatedColumnFormula>IFERROR(IF($E3="REC",INDEX(A_Type_Volume!$D:$D,MATCH($D3,A_Type_Volume!$A:$A,0),1),IF($E3="VAM",INDEX(C_Type_Volume!$D:$D,MATCH($D3,C_Type_Volume!$A:$A,0),1),"X")),"")</calculatedColumnFormula>
    </tableColumn>
    <tableColumn id="55" name="Apr_AVF" dataDxfId="60">
      <calculatedColumnFormula>IFERROR(IF($E3="REC",INDEX(A_Type_Volume!$E:$E,MATCH($D3,A_Type_Volume!$A:$A,0),1),IF($E3="VAM",INDEX(C_Type_Volume!$E:$E,MATCH($D3,C_Type_Volume!$A:$A,0),1),"X")),"")</calculatedColumnFormula>
    </tableColumn>
    <tableColumn id="56" name="May_AVF" dataDxfId="59">
      <calculatedColumnFormula>IFERROR(IF($E3="REC",INDEX(A_Type_Volume!$F:$F,MATCH($D3,A_Type_Volume!$A:$A,0),1),IF($E3="VAM",INDEX(C_Type_Volume!$F:$F,MATCH($D3,C_Type_Volume!$A:$A,0),1),"X")),"")</calculatedColumnFormula>
    </tableColumn>
    <tableColumn id="57" name="Jun_AVF" dataDxfId="58">
      <calculatedColumnFormula>IFERROR(IF($E3="REC",INDEX(A_Type_Volume!$G:$G,MATCH($D3,A_Type_Volume!$A:$A,0),1),IF($E3="VAM",INDEX(C_Type_Volume!$G:$G,MATCH($D3,C_Type_Volume!$A:$A,0),1),"X")),"")</calculatedColumnFormula>
    </tableColumn>
    <tableColumn id="58" name="Jul_AVF" dataDxfId="57">
      <calculatedColumnFormula>IFERROR(IF($E3="REC",INDEX(A_Type_Volume!$H:$H,MATCH($D3,A_Type_Volume!$A:$A,0),1),IF($E3="VAM",INDEX(C_Type_Volume!$H:$H,MATCH($D3,C_Type_Volume!$A:$A,0),1),"X")),"")</calculatedColumnFormula>
    </tableColumn>
    <tableColumn id="59" name="Aug_AVF" dataDxfId="56">
      <calculatedColumnFormula>IFERROR(IF($E3="REC",INDEX(A_Type_Volume!$I:$I,MATCH($D3,A_Type_Volume!$A:$A,0),1),IF($E3="VAM",INDEX(C_Type_Volume!$I:$I,MATCH($D3,C_Type_Volume!$A:$A,0),1),"X")),"")</calculatedColumnFormula>
    </tableColumn>
    <tableColumn id="60" name="Sep_AVF" dataDxfId="55">
      <calculatedColumnFormula>IFERROR(IF($E3="REC",INDEX(A_Type_Volume!$J:$J,MATCH($D3,A_Type_Volume!$A:$A,0),1),IF($E3="VAM",INDEX(C_Type_Volume!$J:$J,MATCH($D3,C_Type_Volume!$A:$A,0),1),"X")),"")</calculatedColumnFormula>
    </tableColumn>
    <tableColumn id="61" name="Oct_AVF" dataDxfId="54">
      <calculatedColumnFormula>IFERROR(IF($E3="REC",INDEX(A_Type_Volume!$K:$K,MATCH($D3,A_Type_Volume!$A:$A,0),1),IF($E3="VAM",INDEX(C_Type_Volume!$K:$K,MATCH($D3,C_Type_Volume!$A:$A,0),1),"X")),"")</calculatedColumnFormula>
    </tableColumn>
    <tableColumn id="62" name="Nov_AVF" dataDxfId="53">
      <calculatedColumnFormula>IFERROR(IF($E3="REC",INDEX(A_Type_Volume!$L:$L,MATCH($D3,A_Type_Volume!$A:$A,0),1),IF($E3="VAM",INDEX(C_Type_Volume!$L:$L,MATCH($D3,C_Type_Volume!$A:$A,0),1),"X")),"")</calculatedColumnFormula>
    </tableColumn>
    <tableColumn id="63" name="Dec_AVF" dataDxfId="52">
      <calculatedColumnFormula>IFERROR(IF($E3="REC",INDEX(A_Type_Volume!M:M,MATCH($D3,A_Type_Volume!$A:$A,0),1),IF($E3="VAM",INDEX(C_Type_Volume!M:M,MATCH($D3,C_Type_Volume!$A:$A,0),1),"X")),"")</calculatedColumnFormula>
    </tableColumn>
    <tableColumn id="64" name="Annual Volume" dataDxfId="51">
      <calculatedColumnFormula>SUM(Table1[[#This Row],[Jan_AVF]:[Dec_AVF]])</calculatedColumnFormula>
    </tableColumn>
    <tableColumn id="65" name="Jan_ASV" dataDxfId="50">
      <calculatedColumnFormula>AZ3*$O3</calculatedColumnFormula>
    </tableColumn>
    <tableColumn id="66" name="Feb_ASV" dataDxfId="49">
      <calculatedColumnFormula>BA3*$O3</calculatedColumnFormula>
    </tableColumn>
    <tableColumn id="67" name="Mar_ASV" dataDxfId="48">
      <calculatedColumnFormula>BB3*$O3</calculatedColumnFormula>
    </tableColumn>
    <tableColumn id="68" name="Apr_ASV" dataDxfId="47">
      <calculatedColumnFormula>BC3*$O3</calculatedColumnFormula>
    </tableColumn>
    <tableColumn id="69" name="May_ASV" dataDxfId="46">
      <calculatedColumnFormula>BD3*$O3</calculatedColumnFormula>
    </tableColumn>
    <tableColumn id="70" name="Jun_ASV" dataDxfId="45">
      <calculatedColumnFormula>BE3*$O3</calculatedColumnFormula>
    </tableColumn>
    <tableColumn id="71" name="Jul_ASV" dataDxfId="44">
      <calculatedColumnFormula>BF3*$O3</calculatedColumnFormula>
    </tableColumn>
    <tableColumn id="72" name="Aug_ASV" dataDxfId="43">
      <calculatedColumnFormula>BG3*$O3</calculatedColumnFormula>
    </tableColumn>
    <tableColumn id="73" name="Sep_ASV" dataDxfId="42">
      <calculatedColumnFormula>BH3*$O3</calculatedColumnFormula>
    </tableColumn>
    <tableColumn id="74" name="Oct_ASV" dataDxfId="41">
      <calculatedColumnFormula>BI3*$O3</calculatedColumnFormula>
    </tableColumn>
    <tableColumn id="75" name="Nov_ASV" dataDxfId="40">
      <calculatedColumnFormula>BJ3*$O3</calculatedColumnFormula>
    </tableColumn>
    <tableColumn id="76" name="Dec_ASV" dataDxfId="39">
      <calculatedColumnFormula>BK3*$O3</calculatedColumnFormula>
    </tableColumn>
    <tableColumn id="77" name="Ann_Q1_x000a_Saving" dataDxfId="38">
      <calculatedColumnFormula>IFERROR(SUM(BM3:BO3),"")</calculatedColumnFormula>
    </tableColumn>
    <tableColumn id="78" name="Ann_Q2_x000a_Saving" dataDxfId="37">
      <calculatedColumnFormula>IFERROR(SUM(BP3:BR3),"")</calculatedColumnFormula>
    </tableColumn>
    <tableColumn id="79" name="Ann_Q3_x000a_Saving" dataDxfId="36">
      <calculatedColumnFormula>IFERROR(SUM(BS3:BU3),"")</calculatedColumnFormula>
    </tableColumn>
    <tableColumn id="80" name="Ann_Q4_x000a_Saving" dataDxfId="35">
      <calculatedColumnFormula>IFERROR(SUM(BV3:BX3),"")</calculatedColumnFormula>
    </tableColumn>
    <tableColumn id="81" name="Labor_ASV" dataDxfId="34">
      <calculatedColumnFormula>IFERROR(Table1[[#This Row],[Labor
Saving]]*Table1[[#This Row],[Annual Volume]],"")</calculatedColumnFormula>
    </tableColumn>
    <tableColumn id="82" name="Yield_ASV" dataDxfId="33">
      <calculatedColumnFormula>IFERROR(Table1[[#This Row],[Annual Volume]]*Table1[[#This Row],[Yield
Saving]],"")</calculatedColumnFormula>
    </tableColumn>
    <tableColumn id="83" name="Material_ASV" dataDxfId="32">
      <calculatedColumnFormula>IFERROR(Table1[[#This Row],[Annual Volume]]*Table1[[#This Row],[Material
Saving]],"")</calculatedColumnFormula>
    </tableColumn>
    <tableColumn id="84" name="OH_ASV" dataDxfId="31">
      <calculatedColumnFormula>IFERROR(Table1[[#This Row],[OH
Saving]]*Table1[[#This Row],[Annual Volume]],"")</calculatedColumnFormula>
    </tableColumn>
    <tableColumn id="85" name="Total_ASV" dataDxfId="30">
      <calculatedColumnFormula>SUM(Table1[[#This Row],[Labor_ASV]:[OH_ASV]])</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07/relationships/slicer" Target="../slicers/slicer1.xml"/><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2.v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rinterSettings" Target="../printerSettings/printerSettings4.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tabColor rgb="FF002060"/>
  </sheetPr>
  <dimension ref="A1:AS70"/>
  <sheetViews>
    <sheetView showGridLines="0" tabSelected="1" zoomScale="85" zoomScaleNormal="85" workbookViewId="0">
      <selection activeCell="B2" sqref="B2:Z2"/>
    </sheetView>
  </sheetViews>
  <sheetFormatPr defaultRowHeight="14.4" x14ac:dyDescent="0.3"/>
  <cols>
    <col min="1" max="1" width="2.33203125" style="46" customWidth="1"/>
    <col min="2" max="2" width="2.33203125" customWidth="1"/>
    <col min="3" max="3" width="5.77734375" customWidth="1"/>
    <col min="4" max="4" width="8" customWidth="1"/>
    <col min="14" max="14" width="8.88671875" customWidth="1"/>
    <col min="15" max="15" width="0.77734375" customWidth="1"/>
    <col min="27" max="27" width="4.33203125" style="46" customWidth="1"/>
    <col min="28" max="28" width="28.5546875" style="46" customWidth="1"/>
    <col min="29" max="32" width="14.109375" style="46" customWidth="1"/>
    <col min="33" max="45" width="8.88671875" style="46"/>
  </cols>
  <sheetData>
    <row r="1" spans="2:32" ht="7.8" customHeight="1" thickBot="1" x14ac:dyDescent="0.35">
      <c r="B1" s="46"/>
      <c r="C1" s="46"/>
      <c r="D1" s="46"/>
      <c r="E1" s="46"/>
      <c r="F1" s="46"/>
      <c r="G1" s="46"/>
      <c r="H1" s="46"/>
      <c r="I1" s="46"/>
      <c r="J1" s="46"/>
      <c r="K1" s="46"/>
      <c r="L1" s="46"/>
      <c r="M1" s="46"/>
      <c r="N1" s="46"/>
      <c r="O1" s="46"/>
      <c r="P1" s="46"/>
      <c r="Q1" s="46"/>
      <c r="R1" s="46"/>
      <c r="S1" s="46"/>
      <c r="T1" s="46"/>
      <c r="U1" s="46"/>
      <c r="V1" s="46"/>
      <c r="W1" s="46"/>
      <c r="X1" s="46"/>
      <c r="Y1" s="46"/>
      <c r="Z1" s="46"/>
    </row>
    <row r="2" spans="2:32" ht="38.4" customHeight="1" x14ac:dyDescent="0.3">
      <c r="B2" s="110" t="s">
        <v>527</v>
      </c>
      <c r="C2" s="111"/>
      <c r="D2" s="111"/>
      <c r="E2" s="111"/>
      <c r="F2" s="111"/>
      <c r="G2" s="111"/>
      <c r="H2" s="111"/>
      <c r="I2" s="111"/>
      <c r="J2" s="111"/>
      <c r="K2" s="111"/>
      <c r="L2" s="111"/>
      <c r="M2" s="111"/>
      <c r="N2" s="111"/>
      <c r="O2" s="111"/>
      <c r="P2" s="111"/>
      <c r="Q2" s="111"/>
      <c r="R2" s="111"/>
      <c r="S2" s="111"/>
      <c r="T2" s="111"/>
      <c r="U2" s="111"/>
      <c r="V2" s="111"/>
      <c r="W2" s="111"/>
      <c r="X2" s="111"/>
      <c r="Y2" s="111"/>
      <c r="Z2" s="112"/>
    </row>
    <row r="3" spans="2:32" x14ac:dyDescent="0.3">
      <c r="B3" s="87"/>
      <c r="C3" s="88"/>
      <c r="D3" s="88"/>
      <c r="E3" s="88"/>
      <c r="F3" s="88"/>
      <c r="G3" s="88"/>
      <c r="H3" s="88"/>
      <c r="I3" s="88"/>
      <c r="J3" s="88"/>
      <c r="K3" s="88"/>
      <c r="L3" s="88"/>
      <c r="M3" s="88"/>
      <c r="N3" s="88"/>
      <c r="O3" s="88"/>
      <c r="P3" s="88"/>
      <c r="Q3" s="88"/>
      <c r="R3" s="88"/>
      <c r="S3" s="88"/>
      <c r="T3" s="88"/>
      <c r="U3" s="88"/>
      <c r="V3" s="88"/>
      <c r="W3" s="88"/>
      <c r="X3" s="88"/>
      <c r="Y3" s="88"/>
      <c r="Z3" s="89"/>
    </row>
    <row r="4" spans="2:32" x14ac:dyDescent="0.3">
      <c r="B4" s="87"/>
      <c r="C4" s="88"/>
      <c r="D4" s="88"/>
      <c r="E4" s="88"/>
      <c r="F4" s="88"/>
      <c r="G4" s="88"/>
      <c r="H4" s="88"/>
      <c r="I4" s="88"/>
      <c r="J4" s="88"/>
      <c r="K4" s="88"/>
      <c r="L4" s="88"/>
      <c r="M4" s="88"/>
      <c r="N4" s="88"/>
      <c r="O4" s="88"/>
      <c r="P4" s="88"/>
      <c r="Q4" s="88"/>
      <c r="R4" s="88"/>
      <c r="S4" s="88"/>
      <c r="T4" s="88"/>
      <c r="U4" s="88"/>
      <c r="V4" s="88"/>
      <c r="W4" s="88"/>
      <c r="X4" s="88"/>
      <c r="Y4" s="88"/>
      <c r="Z4" s="89"/>
    </row>
    <row r="5" spans="2:32" x14ac:dyDescent="0.3">
      <c r="B5" s="87"/>
      <c r="C5" s="88"/>
      <c r="D5" s="88"/>
      <c r="E5" s="88"/>
      <c r="F5" s="88"/>
      <c r="G5" s="88"/>
      <c r="H5" s="88"/>
      <c r="I5" s="88"/>
      <c r="J5" s="88"/>
      <c r="K5" s="88"/>
      <c r="L5" s="88"/>
      <c r="M5" s="88"/>
      <c r="N5" s="88"/>
      <c r="O5" s="88"/>
      <c r="P5" s="88"/>
      <c r="Q5" s="88"/>
      <c r="R5" s="88"/>
      <c r="S5" s="88"/>
      <c r="T5" s="88"/>
      <c r="U5" s="88"/>
      <c r="V5" s="88"/>
      <c r="W5" s="88"/>
      <c r="X5" s="88"/>
      <c r="Y5" s="88"/>
      <c r="Z5" s="89"/>
      <c r="AB5" s="49" t="s">
        <v>3</v>
      </c>
      <c r="AC5" s="49" t="s">
        <v>4</v>
      </c>
      <c r="AD5" s="49" t="s">
        <v>5</v>
      </c>
      <c r="AE5" s="49" t="s">
        <v>6</v>
      </c>
      <c r="AF5" s="49" t="s">
        <v>7</v>
      </c>
    </row>
    <row r="6" spans="2:32" x14ac:dyDescent="0.3">
      <c r="B6" s="87"/>
      <c r="C6" s="88"/>
      <c r="D6" s="88"/>
      <c r="E6" s="88"/>
      <c r="F6" s="88"/>
      <c r="G6" s="88"/>
      <c r="H6" s="88"/>
      <c r="I6" s="88"/>
      <c r="J6" s="88"/>
      <c r="K6" s="88"/>
      <c r="L6" s="88"/>
      <c r="M6" s="88"/>
      <c r="N6" s="88"/>
      <c r="O6" s="88"/>
      <c r="P6" s="88"/>
      <c r="Q6" s="88"/>
      <c r="R6" s="88"/>
      <c r="S6" s="88"/>
      <c r="T6" s="88"/>
      <c r="U6" s="88"/>
      <c r="V6" s="88"/>
      <c r="W6" s="88"/>
      <c r="X6" s="88"/>
      <c r="Y6" s="88"/>
      <c r="Z6" s="89"/>
      <c r="AB6" s="50" t="str">
        <f ca="1">DataTrans!I3</f>
        <v>Aut Visual 2</v>
      </c>
      <c r="AC6" s="51">
        <f ca="1">DataTrans!J3</f>
        <v>1601.7785023385584</v>
      </c>
      <c r="AD6" s="51">
        <f ca="1">DataTrans!K3</f>
        <v>0</v>
      </c>
      <c r="AE6" s="51">
        <f ca="1">DataTrans!L3</f>
        <v>1242071.3414970986</v>
      </c>
      <c r="AF6" s="51">
        <f ca="1">DataTrans!N3</f>
        <v>1243673.1199994371</v>
      </c>
    </row>
    <row r="7" spans="2:32" x14ac:dyDescent="0.3">
      <c r="B7" s="87"/>
      <c r="C7" s="88"/>
      <c r="D7" s="88"/>
      <c r="E7" s="88"/>
      <c r="F7" s="88"/>
      <c r="G7" s="88"/>
      <c r="H7" s="88"/>
      <c r="I7" s="88"/>
      <c r="J7" s="88"/>
      <c r="K7" s="88"/>
      <c r="L7" s="88"/>
      <c r="M7" s="88"/>
      <c r="N7" s="88"/>
      <c r="O7" s="88"/>
      <c r="P7" s="88"/>
      <c r="Q7" s="88"/>
      <c r="R7" s="88"/>
      <c r="S7" s="88"/>
      <c r="T7" s="88"/>
      <c r="U7" s="88"/>
      <c r="V7" s="88"/>
      <c r="W7" s="88"/>
      <c r="X7" s="88"/>
      <c r="Y7" s="88"/>
      <c r="Z7" s="89"/>
      <c r="AB7" s="50" t="str">
        <f ca="1">DataTrans!I4</f>
        <v>New Etching Chemical Potassium Iodide</v>
      </c>
      <c r="AC7" s="51">
        <f ca="1">DataTrans!J4</f>
        <v>466323.49940569093</v>
      </c>
      <c r="AD7" s="51">
        <f ca="1">DataTrans!K4</f>
        <v>0</v>
      </c>
      <c r="AE7" s="51">
        <f ca="1">DataTrans!L4</f>
        <v>542395.07000000007</v>
      </c>
      <c r="AF7" s="51">
        <f ca="1">DataTrans!N4</f>
        <v>1008718.569405691</v>
      </c>
    </row>
    <row r="8" spans="2:32" x14ac:dyDescent="0.3">
      <c r="B8" s="87"/>
      <c r="C8" s="88"/>
      <c r="D8" s="88"/>
      <c r="E8" s="88"/>
      <c r="F8" s="88"/>
      <c r="G8" s="88"/>
      <c r="H8" s="88"/>
      <c r="I8" s="88"/>
      <c r="J8" s="88"/>
      <c r="K8" s="88"/>
      <c r="L8" s="88"/>
      <c r="M8" s="88"/>
      <c r="N8" s="88"/>
      <c r="O8" s="88"/>
      <c r="P8" s="88"/>
      <c r="Q8" s="88"/>
      <c r="R8" s="88"/>
      <c r="S8" s="88"/>
      <c r="T8" s="88"/>
      <c r="U8" s="88"/>
      <c r="V8" s="88"/>
      <c r="W8" s="88"/>
      <c r="X8" s="88"/>
      <c r="Y8" s="88"/>
      <c r="Z8" s="89"/>
      <c r="AB8" s="50" t="str">
        <f ca="1">DataTrans!I5</f>
        <v>Diamond blade Supplier X</v>
      </c>
      <c r="AC8" s="51">
        <f ca="1">DataTrans!J5</f>
        <v>142724.30946412962</v>
      </c>
      <c r="AD8" s="51">
        <f ca="1">DataTrans!K5</f>
        <v>0</v>
      </c>
      <c r="AE8" s="51">
        <f ca="1">DataTrans!L5</f>
        <v>138102.62000000002</v>
      </c>
      <c r="AF8" s="51">
        <f ca="1">DataTrans!N5</f>
        <v>280826.92946412967</v>
      </c>
    </row>
    <row r="9" spans="2:32" x14ac:dyDescent="0.3">
      <c r="B9" s="87"/>
      <c r="C9" s="88"/>
      <c r="D9" s="88"/>
      <c r="E9" s="88"/>
      <c r="F9" s="88"/>
      <c r="G9" s="88"/>
      <c r="H9" s="88"/>
      <c r="I9" s="88"/>
      <c r="J9" s="88"/>
      <c r="K9" s="88"/>
      <c r="L9" s="88"/>
      <c r="M9" s="88"/>
      <c r="N9" s="88"/>
      <c r="O9" s="88"/>
      <c r="P9" s="88"/>
      <c r="Q9" s="88"/>
      <c r="R9" s="88"/>
      <c r="S9" s="88"/>
      <c r="T9" s="88"/>
      <c r="U9" s="88"/>
      <c r="V9" s="88"/>
      <c r="W9" s="88"/>
      <c r="X9" s="88"/>
      <c r="Y9" s="88"/>
      <c r="Z9" s="89"/>
      <c r="AB9" s="50" t="str">
        <f ca="1">DataTrans!I6</f>
        <v>New Etching Chemical Iodine</v>
      </c>
      <c r="AC9" s="51">
        <f ca="1">DataTrans!J6</f>
        <v>203284.76699999999</v>
      </c>
      <c r="AD9" s="51">
        <f ca="1">DataTrans!K6</f>
        <v>0</v>
      </c>
      <c r="AE9" s="51">
        <f ca="1">DataTrans!L6</f>
        <v>0</v>
      </c>
      <c r="AF9" s="51">
        <f ca="1">DataTrans!N6</f>
        <v>203284.76699999999</v>
      </c>
    </row>
    <row r="10" spans="2:32" x14ac:dyDescent="0.3">
      <c r="B10" s="87"/>
      <c r="C10" s="88"/>
      <c r="D10" s="88"/>
      <c r="E10" s="88"/>
      <c r="F10" s="88"/>
      <c r="G10" s="88"/>
      <c r="H10" s="88"/>
      <c r="I10" s="88"/>
      <c r="J10" s="88"/>
      <c r="K10" s="88"/>
      <c r="L10" s="88"/>
      <c r="M10" s="88"/>
      <c r="N10" s="88"/>
      <c r="O10" s="88"/>
      <c r="P10" s="88"/>
      <c r="Q10" s="88"/>
      <c r="R10" s="88"/>
      <c r="S10" s="88"/>
      <c r="T10" s="88"/>
      <c r="U10" s="88"/>
      <c r="V10" s="88"/>
      <c r="W10" s="88"/>
      <c r="X10" s="88"/>
      <c r="Y10" s="88"/>
      <c r="Z10" s="89"/>
      <c r="AB10" s="50" t="str">
        <f ca="1">DataTrans!I7</f>
        <v>New Etching Chemical Diammonium Cerium</v>
      </c>
      <c r="AC10" s="51">
        <f ca="1">DataTrans!J7</f>
        <v>43275.073628312879</v>
      </c>
      <c r="AD10" s="51">
        <f ca="1">DataTrans!K7</f>
        <v>137338.39531146368</v>
      </c>
      <c r="AE10" s="51">
        <f ca="1">DataTrans!L7</f>
        <v>19756.95763104186</v>
      </c>
      <c r="AF10" s="51">
        <f ca="1">DataTrans!N7</f>
        <v>200370.42657081844</v>
      </c>
    </row>
    <row r="11" spans="2:32" x14ac:dyDescent="0.3">
      <c r="B11" s="87"/>
      <c r="C11" s="88"/>
      <c r="D11" s="88"/>
      <c r="E11" s="88"/>
      <c r="F11" s="88"/>
      <c r="G11" s="88"/>
      <c r="H11" s="88"/>
      <c r="I11" s="88"/>
      <c r="J11" s="88"/>
      <c r="K11" s="88"/>
      <c r="L11" s="88"/>
      <c r="M11" s="88"/>
      <c r="N11" s="88"/>
      <c r="O11" s="88"/>
      <c r="P11" s="88"/>
      <c r="Q11" s="88"/>
      <c r="R11" s="88"/>
      <c r="S11" s="88"/>
      <c r="T11" s="88"/>
      <c r="U11" s="88"/>
      <c r="V11" s="88"/>
      <c r="W11" s="88"/>
      <c r="X11" s="88"/>
      <c r="Y11" s="88"/>
      <c r="Z11" s="89"/>
      <c r="AB11" s="50" t="str">
        <f ca="1">DataTrans!I8</f>
        <v>Sampling Size Reduction</v>
      </c>
      <c r="AC11" s="51">
        <f ca="1">DataTrans!J8</f>
        <v>0</v>
      </c>
      <c r="AD11" s="51">
        <f ca="1">DataTrans!K8</f>
        <v>0</v>
      </c>
      <c r="AE11" s="51">
        <f ca="1">DataTrans!L8</f>
        <v>172527.20264600893</v>
      </c>
      <c r="AF11" s="51">
        <f ca="1">DataTrans!N8</f>
        <v>172527.20264600893</v>
      </c>
    </row>
    <row r="12" spans="2:32" x14ac:dyDescent="0.3">
      <c r="B12" s="87"/>
      <c r="C12" s="88"/>
      <c r="D12" s="88"/>
      <c r="E12" s="88"/>
      <c r="F12" s="88"/>
      <c r="G12" s="88"/>
      <c r="H12" s="88"/>
      <c r="I12" s="88"/>
      <c r="J12" s="88"/>
      <c r="K12" s="88"/>
      <c r="L12" s="88"/>
      <c r="M12" s="88"/>
      <c r="N12" s="88"/>
      <c r="O12" s="88"/>
      <c r="P12" s="88"/>
      <c r="Q12" s="88"/>
      <c r="R12" s="88"/>
      <c r="S12" s="88"/>
      <c r="T12" s="88"/>
      <c r="U12" s="88"/>
      <c r="V12" s="88"/>
      <c r="W12" s="88"/>
      <c r="X12" s="88"/>
      <c r="Y12" s="88"/>
      <c r="Z12" s="89"/>
      <c r="AB12" s="50" t="str">
        <f ca="1">DataTrans!I9</f>
        <v>Chip Cleaning Solvent 1</v>
      </c>
      <c r="AC12" s="51">
        <f ca="1">DataTrans!J9</f>
        <v>62659.887638505599</v>
      </c>
      <c r="AD12" s="51">
        <f ca="1">DataTrans!K9</f>
        <v>0</v>
      </c>
      <c r="AE12" s="51">
        <f ca="1">DataTrans!L9</f>
        <v>76255.19009528929</v>
      </c>
      <c r="AF12" s="51">
        <f ca="1">DataTrans!N9</f>
        <v>138915.07773379487</v>
      </c>
    </row>
    <row r="13" spans="2:32" x14ac:dyDescent="0.3">
      <c r="B13" s="87"/>
      <c r="C13" s="88"/>
      <c r="D13" s="88"/>
      <c r="E13" s="88"/>
      <c r="F13" s="88"/>
      <c r="G13" s="88"/>
      <c r="H13" s="88"/>
      <c r="I13" s="88"/>
      <c r="J13" s="88"/>
      <c r="K13" s="88"/>
      <c r="L13" s="88"/>
      <c r="M13" s="88"/>
      <c r="N13" s="88"/>
      <c r="O13" s="88"/>
      <c r="P13" s="88"/>
      <c r="Q13" s="88"/>
      <c r="R13" s="88"/>
      <c r="S13" s="88"/>
      <c r="T13" s="88"/>
      <c r="U13" s="88"/>
      <c r="V13" s="88"/>
      <c r="W13" s="88"/>
      <c r="X13" s="88"/>
      <c r="Y13" s="88"/>
      <c r="Z13" s="89"/>
      <c r="AB13" s="50" t="str">
        <f ca="1">DataTrans!I10</f>
        <v>Pt Target Supplier X</v>
      </c>
      <c r="AC13" s="51">
        <f ca="1">DataTrans!J10</f>
        <v>92892.078310689438</v>
      </c>
      <c r="AD13" s="51">
        <f ca="1">DataTrans!K10</f>
        <v>0</v>
      </c>
      <c r="AE13" s="51">
        <f ca="1">DataTrans!L10</f>
        <v>38820.749914610715</v>
      </c>
      <c r="AF13" s="51">
        <f ca="1">DataTrans!N10</f>
        <v>131712.82822530015</v>
      </c>
    </row>
    <row r="14" spans="2:32" x14ac:dyDescent="0.3">
      <c r="B14" s="87"/>
      <c r="C14" s="88"/>
      <c r="D14" s="88"/>
      <c r="E14" s="88"/>
      <c r="F14" s="88"/>
      <c r="G14" s="88"/>
      <c r="H14" s="88"/>
      <c r="I14" s="88"/>
      <c r="J14" s="88"/>
      <c r="K14" s="88"/>
      <c r="L14" s="88"/>
      <c r="M14" s="88"/>
      <c r="N14" s="88"/>
      <c r="O14" s="88"/>
      <c r="P14" s="88"/>
      <c r="Q14" s="88"/>
      <c r="R14" s="88"/>
      <c r="S14" s="88"/>
      <c r="T14" s="88"/>
      <c r="U14" s="88"/>
      <c r="V14" s="88"/>
      <c r="W14" s="88"/>
      <c r="X14" s="88"/>
      <c r="Y14" s="88"/>
      <c r="Z14" s="89"/>
      <c r="AB14" s="50" t="str">
        <f ca="1">DataTrans!I11</f>
        <v>TiW etching increase Frequency usage</v>
      </c>
      <c r="AC14" s="51">
        <f ca="1">DataTrans!J11</f>
        <v>7607.5620297951591</v>
      </c>
      <c r="AD14" s="51">
        <f ca="1">DataTrans!K11</f>
        <v>121230.93000000001</v>
      </c>
      <c r="AE14" s="51">
        <f ca="1">DataTrans!L11</f>
        <v>0</v>
      </c>
      <c r="AF14" s="51">
        <f ca="1">DataTrans!N11</f>
        <v>128838.49202979516</v>
      </c>
    </row>
    <row r="15" spans="2:32" x14ac:dyDescent="0.3">
      <c r="B15" s="87"/>
      <c r="C15" s="88"/>
      <c r="D15" s="88"/>
      <c r="E15" s="88"/>
      <c r="F15" s="88"/>
      <c r="G15" s="88"/>
      <c r="H15" s="88"/>
      <c r="I15" s="88"/>
      <c r="J15" s="88"/>
      <c r="K15" s="88"/>
      <c r="L15" s="88"/>
      <c r="M15" s="88"/>
      <c r="N15" s="88"/>
      <c r="O15" s="88"/>
      <c r="P15" s="88"/>
      <c r="Q15" s="88"/>
      <c r="R15" s="88"/>
      <c r="S15" s="88"/>
      <c r="T15" s="88"/>
      <c r="U15" s="88"/>
      <c r="V15" s="88"/>
      <c r="W15" s="88"/>
      <c r="X15" s="88"/>
      <c r="Y15" s="88"/>
      <c r="Z15" s="89"/>
      <c r="AB15" s="50" t="str">
        <f ca="1">DataTrans!I12</f>
        <v>Diamond blade Supplier D</v>
      </c>
      <c r="AC15" s="51">
        <f ca="1">DataTrans!J12</f>
        <v>113037.61885632001</v>
      </c>
      <c r="AD15" s="51">
        <f ca="1">DataTrans!K12</f>
        <v>0</v>
      </c>
      <c r="AE15" s="51">
        <f ca="1">DataTrans!L12</f>
        <v>-3390.3375068623777</v>
      </c>
      <c r="AF15" s="51">
        <f ca="1">DataTrans!N12</f>
        <v>109647.28134945763</v>
      </c>
    </row>
    <row r="16" spans="2:32" x14ac:dyDescent="0.3">
      <c r="B16" s="87"/>
      <c r="C16" s="88"/>
      <c r="D16" s="88"/>
      <c r="E16" s="88"/>
      <c r="F16" s="88"/>
      <c r="G16" s="88"/>
      <c r="H16" s="88"/>
      <c r="I16" s="88"/>
      <c r="J16" s="88"/>
      <c r="K16" s="88"/>
      <c r="L16" s="88"/>
      <c r="M16" s="88"/>
      <c r="N16" s="88"/>
      <c r="O16" s="88"/>
      <c r="P16" s="88"/>
      <c r="Q16" s="88"/>
      <c r="R16" s="88"/>
      <c r="S16" s="88"/>
      <c r="T16" s="88"/>
      <c r="U16" s="88"/>
      <c r="V16" s="88"/>
      <c r="W16" s="88"/>
      <c r="X16" s="88"/>
      <c r="Y16" s="88"/>
      <c r="Z16" s="89"/>
    </row>
    <row r="17" spans="2:26" x14ac:dyDescent="0.3">
      <c r="B17" s="87"/>
      <c r="C17" s="88"/>
      <c r="D17" s="88"/>
      <c r="E17" s="88"/>
      <c r="F17" s="88"/>
      <c r="G17" s="88"/>
      <c r="H17" s="88"/>
      <c r="I17" s="88"/>
      <c r="J17" s="88"/>
      <c r="K17" s="88"/>
      <c r="L17" s="88"/>
      <c r="M17" s="88"/>
      <c r="N17" s="88"/>
      <c r="O17" s="88"/>
      <c r="P17" s="88"/>
      <c r="Q17" s="88"/>
      <c r="R17" s="88"/>
      <c r="S17" s="88"/>
      <c r="T17" s="88"/>
      <c r="U17" s="88"/>
      <c r="V17" s="88"/>
      <c r="W17" s="88"/>
      <c r="X17" s="88"/>
      <c r="Y17" s="88"/>
      <c r="Z17" s="89"/>
    </row>
    <row r="18" spans="2:26" x14ac:dyDescent="0.3">
      <c r="B18" s="87"/>
      <c r="C18" s="88"/>
      <c r="D18" s="88"/>
      <c r="E18" s="88"/>
      <c r="F18" s="88"/>
      <c r="G18" s="88"/>
      <c r="H18" s="88"/>
      <c r="I18" s="88"/>
      <c r="J18" s="88"/>
      <c r="K18" s="88"/>
      <c r="L18" s="88"/>
      <c r="M18" s="88"/>
      <c r="N18" s="88"/>
      <c r="O18" s="88"/>
      <c r="P18" s="88"/>
      <c r="Q18" s="88"/>
      <c r="R18" s="88"/>
      <c r="S18" s="88"/>
      <c r="T18" s="88"/>
      <c r="U18" s="88"/>
      <c r="V18" s="88"/>
      <c r="W18" s="88"/>
      <c r="X18" s="88"/>
      <c r="Y18" s="88"/>
      <c r="Z18" s="89"/>
    </row>
    <row r="19" spans="2:26" x14ac:dyDescent="0.3">
      <c r="B19" s="87"/>
      <c r="C19" s="113" t="s">
        <v>526</v>
      </c>
      <c r="D19" s="114"/>
      <c r="E19" s="113" t="s">
        <v>524</v>
      </c>
      <c r="F19" s="114"/>
      <c r="G19" s="117" t="s">
        <v>4</v>
      </c>
      <c r="H19" s="113"/>
      <c r="I19" s="113" t="s">
        <v>5</v>
      </c>
      <c r="J19" s="113"/>
      <c r="K19" s="113" t="s">
        <v>6</v>
      </c>
      <c r="L19" s="113"/>
      <c r="M19" s="113" t="s">
        <v>7</v>
      </c>
      <c r="N19" s="114"/>
      <c r="P19" s="88"/>
      <c r="Q19" s="88"/>
      <c r="R19" s="88"/>
      <c r="S19" s="88"/>
      <c r="T19" s="88"/>
      <c r="U19" s="88"/>
      <c r="V19" s="88"/>
      <c r="W19" s="88"/>
      <c r="X19" s="88"/>
      <c r="Y19" s="88"/>
      <c r="Z19" s="89"/>
    </row>
    <row r="20" spans="2:26" ht="15" thickBot="1" x14ac:dyDescent="0.35">
      <c r="B20" s="87"/>
      <c r="C20" s="115"/>
      <c r="D20" s="116"/>
      <c r="E20" s="115"/>
      <c r="F20" s="116"/>
      <c r="G20" s="118"/>
      <c r="H20" s="115"/>
      <c r="I20" s="115"/>
      <c r="J20" s="115"/>
      <c r="K20" s="115"/>
      <c r="L20" s="115"/>
      <c r="M20" s="115"/>
      <c r="N20" s="116"/>
      <c r="P20" s="88"/>
      <c r="Q20" s="88"/>
      <c r="R20" s="88"/>
      <c r="S20" s="88"/>
      <c r="T20" s="88"/>
      <c r="U20" s="88"/>
      <c r="V20" s="88"/>
      <c r="W20" s="88"/>
      <c r="X20" s="88"/>
      <c r="Y20" s="88"/>
      <c r="Z20" s="89"/>
    </row>
    <row r="21" spans="2:26" ht="15" thickTop="1" x14ac:dyDescent="0.3">
      <c r="B21" s="87"/>
      <c r="C21" s="137" t="s">
        <v>208</v>
      </c>
      <c r="D21" s="138"/>
      <c r="E21" s="159" t="str">
        <f ca="1">DataTrans!AN24</f>
        <v>XWP</v>
      </c>
      <c r="F21" s="159"/>
      <c r="G21" s="143">
        <f ca="1">DataTrans!AO24</f>
        <v>1193828.4470899776</v>
      </c>
      <c r="H21" s="144"/>
      <c r="I21" s="144">
        <f ca="1">DataTrans!AP24</f>
        <v>369977.72029104066</v>
      </c>
      <c r="J21" s="144"/>
      <c r="K21" s="144">
        <f ca="1">DataTrans!AQ24</f>
        <v>757646.15272723557</v>
      </c>
      <c r="L21" s="144"/>
      <c r="M21" s="145">
        <f ca="1">SUM(G21:N22)</f>
        <v>2321452.3201082535</v>
      </c>
      <c r="N21" s="146"/>
      <c r="P21" s="88"/>
      <c r="Q21" s="88"/>
      <c r="R21" s="88"/>
      <c r="S21" s="88"/>
      <c r="T21" s="88"/>
      <c r="U21" s="88"/>
      <c r="V21" s="88"/>
      <c r="W21" s="88"/>
      <c r="X21" s="88"/>
      <c r="Y21" s="88"/>
      <c r="Z21" s="89"/>
    </row>
    <row r="22" spans="2:26" x14ac:dyDescent="0.3">
      <c r="B22" s="87"/>
      <c r="C22" s="139"/>
      <c r="D22" s="140"/>
      <c r="E22" s="160"/>
      <c r="F22" s="160"/>
      <c r="G22" s="147"/>
      <c r="H22" s="148"/>
      <c r="I22" s="148"/>
      <c r="J22" s="148"/>
      <c r="K22" s="148"/>
      <c r="L22" s="148"/>
      <c r="M22" s="149"/>
      <c r="N22" s="150"/>
      <c r="P22" s="88"/>
      <c r="Q22" s="88"/>
      <c r="R22" s="88"/>
      <c r="S22" s="88"/>
      <c r="T22" s="88"/>
      <c r="U22" s="88"/>
      <c r="V22" s="88"/>
      <c r="W22" s="88"/>
      <c r="X22" s="88"/>
      <c r="Y22" s="88"/>
      <c r="Z22" s="89"/>
    </row>
    <row r="23" spans="2:26" x14ac:dyDescent="0.3">
      <c r="B23" s="87"/>
      <c r="C23" s="139"/>
      <c r="D23" s="140"/>
      <c r="E23" s="160" t="str">
        <f ca="1">DataTrans!AN25</f>
        <v>XCI</v>
      </c>
      <c r="F23" s="160"/>
      <c r="G23" s="147">
        <f ca="1">DataTrans!AO25</f>
        <v>1601.7785023385584</v>
      </c>
      <c r="H23" s="148"/>
      <c r="I23" s="148">
        <f ca="1">DataTrans!AP25</f>
        <v>0</v>
      </c>
      <c r="J23" s="148"/>
      <c r="K23" s="148">
        <f ca="1">DataTrans!AQ25</f>
        <v>1242071.3414970986</v>
      </c>
      <c r="L23" s="148"/>
      <c r="M23" s="149">
        <f ca="1">SUM(G23:N24)</f>
        <v>1243673.1199994371</v>
      </c>
      <c r="N23" s="150"/>
      <c r="P23" s="88"/>
      <c r="Q23" s="88"/>
      <c r="R23" s="88"/>
      <c r="S23" s="88"/>
      <c r="T23" s="88"/>
      <c r="U23" s="88"/>
      <c r="V23" s="88"/>
      <c r="W23" s="88"/>
      <c r="X23" s="88"/>
      <c r="Y23" s="88"/>
      <c r="Z23" s="89"/>
    </row>
    <row r="24" spans="2:26" x14ac:dyDescent="0.3">
      <c r="B24" s="87"/>
      <c r="C24" s="139"/>
      <c r="D24" s="140"/>
      <c r="E24" s="160"/>
      <c r="F24" s="160"/>
      <c r="G24" s="147"/>
      <c r="H24" s="148"/>
      <c r="I24" s="148"/>
      <c r="J24" s="148"/>
      <c r="K24" s="148"/>
      <c r="L24" s="148"/>
      <c r="M24" s="149"/>
      <c r="N24" s="150"/>
      <c r="P24" s="88"/>
      <c r="Q24" s="88"/>
      <c r="R24" s="88"/>
      <c r="S24" s="88"/>
      <c r="T24" s="88"/>
      <c r="U24" s="88"/>
      <c r="V24" s="88"/>
      <c r="W24" s="88"/>
      <c r="X24" s="88"/>
      <c r="Y24" s="88"/>
      <c r="Z24" s="89"/>
    </row>
    <row r="25" spans="2:26" x14ac:dyDescent="0.3">
      <c r="B25" s="87"/>
      <c r="C25" s="139"/>
      <c r="D25" s="140"/>
      <c r="E25" s="160" t="str">
        <f ca="1">DataTrans!AN26</f>
        <v>XCD</v>
      </c>
      <c r="F25" s="160"/>
      <c r="G25" s="147">
        <f ca="1">DataTrans!AO26</f>
        <v>553090.65169295087</v>
      </c>
      <c r="H25" s="148"/>
      <c r="I25" s="148">
        <f ca="1">DataTrans!AP26</f>
        <v>0</v>
      </c>
      <c r="J25" s="148"/>
      <c r="K25" s="148">
        <f ca="1">DataTrans!AQ26</f>
        <v>600742.01521943614</v>
      </c>
      <c r="L25" s="148"/>
      <c r="M25" s="149">
        <f ca="1">SUM(G25:N26)</f>
        <v>1153832.6669123871</v>
      </c>
      <c r="N25" s="150"/>
      <c r="P25" s="88"/>
      <c r="Q25" s="88"/>
      <c r="R25" s="88"/>
      <c r="S25" s="88"/>
      <c r="T25" s="88"/>
      <c r="U25" s="88"/>
      <c r="V25" s="88"/>
      <c r="W25" s="88"/>
      <c r="X25" s="88"/>
      <c r="Y25" s="88"/>
      <c r="Z25" s="89"/>
    </row>
    <row r="26" spans="2:26" x14ac:dyDescent="0.3">
      <c r="B26" s="87"/>
      <c r="C26" s="141"/>
      <c r="D26" s="142"/>
      <c r="E26" s="161"/>
      <c r="F26" s="161"/>
      <c r="G26" s="151"/>
      <c r="H26" s="152"/>
      <c r="I26" s="152"/>
      <c r="J26" s="152"/>
      <c r="K26" s="152"/>
      <c r="L26" s="152"/>
      <c r="M26" s="153"/>
      <c r="N26" s="154"/>
      <c r="P26" s="88"/>
      <c r="Q26" s="88"/>
      <c r="R26" s="88"/>
      <c r="S26" s="88"/>
      <c r="T26" s="88"/>
      <c r="U26" s="88"/>
      <c r="V26" s="88"/>
      <c r="W26" s="88"/>
      <c r="X26" s="88"/>
      <c r="Y26" s="88"/>
      <c r="Z26" s="89"/>
    </row>
    <row r="27" spans="2:26" x14ac:dyDescent="0.3">
      <c r="B27" s="87"/>
      <c r="C27" s="137" t="s">
        <v>525</v>
      </c>
      <c r="D27" s="138"/>
      <c r="E27" s="162" t="str">
        <f ca="1">DataTrans!AN27</f>
        <v>XWP</v>
      </c>
      <c r="F27" s="162"/>
      <c r="G27" s="155">
        <f ca="1">DataTrans!AO27</f>
        <v>3604604.6728613265</v>
      </c>
      <c r="H27" s="156"/>
      <c r="I27" s="156">
        <f ca="1">DataTrans!AP27</f>
        <v>1117469.8202981513</v>
      </c>
      <c r="J27" s="156"/>
      <c r="K27" s="156">
        <f ca="1">DataTrans!AQ27</f>
        <v>2439119.5126899201</v>
      </c>
      <c r="L27" s="156"/>
      <c r="M27" s="157">
        <f ca="1">SUM(G27:N28)</f>
        <v>7161194.0058493977</v>
      </c>
      <c r="N27" s="158"/>
      <c r="P27" s="88"/>
      <c r="Q27" s="88"/>
      <c r="R27" s="88"/>
      <c r="S27" s="88"/>
      <c r="T27" s="88"/>
      <c r="U27" s="88"/>
      <c r="V27" s="88"/>
      <c r="W27" s="88"/>
      <c r="X27" s="88"/>
      <c r="Y27" s="88"/>
      <c r="Z27" s="89"/>
    </row>
    <row r="28" spans="2:26" x14ac:dyDescent="0.3">
      <c r="B28" s="87"/>
      <c r="C28" s="139"/>
      <c r="D28" s="140"/>
      <c r="E28" s="160"/>
      <c r="F28" s="160"/>
      <c r="G28" s="147"/>
      <c r="H28" s="148"/>
      <c r="I28" s="148"/>
      <c r="J28" s="148"/>
      <c r="K28" s="148"/>
      <c r="L28" s="148"/>
      <c r="M28" s="149"/>
      <c r="N28" s="150"/>
      <c r="P28" s="88"/>
      <c r="Q28" s="88"/>
      <c r="R28" s="88"/>
      <c r="S28" s="88"/>
      <c r="T28" s="88"/>
      <c r="U28" s="88"/>
      <c r="V28" s="88"/>
      <c r="W28" s="88"/>
      <c r="X28" s="88"/>
      <c r="Y28" s="88"/>
      <c r="Z28" s="89"/>
    </row>
    <row r="29" spans="2:26" x14ac:dyDescent="0.3">
      <c r="B29" s="87"/>
      <c r="C29" s="139"/>
      <c r="D29" s="140"/>
      <c r="E29" s="160" t="str">
        <f ca="1">DataTrans!AN28</f>
        <v>XCI</v>
      </c>
      <c r="F29" s="160"/>
      <c r="G29" s="147">
        <f ca="1">DataTrans!AO28</f>
        <v>2491.364384593966</v>
      </c>
      <c r="H29" s="148"/>
      <c r="I29" s="148">
        <f ca="1">DataTrans!AP28</f>
        <v>0</v>
      </c>
      <c r="J29" s="148"/>
      <c r="K29" s="148">
        <f ca="1">DataTrans!AQ28</f>
        <v>2316135.5932331183</v>
      </c>
      <c r="L29" s="148"/>
      <c r="M29" s="149">
        <f ca="1">SUM(G29:N30)</f>
        <v>2318626.9576177122</v>
      </c>
      <c r="N29" s="150"/>
      <c r="P29" s="88"/>
      <c r="Q29" s="88"/>
      <c r="R29" s="88"/>
      <c r="S29" s="88"/>
      <c r="T29" s="88"/>
      <c r="U29" s="88"/>
      <c r="V29" s="88"/>
      <c r="W29" s="88"/>
      <c r="X29" s="88"/>
      <c r="Y29" s="88"/>
      <c r="Z29" s="89"/>
    </row>
    <row r="30" spans="2:26" x14ac:dyDescent="0.3">
      <c r="B30" s="87"/>
      <c r="C30" s="139"/>
      <c r="D30" s="140"/>
      <c r="E30" s="160"/>
      <c r="F30" s="160"/>
      <c r="G30" s="147"/>
      <c r="H30" s="148"/>
      <c r="I30" s="148"/>
      <c r="J30" s="148"/>
      <c r="K30" s="148"/>
      <c r="L30" s="148"/>
      <c r="M30" s="149"/>
      <c r="N30" s="150"/>
      <c r="P30" s="88"/>
      <c r="Q30" s="88"/>
      <c r="R30" s="88"/>
      <c r="S30" s="88"/>
      <c r="T30" s="88"/>
      <c r="U30" s="88"/>
      <c r="V30" s="88"/>
      <c r="W30" s="88"/>
      <c r="X30" s="88"/>
      <c r="Y30" s="88"/>
      <c r="Z30" s="89"/>
    </row>
    <row r="31" spans="2:26" x14ac:dyDescent="0.3">
      <c r="B31" s="87"/>
      <c r="C31" s="139"/>
      <c r="D31" s="140"/>
      <c r="E31" s="160" t="str">
        <f ca="1">DataTrans!AN29</f>
        <v>XCD</v>
      </c>
      <c r="F31" s="160"/>
      <c r="G31" s="147">
        <f ca="1">DataTrans!AO29</f>
        <v>1174575.0457470939</v>
      </c>
      <c r="H31" s="148"/>
      <c r="I31" s="148">
        <f ca="1">DataTrans!AP29</f>
        <v>0</v>
      </c>
      <c r="J31" s="148"/>
      <c r="K31" s="148">
        <f ca="1">DataTrans!AQ29</f>
        <v>1243923.7515241427</v>
      </c>
      <c r="L31" s="148"/>
      <c r="M31" s="149">
        <f ca="1">SUM(G31:N32)</f>
        <v>2418498.7972712368</v>
      </c>
      <c r="N31" s="150"/>
      <c r="P31" s="88"/>
      <c r="Q31" s="88"/>
      <c r="R31" s="88"/>
      <c r="S31" s="88"/>
      <c r="T31" s="88"/>
      <c r="U31" s="88"/>
      <c r="V31" s="88"/>
      <c r="W31" s="88"/>
      <c r="X31" s="88"/>
      <c r="Y31" s="88"/>
      <c r="Z31" s="89"/>
    </row>
    <row r="32" spans="2:26" x14ac:dyDescent="0.3">
      <c r="B32" s="87"/>
      <c r="C32" s="141"/>
      <c r="D32" s="142"/>
      <c r="E32" s="161"/>
      <c r="F32" s="161"/>
      <c r="G32" s="151"/>
      <c r="H32" s="152"/>
      <c r="I32" s="152"/>
      <c r="J32" s="152"/>
      <c r="K32" s="152"/>
      <c r="L32" s="152"/>
      <c r="M32" s="153"/>
      <c r="N32" s="154"/>
      <c r="P32" s="88"/>
      <c r="Q32" s="88"/>
      <c r="R32" s="88"/>
      <c r="S32" s="88"/>
      <c r="T32" s="88"/>
      <c r="U32" s="88"/>
      <c r="V32" s="88"/>
      <c r="W32" s="88"/>
      <c r="X32" s="88"/>
      <c r="Y32" s="88"/>
      <c r="Z32" s="89"/>
    </row>
    <row r="33" spans="2:26" ht="15" thickBot="1" x14ac:dyDescent="0.35">
      <c r="B33" s="90"/>
      <c r="C33" s="91"/>
      <c r="D33" s="91"/>
      <c r="E33" s="91"/>
      <c r="F33" s="91"/>
      <c r="G33" s="91"/>
      <c r="H33" s="91"/>
      <c r="I33" s="91"/>
      <c r="J33" s="91"/>
      <c r="K33" s="91"/>
      <c r="L33" s="91"/>
      <c r="M33" s="91"/>
      <c r="N33" s="91"/>
      <c r="O33" s="91"/>
      <c r="P33" s="91"/>
      <c r="Q33" s="91"/>
      <c r="R33" s="91"/>
      <c r="S33" s="91"/>
      <c r="T33" s="91"/>
      <c r="U33" s="91"/>
      <c r="V33" s="91"/>
      <c r="W33" s="91"/>
      <c r="X33" s="91"/>
      <c r="Y33" s="91"/>
      <c r="Z33" s="92"/>
    </row>
    <row r="34" spans="2:26" s="46" customFormat="1" x14ac:dyDescent="0.3"/>
    <row r="35" spans="2:26" s="46" customFormat="1" x14ac:dyDescent="0.3"/>
    <row r="36" spans="2:26" s="46" customFormat="1" x14ac:dyDescent="0.3"/>
    <row r="37" spans="2:26" s="46" customFormat="1" x14ac:dyDescent="0.3"/>
    <row r="38" spans="2:26" s="46" customFormat="1" x14ac:dyDescent="0.3"/>
    <row r="39" spans="2:26" s="46" customFormat="1" x14ac:dyDescent="0.3"/>
    <row r="40" spans="2:26" s="46" customFormat="1" x14ac:dyDescent="0.3"/>
    <row r="41" spans="2:26" s="46" customFormat="1" x14ac:dyDescent="0.3"/>
    <row r="42" spans="2:26" s="46" customFormat="1" x14ac:dyDescent="0.3"/>
    <row r="43" spans="2:26" s="46" customFormat="1" x14ac:dyDescent="0.3"/>
    <row r="44" spans="2:26" s="46" customFormat="1" x14ac:dyDescent="0.3"/>
    <row r="45" spans="2:26" s="46" customFormat="1" x14ac:dyDescent="0.3"/>
    <row r="46" spans="2:26" s="46" customFormat="1" x14ac:dyDescent="0.3"/>
    <row r="47" spans="2:26" s="46" customFormat="1" x14ac:dyDescent="0.3"/>
    <row r="48" spans="2:26" s="46" customFormat="1" x14ac:dyDescent="0.3"/>
    <row r="49" s="46" customFormat="1" x14ac:dyDescent="0.3"/>
    <row r="50" s="46" customFormat="1" x14ac:dyDescent="0.3"/>
    <row r="51" s="46" customFormat="1" x14ac:dyDescent="0.3"/>
    <row r="52" s="46" customFormat="1" x14ac:dyDescent="0.3"/>
    <row r="53" s="46" customFormat="1" x14ac:dyDescent="0.3"/>
    <row r="54" s="46" customFormat="1" x14ac:dyDescent="0.3"/>
    <row r="55" s="46" customFormat="1" x14ac:dyDescent="0.3"/>
    <row r="56" s="46" customFormat="1" x14ac:dyDescent="0.3"/>
    <row r="57" s="46" customFormat="1" x14ac:dyDescent="0.3"/>
    <row r="58" s="46" customFormat="1" x14ac:dyDescent="0.3"/>
    <row r="59" s="46" customFormat="1" x14ac:dyDescent="0.3"/>
    <row r="60" s="46" customFormat="1" x14ac:dyDescent="0.3"/>
    <row r="61" s="46" customFormat="1" x14ac:dyDescent="0.3"/>
    <row r="62" s="46" customFormat="1" x14ac:dyDescent="0.3"/>
    <row r="63" s="46" customFormat="1" x14ac:dyDescent="0.3"/>
    <row r="64" s="46" customFormat="1" x14ac:dyDescent="0.3"/>
    <row r="65" s="46" customFormat="1" x14ac:dyDescent="0.3"/>
    <row r="66" s="46" customFormat="1" x14ac:dyDescent="0.3"/>
    <row r="67" s="46" customFormat="1" x14ac:dyDescent="0.3"/>
    <row r="68" s="46" customFormat="1" x14ac:dyDescent="0.3"/>
    <row r="69" s="46" customFormat="1" x14ac:dyDescent="0.3"/>
    <row r="70" s="46" customFormat="1" x14ac:dyDescent="0.3"/>
  </sheetData>
  <mergeCells count="39">
    <mergeCell ref="B2:Z2"/>
    <mergeCell ref="E19:F20"/>
    <mergeCell ref="G19:H20"/>
    <mergeCell ref="I19:J20"/>
    <mergeCell ref="K19:L20"/>
    <mergeCell ref="M19:N20"/>
    <mergeCell ref="C19:D20"/>
    <mergeCell ref="M21:N22"/>
    <mergeCell ref="E23:F24"/>
    <mergeCell ref="G23:H24"/>
    <mergeCell ref="I23:J24"/>
    <mergeCell ref="K23:L24"/>
    <mergeCell ref="M23:N24"/>
    <mergeCell ref="E21:F22"/>
    <mergeCell ref="G21:H22"/>
    <mergeCell ref="I21:J22"/>
    <mergeCell ref="K21:L22"/>
    <mergeCell ref="E25:F26"/>
    <mergeCell ref="G25:H26"/>
    <mergeCell ref="I25:J26"/>
    <mergeCell ref="K25:L26"/>
    <mergeCell ref="E27:F28"/>
    <mergeCell ref="G27:H28"/>
    <mergeCell ref="I27:J28"/>
    <mergeCell ref="K27:L28"/>
    <mergeCell ref="C21:D26"/>
    <mergeCell ref="C27:D32"/>
    <mergeCell ref="E29:F30"/>
    <mergeCell ref="G29:H30"/>
    <mergeCell ref="I29:J30"/>
    <mergeCell ref="K29:L30"/>
    <mergeCell ref="E31:F32"/>
    <mergeCell ref="G31:H32"/>
    <mergeCell ref="I31:J32"/>
    <mergeCell ref="K31:L32"/>
    <mergeCell ref="M31:N32"/>
    <mergeCell ref="M25:N26"/>
    <mergeCell ref="M29:N30"/>
    <mergeCell ref="M27:N28"/>
  </mergeCells>
  <pageMargins left="0.7" right="0.7" top="0.75" bottom="0.75" header="0.3" footer="0.3"/>
  <pageSetup orientation="portrait" horizontalDpi="0" verticalDpi="0" r:id="rId1"/>
  <drawing r:id="rId2"/>
  <legacyDrawing r:id="rId3"/>
  <mc:AlternateContent xmlns:mc="http://schemas.openxmlformats.org/markup-compatibility/2006">
    <mc:Choice Requires="x14">
      <controls>
        <mc:AlternateContent xmlns:mc="http://schemas.openxmlformats.org/markup-compatibility/2006">
          <mc:Choice Requires="x14">
            <control shapeId="11265" r:id="rId4" name="Scroll Bar 1">
              <controlPr defaultSize="0" autoPict="0">
                <anchor moveWithCells="1">
                  <from>
                    <xdr:col>18</xdr:col>
                    <xdr:colOff>91440</xdr:colOff>
                    <xdr:row>2</xdr:row>
                    <xdr:rowOff>83820</xdr:rowOff>
                  </from>
                  <to>
                    <xdr:col>18</xdr:col>
                    <xdr:colOff>525780</xdr:colOff>
                    <xdr:row>27</xdr:row>
                    <xdr:rowOff>137160</xdr:rowOff>
                  </to>
                </anchor>
              </controlPr>
            </control>
          </mc:Choice>
        </mc:AlternateContent>
      </controls>
    </mc:Choice>
  </mc:AlternateContent>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sheetPr>
  <dimension ref="A1:AX127"/>
  <sheetViews>
    <sheetView showGridLines="0" zoomScale="85" zoomScaleNormal="85" workbookViewId="0">
      <selection activeCell="D4" sqref="D4"/>
    </sheetView>
  </sheetViews>
  <sheetFormatPr defaultRowHeight="14.4" x14ac:dyDescent="0.3"/>
  <cols>
    <col min="1" max="1" width="1.88671875" style="52" customWidth="1"/>
    <col min="2" max="2" width="3.21875" customWidth="1"/>
    <col min="3" max="3" width="15.6640625" customWidth="1"/>
    <col min="4" max="4" width="32.44140625" customWidth="1"/>
    <col min="5" max="14" width="14.21875" customWidth="1"/>
    <col min="15" max="15" width="3.33203125" customWidth="1"/>
    <col min="16" max="16" width="8.88671875" style="52"/>
    <col min="17" max="17" width="11" style="52" bestFit="1" customWidth="1"/>
    <col min="18" max="18" width="9.5546875" style="52" bestFit="1" customWidth="1"/>
    <col min="19" max="50" width="8.88671875" style="52"/>
  </cols>
  <sheetData>
    <row r="1" spans="2:15" s="52" customFormat="1" ht="15" thickBot="1" x14ac:dyDescent="0.35"/>
    <row r="2" spans="2:15" x14ac:dyDescent="0.3">
      <c r="B2" s="119" t="s">
        <v>207</v>
      </c>
      <c r="C2" s="120"/>
      <c r="D2" s="120"/>
      <c r="E2" s="120"/>
      <c r="F2" s="120"/>
      <c r="G2" s="120"/>
      <c r="H2" s="120"/>
      <c r="I2" s="120"/>
      <c r="J2" s="120"/>
      <c r="K2" s="120"/>
      <c r="L2" s="120"/>
      <c r="M2" s="120"/>
      <c r="N2" s="120"/>
      <c r="O2" s="121"/>
    </row>
    <row r="3" spans="2:15" ht="15" thickBot="1" x14ac:dyDescent="0.35">
      <c r="B3" s="122"/>
      <c r="C3" s="123"/>
      <c r="D3" s="123"/>
      <c r="E3" s="123"/>
      <c r="F3" s="123"/>
      <c r="G3" s="123"/>
      <c r="H3" s="123"/>
      <c r="I3" s="123"/>
      <c r="J3" s="123"/>
      <c r="K3" s="123"/>
      <c r="L3" s="123"/>
      <c r="M3" s="123"/>
      <c r="N3" s="123"/>
      <c r="O3" s="124"/>
    </row>
    <row r="4" spans="2:15" ht="12" customHeight="1" x14ac:dyDescent="0.3">
      <c r="B4" s="163"/>
      <c r="C4" s="88"/>
      <c r="D4" s="88"/>
      <c r="E4" s="88"/>
      <c r="F4" s="88"/>
      <c r="G4" s="88"/>
      <c r="H4" s="88"/>
      <c r="I4" s="88"/>
      <c r="J4" s="88"/>
      <c r="K4" s="88"/>
      <c r="L4" s="88"/>
      <c r="M4" s="88"/>
      <c r="N4" s="88"/>
      <c r="O4" s="165"/>
    </row>
    <row r="5" spans="2:15" x14ac:dyDescent="0.3">
      <c r="B5" s="163"/>
      <c r="C5" s="125" t="s">
        <v>200</v>
      </c>
      <c r="D5" s="125"/>
      <c r="E5" s="127" t="s">
        <v>198</v>
      </c>
      <c r="F5" s="127"/>
      <c r="G5" s="127"/>
      <c r="H5" s="127"/>
      <c r="I5" s="127"/>
      <c r="J5" s="128" t="s">
        <v>183</v>
      </c>
      <c r="K5" s="128"/>
      <c r="L5" s="128"/>
      <c r="M5" s="128"/>
      <c r="N5" s="128"/>
      <c r="O5" s="165"/>
    </row>
    <row r="6" spans="2:15" ht="15" thickBot="1" x14ac:dyDescent="0.35">
      <c r="B6" s="163"/>
      <c r="C6" s="126"/>
      <c r="D6" s="126"/>
      <c r="E6" s="45" t="s">
        <v>192</v>
      </c>
      <c r="F6" s="45" t="s">
        <v>193</v>
      </c>
      <c r="G6" s="45" t="s">
        <v>194</v>
      </c>
      <c r="H6" s="45" t="s">
        <v>195</v>
      </c>
      <c r="I6" s="45" t="s">
        <v>7</v>
      </c>
      <c r="J6" s="48" t="s">
        <v>192</v>
      </c>
      <c r="K6" s="48" t="s">
        <v>193</v>
      </c>
      <c r="L6" s="48" t="s">
        <v>194</v>
      </c>
      <c r="M6" s="48" t="s">
        <v>195</v>
      </c>
      <c r="N6" s="48" t="s">
        <v>7</v>
      </c>
      <c r="O6" s="165"/>
    </row>
    <row r="7" spans="2:15" ht="19.8" customHeight="1" thickTop="1" x14ac:dyDescent="0.3">
      <c r="B7" s="163"/>
      <c r="C7" s="168" t="s">
        <v>524</v>
      </c>
      <c r="D7" s="169" t="s">
        <v>436</v>
      </c>
      <c r="E7" s="44">
        <f ca="1">DataTrans!AX14</f>
        <v>263865.24962476885</v>
      </c>
      <c r="F7" s="44">
        <f ca="1">DataTrans!AY14</f>
        <v>233706.44192229692</v>
      </c>
      <c r="G7" s="44">
        <f ca="1">DataTrans!AZ14</f>
        <v>563170.23080060806</v>
      </c>
      <c r="H7" s="44">
        <f ca="1">DataTrans!BA14</f>
        <v>1260712.6457605802</v>
      </c>
      <c r="I7" s="44">
        <f ca="1">SUM(E7:H7)</f>
        <v>2321454.5681082541</v>
      </c>
      <c r="J7" s="44">
        <f ca="1">DataTrans!BB14</f>
        <v>2004023.5530073631</v>
      </c>
      <c r="K7" s="44">
        <f ca="1">DataTrans!BC14</f>
        <v>1858718.8689608919</v>
      </c>
      <c r="L7" s="44">
        <f ca="1">DataTrans!BD14</f>
        <v>1784037.1198196614</v>
      </c>
      <c r="M7" s="44">
        <f ca="1">DataTrans!BE14</f>
        <v>1514414.4640614833</v>
      </c>
      <c r="N7" s="44">
        <f ca="1">SUM(J7:M7)</f>
        <v>7161194.0058494005</v>
      </c>
      <c r="O7" s="165"/>
    </row>
    <row r="8" spans="2:15" ht="19.8" customHeight="1" x14ac:dyDescent="0.3">
      <c r="B8" s="163"/>
      <c r="C8" s="170"/>
      <c r="D8" s="171" t="s">
        <v>491</v>
      </c>
      <c r="E8" s="43">
        <f ca="1">DataTrans!AX15</f>
        <v>0</v>
      </c>
      <c r="F8" s="43">
        <f ca="1">DataTrans!AY15</f>
        <v>60867.397220696039</v>
      </c>
      <c r="G8" s="43">
        <f ca="1">DataTrans!AZ15</f>
        <v>617504.39969803719</v>
      </c>
      <c r="H8" s="43">
        <f ca="1">DataTrans!BA15</f>
        <v>565301.32308070397</v>
      </c>
      <c r="I8" s="43">
        <f t="shared" ref="I8:I9" ca="1" si="0">SUM(E8:H8)</f>
        <v>1243673.1199994371</v>
      </c>
      <c r="J8" s="43">
        <f ca="1">DataTrans!BB15</f>
        <v>544050.23343958217</v>
      </c>
      <c r="K8" s="43">
        <f ca="1">DataTrans!BC15</f>
        <v>591771.00139938877</v>
      </c>
      <c r="L8" s="43">
        <f ca="1">DataTrans!BD15</f>
        <v>617504.39969803719</v>
      </c>
      <c r="M8" s="43">
        <f ca="1">DataTrans!BE15</f>
        <v>565301.32308070397</v>
      </c>
      <c r="N8" s="43">
        <f t="shared" ref="N8:N9" ca="1" si="1">SUM(J8:M8)</f>
        <v>2318626.9576177122</v>
      </c>
      <c r="O8" s="165"/>
    </row>
    <row r="9" spans="2:15" ht="19.8" customHeight="1" x14ac:dyDescent="0.3">
      <c r="B9" s="163"/>
      <c r="C9" s="172"/>
      <c r="D9" s="173" t="s">
        <v>459</v>
      </c>
      <c r="E9" s="43">
        <f ca="1">DataTrans!AX16</f>
        <v>74985.574387626039</v>
      </c>
      <c r="F9" s="43">
        <f ca="1">DataTrans!AY16</f>
        <v>352974.63781180733</v>
      </c>
      <c r="G9" s="43">
        <f ca="1">DataTrans!AZ16</f>
        <v>350062.47295166011</v>
      </c>
      <c r="H9" s="43">
        <f ca="1">DataTrans!BA16</f>
        <v>375809.98176129372</v>
      </c>
      <c r="I9" s="43">
        <f t="shared" ca="1" si="0"/>
        <v>1153832.6669123871</v>
      </c>
      <c r="J9" s="43">
        <f ca="1">DataTrans!BB16</f>
        <v>740210.55343638186</v>
      </c>
      <c r="K9" s="43">
        <f ca="1">DataTrans!BC16</f>
        <v>675165.48751000722</v>
      </c>
      <c r="L9" s="43">
        <f ca="1">DataTrans!BD16</f>
        <v>556114.07708614471</v>
      </c>
      <c r="M9" s="43">
        <f ca="1">DataTrans!BE16</f>
        <v>447008.6792387038</v>
      </c>
      <c r="N9" s="43">
        <f t="shared" ca="1" si="1"/>
        <v>2418498.7972712377</v>
      </c>
      <c r="O9" s="165"/>
    </row>
    <row r="10" spans="2:15" x14ac:dyDescent="0.3">
      <c r="B10" s="163"/>
      <c r="C10" s="88"/>
      <c r="D10" s="88"/>
      <c r="E10" s="88"/>
      <c r="F10" s="88"/>
      <c r="G10" s="88"/>
      <c r="H10" s="88"/>
      <c r="I10" s="88"/>
      <c r="J10" s="88"/>
      <c r="K10" s="88"/>
      <c r="L10" s="88"/>
      <c r="M10" s="88"/>
      <c r="N10" s="88"/>
      <c r="O10" s="165"/>
    </row>
    <row r="11" spans="2:15" x14ac:dyDescent="0.3">
      <c r="B11" s="163"/>
      <c r="C11" s="88"/>
      <c r="D11" s="88"/>
      <c r="E11" s="88"/>
      <c r="F11" s="88"/>
      <c r="G11" s="88"/>
      <c r="H11" s="88"/>
      <c r="I11" s="88"/>
      <c r="J11" s="88"/>
      <c r="K11" s="88"/>
      <c r="L11" s="88"/>
      <c r="M11" s="88"/>
      <c r="N11" s="88"/>
      <c r="O11" s="165"/>
    </row>
    <row r="12" spans="2:15" x14ac:dyDescent="0.3">
      <c r="B12" s="163"/>
      <c r="C12" s="88"/>
      <c r="D12" s="88"/>
      <c r="E12" s="88"/>
      <c r="F12" s="88"/>
      <c r="G12" s="88"/>
      <c r="H12" s="88"/>
      <c r="I12" s="88"/>
      <c r="J12" s="88"/>
      <c r="K12" s="88"/>
      <c r="L12" s="88"/>
      <c r="M12" s="88"/>
      <c r="N12" s="88"/>
      <c r="O12" s="165"/>
    </row>
    <row r="13" spans="2:15" x14ac:dyDescent="0.3">
      <c r="B13" s="163"/>
      <c r="C13" s="88"/>
      <c r="D13" s="88"/>
      <c r="E13" s="88"/>
      <c r="F13" s="88"/>
      <c r="G13" s="88"/>
      <c r="H13" s="88"/>
      <c r="I13" s="88"/>
      <c r="J13" s="88"/>
      <c r="K13" s="88"/>
      <c r="L13" s="88"/>
      <c r="M13" s="88"/>
      <c r="N13" s="88"/>
      <c r="O13" s="165"/>
    </row>
    <row r="14" spans="2:15" x14ac:dyDescent="0.3">
      <c r="B14" s="163"/>
      <c r="C14" s="88"/>
      <c r="D14" s="88"/>
      <c r="E14" s="88"/>
      <c r="F14" s="88"/>
      <c r="G14" s="88"/>
      <c r="H14" s="88"/>
      <c r="I14" s="88"/>
      <c r="J14" s="88"/>
      <c r="K14" s="88"/>
      <c r="L14" s="88"/>
      <c r="M14" s="88"/>
      <c r="N14" s="88"/>
      <c r="O14" s="165"/>
    </row>
    <row r="15" spans="2:15" x14ac:dyDescent="0.3">
      <c r="B15" s="163"/>
      <c r="C15" s="88"/>
      <c r="D15" s="88"/>
      <c r="E15" s="88"/>
      <c r="F15" s="88"/>
      <c r="G15" s="88"/>
      <c r="H15" s="88"/>
      <c r="I15" s="88"/>
      <c r="J15" s="88"/>
      <c r="K15" s="88"/>
      <c r="L15" s="88"/>
      <c r="M15" s="88"/>
      <c r="N15" s="88"/>
      <c r="O15" s="165"/>
    </row>
    <row r="16" spans="2:15" x14ac:dyDescent="0.3">
      <c r="B16" s="163"/>
      <c r="C16" s="88"/>
      <c r="D16" s="88"/>
      <c r="E16" s="88"/>
      <c r="F16" s="88"/>
      <c r="G16" s="88"/>
      <c r="H16" s="88"/>
      <c r="I16" s="88"/>
      <c r="J16" s="88"/>
      <c r="K16" s="88"/>
      <c r="L16" s="88"/>
      <c r="M16" s="88"/>
      <c r="N16" s="88"/>
      <c r="O16" s="165"/>
    </row>
    <row r="17" spans="2:15" x14ac:dyDescent="0.3">
      <c r="B17" s="163"/>
      <c r="C17" s="88"/>
      <c r="D17" s="88"/>
      <c r="E17" s="88"/>
      <c r="F17" s="88"/>
      <c r="G17" s="88"/>
      <c r="H17" s="88"/>
      <c r="I17" s="88"/>
      <c r="J17" s="88"/>
      <c r="K17" s="88"/>
      <c r="L17" s="88"/>
      <c r="M17" s="88"/>
      <c r="N17" s="88"/>
      <c r="O17" s="165"/>
    </row>
    <row r="18" spans="2:15" x14ac:dyDescent="0.3">
      <c r="B18" s="163"/>
      <c r="C18" s="88"/>
      <c r="D18" s="88"/>
      <c r="E18" s="88"/>
      <c r="F18" s="88"/>
      <c r="G18" s="88"/>
      <c r="H18" s="88"/>
      <c r="I18" s="88"/>
      <c r="J18" s="88"/>
      <c r="K18" s="88"/>
      <c r="L18" s="88"/>
      <c r="M18" s="88"/>
      <c r="N18" s="88"/>
      <c r="O18" s="165"/>
    </row>
    <row r="19" spans="2:15" x14ac:dyDescent="0.3">
      <c r="B19" s="163"/>
      <c r="C19" s="88"/>
      <c r="D19" s="88"/>
      <c r="E19" s="88"/>
      <c r="F19" s="88"/>
      <c r="G19" s="88"/>
      <c r="H19" s="88"/>
      <c r="I19" s="88"/>
      <c r="J19" s="88"/>
      <c r="K19" s="88"/>
      <c r="L19" s="88"/>
      <c r="M19" s="88"/>
      <c r="N19" s="88"/>
      <c r="O19" s="165"/>
    </row>
    <row r="20" spans="2:15" x14ac:dyDescent="0.3">
      <c r="B20" s="163"/>
      <c r="C20" s="88"/>
      <c r="D20" s="88"/>
      <c r="E20" s="88"/>
      <c r="F20" s="88"/>
      <c r="G20" s="88"/>
      <c r="H20" s="88"/>
      <c r="I20" s="88"/>
      <c r="J20" s="88"/>
      <c r="K20" s="88"/>
      <c r="L20" s="88"/>
      <c r="M20" s="88"/>
      <c r="N20" s="88"/>
      <c r="O20" s="165"/>
    </row>
    <row r="21" spans="2:15" x14ac:dyDescent="0.3">
      <c r="B21" s="163"/>
      <c r="C21" s="88"/>
      <c r="D21" s="88"/>
      <c r="E21" s="88"/>
      <c r="F21" s="88"/>
      <c r="G21" s="88"/>
      <c r="H21" s="88"/>
      <c r="I21" s="88"/>
      <c r="J21" s="88"/>
      <c r="K21" s="88"/>
      <c r="L21" s="88"/>
      <c r="M21" s="88"/>
      <c r="N21" s="88"/>
      <c r="O21" s="165"/>
    </row>
    <row r="22" spans="2:15" x14ac:dyDescent="0.3">
      <c r="B22" s="163"/>
      <c r="C22" s="88"/>
      <c r="D22" s="88"/>
      <c r="E22" s="88"/>
      <c r="F22" s="88"/>
      <c r="G22" s="88"/>
      <c r="H22" s="88"/>
      <c r="I22" s="88"/>
      <c r="J22" s="88"/>
      <c r="K22" s="88"/>
      <c r="L22" s="88"/>
      <c r="M22" s="88"/>
      <c r="N22" s="88"/>
      <c r="O22" s="165"/>
    </row>
    <row r="23" spans="2:15" x14ac:dyDescent="0.3">
      <c r="B23" s="163"/>
      <c r="C23" s="88"/>
      <c r="D23" s="88"/>
      <c r="E23" s="88"/>
      <c r="F23" s="88"/>
      <c r="G23" s="88"/>
      <c r="H23" s="88"/>
      <c r="I23" s="88"/>
      <c r="J23" s="88"/>
      <c r="K23" s="88"/>
      <c r="L23" s="88"/>
      <c r="M23" s="88"/>
      <c r="N23" s="88"/>
      <c r="O23" s="165"/>
    </row>
    <row r="24" spans="2:15" x14ac:dyDescent="0.3">
      <c r="B24" s="163"/>
      <c r="C24" s="88"/>
      <c r="D24" s="88"/>
      <c r="E24" s="88"/>
      <c r="F24" s="88"/>
      <c r="G24" s="88"/>
      <c r="H24" s="88"/>
      <c r="I24" s="88"/>
      <c r="J24" s="88"/>
      <c r="K24" s="88"/>
      <c r="L24" s="88"/>
      <c r="M24" s="88"/>
      <c r="N24" s="88"/>
      <c r="O24" s="165"/>
    </row>
    <row r="25" spans="2:15" x14ac:dyDescent="0.3">
      <c r="B25" s="163"/>
      <c r="C25" s="88"/>
      <c r="D25" s="88"/>
      <c r="E25" s="88"/>
      <c r="F25" s="88"/>
      <c r="G25" s="88"/>
      <c r="H25" s="88"/>
      <c r="I25" s="88"/>
      <c r="J25" s="88"/>
      <c r="K25" s="88"/>
      <c r="L25" s="88"/>
      <c r="M25" s="88"/>
      <c r="N25" s="88"/>
      <c r="O25" s="165"/>
    </row>
    <row r="26" spans="2:15" x14ac:dyDescent="0.3">
      <c r="B26" s="163"/>
      <c r="C26" s="88"/>
      <c r="D26" s="88"/>
      <c r="E26" s="88"/>
      <c r="F26" s="88"/>
      <c r="G26" s="88"/>
      <c r="H26" s="88"/>
      <c r="I26" s="88"/>
      <c r="J26" s="88"/>
      <c r="K26" s="88"/>
      <c r="L26" s="88"/>
      <c r="M26" s="88"/>
      <c r="N26" s="88"/>
      <c r="O26" s="165"/>
    </row>
    <row r="27" spans="2:15" x14ac:dyDescent="0.3">
      <c r="B27" s="163"/>
      <c r="C27" s="88"/>
      <c r="D27" s="88"/>
      <c r="E27" s="88"/>
      <c r="F27" s="88"/>
      <c r="G27" s="88"/>
      <c r="H27" s="88"/>
      <c r="I27" s="88"/>
      <c r="J27" s="88"/>
      <c r="K27" s="88"/>
      <c r="L27" s="88"/>
      <c r="M27" s="88"/>
      <c r="N27" s="88"/>
      <c r="O27" s="165"/>
    </row>
    <row r="28" spans="2:15" x14ac:dyDescent="0.3">
      <c r="B28" s="163"/>
      <c r="C28" s="88"/>
      <c r="D28" s="88"/>
      <c r="E28" s="88"/>
      <c r="F28" s="88"/>
      <c r="G28" s="88"/>
      <c r="H28" s="88"/>
      <c r="I28" s="88"/>
      <c r="J28" s="88"/>
      <c r="K28" s="88"/>
      <c r="L28" s="88"/>
      <c r="M28" s="88"/>
      <c r="N28" s="88"/>
      <c r="O28" s="165"/>
    </row>
    <row r="29" spans="2:15" x14ac:dyDescent="0.3">
      <c r="B29" s="163"/>
      <c r="C29" s="88"/>
      <c r="D29" s="88"/>
      <c r="E29" s="88"/>
      <c r="F29" s="88"/>
      <c r="G29" s="88"/>
      <c r="H29" s="88"/>
      <c r="I29" s="88"/>
      <c r="J29" s="88"/>
      <c r="K29" s="88"/>
      <c r="L29" s="88"/>
      <c r="M29" s="88"/>
      <c r="N29" s="88"/>
      <c r="O29" s="165"/>
    </row>
    <row r="30" spans="2:15" x14ac:dyDescent="0.3">
      <c r="B30" s="163"/>
      <c r="C30" s="88"/>
      <c r="D30" s="88"/>
      <c r="E30" s="88"/>
      <c r="F30" s="88"/>
      <c r="G30" s="88"/>
      <c r="H30" s="88"/>
      <c r="I30" s="88"/>
      <c r="J30" s="88"/>
      <c r="K30" s="88"/>
      <c r="L30" s="88"/>
      <c r="M30" s="88"/>
      <c r="N30" s="88"/>
      <c r="O30" s="165"/>
    </row>
    <row r="31" spans="2:15" x14ac:dyDescent="0.3">
      <c r="B31" s="163"/>
      <c r="C31" s="88"/>
      <c r="D31" s="88"/>
      <c r="E31" s="88"/>
      <c r="F31" s="88"/>
      <c r="G31" s="88"/>
      <c r="H31" s="88"/>
      <c r="I31" s="88"/>
      <c r="J31" s="88"/>
      <c r="K31" s="88"/>
      <c r="L31" s="88"/>
      <c r="M31" s="88"/>
      <c r="N31" s="88"/>
      <c r="O31" s="165"/>
    </row>
    <row r="32" spans="2:15" x14ac:dyDescent="0.3">
      <c r="B32" s="163"/>
      <c r="C32" s="88"/>
      <c r="D32" s="88"/>
      <c r="E32" s="88"/>
      <c r="F32" s="88"/>
      <c r="G32" s="88"/>
      <c r="H32" s="88"/>
      <c r="I32" s="88"/>
      <c r="J32" s="88"/>
      <c r="K32" s="88"/>
      <c r="L32" s="88"/>
      <c r="M32" s="88"/>
      <c r="N32" s="88"/>
      <c r="O32" s="165"/>
    </row>
    <row r="33" spans="2:15" ht="15" thickBot="1" x14ac:dyDescent="0.35">
      <c r="B33" s="164"/>
      <c r="C33" s="166"/>
      <c r="D33" s="166"/>
      <c r="E33" s="166"/>
      <c r="F33" s="166"/>
      <c r="G33" s="166"/>
      <c r="H33" s="166"/>
      <c r="I33" s="166"/>
      <c r="J33" s="166"/>
      <c r="K33" s="166"/>
      <c r="L33" s="166"/>
      <c r="M33" s="166"/>
      <c r="N33" s="166"/>
      <c r="O33" s="167"/>
    </row>
    <row r="34" spans="2:15" s="52" customFormat="1" x14ac:dyDescent="0.3"/>
    <row r="35" spans="2:15" s="52" customFormat="1" x14ac:dyDescent="0.3"/>
    <row r="36" spans="2:15" s="52" customFormat="1" x14ac:dyDescent="0.3"/>
    <row r="37" spans="2:15" s="52" customFormat="1" x14ac:dyDescent="0.3">
      <c r="D37" s="52" t="s">
        <v>491</v>
      </c>
    </row>
    <row r="38" spans="2:15" s="52" customFormat="1" x14ac:dyDescent="0.3"/>
    <row r="39" spans="2:15" s="52" customFormat="1" x14ac:dyDescent="0.3">
      <c r="D39" s="52" t="s">
        <v>459</v>
      </c>
    </row>
    <row r="40" spans="2:15" s="52" customFormat="1" x14ac:dyDescent="0.3"/>
    <row r="41" spans="2:15" s="52" customFormat="1" x14ac:dyDescent="0.3"/>
    <row r="42" spans="2:15" s="52" customFormat="1" x14ac:dyDescent="0.3"/>
    <row r="43" spans="2:15" s="52" customFormat="1" x14ac:dyDescent="0.3"/>
    <row r="44" spans="2:15" s="52" customFormat="1" x14ac:dyDescent="0.3"/>
    <row r="45" spans="2:15" s="52" customFormat="1" x14ac:dyDescent="0.3"/>
    <row r="46" spans="2:15" s="52" customFormat="1" x14ac:dyDescent="0.3"/>
    <row r="47" spans="2:15" s="52" customFormat="1" x14ac:dyDescent="0.3"/>
    <row r="48" spans="2:15" s="52" customFormat="1" x14ac:dyDescent="0.3"/>
    <row r="49" s="52" customFormat="1" x14ac:dyDescent="0.3"/>
    <row r="50" s="52" customFormat="1" x14ac:dyDescent="0.3"/>
    <row r="51" s="52" customFormat="1" x14ac:dyDescent="0.3"/>
    <row r="52" s="52" customFormat="1" x14ac:dyDescent="0.3"/>
    <row r="53" s="52" customFormat="1" x14ac:dyDescent="0.3"/>
    <row r="54" s="52" customFormat="1" x14ac:dyDescent="0.3"/>
    <row r="55" s="52" customFormat="1" x14ac:dyDescent="0.3"/>
    <row r="56" s="52" customFormat="1" x14ac:dyDescent="0.3"/>
    <row r="57" s="52" customFormat="1" x14ac:dyDescent="0.3"/>
    <row r="58" s="52" customFormat="1" x14ac:dyDescent="0.3"/>
    <row r="59" s="52" customFormat="1" x14ac:dyDescent="0.3"/>
    <row r="60" s="52" customFormat="1" x14ac:dyDescent="0.3"/>
    <row r="61" s="52" customFormat="1" x14ac:dyDescent="0.3"/>
    <row r="62" s="52" customFormat="1" x14ac:dyDescent="0.3"/>
    <row r="63" s="52" customFormat="1" x14ac:dyDescent="0.3"/>
    <row r="64" s="52" customFormat="1" x14ac:dyDescent="0.3"/>
    <row r="65" s="52" customFormat="1" x14ac:dyDescent="0.3"/>
    <row r="66" s="52" customFormat="1" x14ac:dyDescent="0.3"/>
    <row r="67" s="52" customFormat="1" x14ac:dyDescent="0.3"/>
    <row r="68" s="52" customFormat="1" x14ac:dyDescent="0.3"/>
    <row r="69" s="52" customFormat="1" x14ac:dyDescent="0.3"/>
    <row r="70" s="52" customFormat="1" x14ac:dyDescent="0.3"/>
    <row r="71" s="52" customFormat="1" x14ac:dyDescent="0.3"/>
    <row r="72" s="52" customFormat="1" x14ac:dyDescent="0.3"/>
    <row r="73" s="52" customFormat="1" x14ac:dyDescent="0.3"/>
    <row r="74" s="52" customFormat="1" x14ac:dyDescent="0.3"/>
    <row r="75" s="52" customFormat="1" x14ac:dyDescent="0.3"/>
    <row r="76" s="52" customFormat="1" x14ac:dyDescent="0.3"/>
    <row r="77" s="52" customFormat="1" x14ac:dyDescent="0.3"/>
    <row r="78" s="52" customFormat="1" x14ac:dyDescent="0.3"/>
    <row r="79" s="52" customFormat="1" x14ac:dyDescent="0.3"/>
    <row r="80" s="52" customFormat="1" x14ac:dyDescent="0.3"/>
    <row r="81" s="52" customFormat="1" x14ac:dyDescent="0.3"/>
    <row r="82" s="52" customFormat="1" x14ac:dyDescent="0.3"/>
    <row r="83" s="52" customFormat="1" x14ac:dyDescent="0.3"/>
    <row r="84" s="52" customFormat="1" x14ac:dyDescent="0.3"/>
    <row r="85" s="52" customFormat="1" x14ac:dyDescent="0.3"/>
    <row r="86" s="52" customFormat="1" x14ac:dyDescent="0.3"/>
    <row r="87" s="52" customFormat="1" x14ac:dyDescent="0.3"/>
    <row r="88" s="52" customFormat="1" x14ac:dyDescent="0.3"/>
    <row r="89" s="52" customFormat="1" x14ac:dyDescent="0.3"/>
    <row r="90" s="52" customFormat="1" x14ac:dyDescent="0.3"/>
    <row r="91" s="52" customFormat="1" x14ac:dyDescent="0.3"/>
    <row r="92" s="52" customFormat="1" x14ac:dyDescent="0.3"/>
    <row r="93" s="52" customFormat="1" x14ac:dyDescent="0.3"/>
    <row r="94" s="52" customFormat="1" x14ac:dyDescent="0.3"/>
    <row r="95" s="52" customFormat="1" x14ac:dyDescent="0.3"/>
    <row r="96" s="52" customFormat="1" x14ac:dyDescent="0.3"/>
    <row r="97" s="52" customFormat="1" x14ac:dyDescent="0.3"/>
    <row r="98" s="52" customFormat="1" x14ac:dyDescent="0.3"/>
    <row r="99" s="52" customFormat="1" x14ac:dyDescent="0.3"/>
    <row r="100" s="52" customFormat="1" x14ac:dyDescent="0.3"/>
    <row r="101" s="52" customFormat="1" x14ac:dyDescent="0.3"/>
    <row r="102" s="52" customFormat="1" x14ac:dyDescent="0.3"/>
    <row r="103" s="52" customFormat="1" x14ac:dyDescent="0.3"/>
    <row r="104" s="52" customFormat="1" x14ac:dyDescent="0.3"/>
    <row r="105" s="52" customFormat="1" x14ac:dyDescent="0.3"/>
    <row r="106" s="52" customFormat="1" x14ac:dyDescent="0.3"/>
    <row r="107" s="52" customFormat="1" x14ac:dyDescent="0.3"/>
    <row r="108" s="52" customFormat="1" x14ac:dyDescent="0.3"/>
    <row r="109" s="52" customFormat="1" x14ac:dyDescent="0.3"/>
    <row r="110" s="52" customFormat="1" x14ac:dyDescent="0.3"/>
    <row r="111" s="52" customFormat="1" x14ac:dyDescent="0.3"/>
    <row r="112" s="52" customFormat="1" x14ac:dyDescent="0.3"/>
    <row r="113" s="52" customFormat="1" x14ac:dyDescent="0.3"/>
    <row r="114" s="52" customFormat="1" x14ac:dyDescent="0.3"/>
    <row r="115" s="52" customFormat="1" x14ac:dyDescent="0.3"/>
    <row r="116" s="52" customFormat="1" x14ac:dyDescent="0.3"/>
    <row r="117" s="52" customFormat="1" x14ac:dyDescent="0.3"/>
    <row r="118" s="52" customFormat="1" x14ac:dyDescent="0.3"/>
    <row r="119" s="52" customFormat="1" x14ac:dyDescent="0.3"/>
    <row r="120" s="52" customFormat="1" x14ac:dyDescent="0.3"/>
    <row r="121" s="52" customFormat="1" x14ac:dyDescent="0.3"/>
    <row r="122" s="52" customFormat="1" x14ac:dyDescent="0.3"/>
    <row r="123" s="52" customFormat="1" x14ac:dyDescent="0.3"/>
    <row r="124" s="52" customFormat="1" x14ac:dyDescent="0.3"/>
    <row r="125" s="52" customFormat="1" x14ac:dyDescent="0.3"/>
    <row r="126" s="52" customFormat="1" x14ac:dyDescent="0.3"/>
    <row r="127" s="52" customFormat="1" x14ac:dyDescent="0.3"/>
  </sheetData>
  <mergeCells count="5">
    <mergeCell ref="B2:O3"/>
    <mergeCell ref="C5:D6"/>
    <mergeCell ref="E5:I5"/>
    <mergeCell ref="J5:N5"/>
    <mergeCell ref="C7:C9"/>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79998168889431442"/>
  </sheetPr>
  <dimension ref="B2:V85"/>
  <sheetViews>
    <sheetView zoomScale="70" zoomScaleNormal="70" workbookViewId="0">
      <pane xSplit="2" ySplit="2" topLeftCell="C48" activePane="bottomRight" state="frozen"/>
      <selection activeCell="CA34" sqref="CA34"/>
      <selection pane="topRight" activeCell="CA34" sqref="CA34"/>
      <selection pane="bottomLeft" activeCell="CA34" sqref="CA34"/>
      <selection pane="bottomRight" activeCell="CA34" sqref="CA34"/>
    </sheetView>
  </sheetViews>
  <sheetFormatPr defaultRowHeight="14.4" x14ac:dyDescent="0.3"/>
  <cols>
    <col min="1" max="1" width="5.44140625" customWidth="1"/>
    <col min="2" max="2" width="16.21875" style="1" customWidth="1"/>
    <col min="3" max="3" width="20" style="1" bestFit="1" customWidth="1"/>
    <col min="4" max="4" width="29.21875" style="1" bestFit="1" customWidth="1"/>
    <col min="5" max="5" width="49.44140625" style="1" customWidth="1"/>
    <col min="7" max="7" width="9.5546875" bestFit="1" customWidth="1"/>
    <col min="8" max="8" width="10.5546875" bestFit="1" customWidth="1"/>
    <col min="9" max="9" width="12.88671875" customWidth="1"/>
    <col min="10" max="10" width="16" customWidth="1"/>
  </cols>
  <sheetData>
    <row r="2" spans="2:10" ht="28.8" customHeight="1" x14ac:dyDescent="0.3">
      <c r="B2" s="53" t="s">
        <v>0</v>
      </c>
      <c r="C2" s="53" t="s">
        <v>1</v>
      </c>
      <c r="D2" s="53" t="s">
        <v>2</v>
      </c>
      <c r="E2" s="56" t="s">
        <v>3</v>
      </c>
      <c r="F2" s="53" t="s">
        <v>56</v>
      </c>
      <c r="G2" s="54" t="s">
        <v>8</v>
      </c>
      <c r="H2" s="54" t="s">
        <v>211</v>
      </c>
      <c r="I2" s="68" t="s">
        <v>201</v>
      </c>
      <c r="J2" s="74" t="s">
        <v>212</v>
      </c>
    </row>
    <row r="3" spans="2:10" x14ac:dyDescent="0.3">
      <c r="B3" s="32" t="s">
        <v>61</v>
      </c>
      <c r="C3" s="32" t="s">
        <v>435</v>
      </c>
      <c r="D3" s="32" t="s">
        <v>436</v>
      </c>
      <c r="E3" s="32" t="s">
        <v>437</v>
      </c>
      <c r="F3" s="30"/>
      <c r="G3" s="55">
        <v>45717</v>
      </c>
      <c r="H3" s="55">
        <f>EDATE(G3,11)</f>
        <v>46054</v>
      </c>
      <c r="I3" s="6"/>
    </row>
    <row r="4" spans="2:10" x14ac:dyDescent="0.3">
      <c r="B4" s="32" t="s">
        <v>62</v>
      </c>
      <c r="C4" s="32" t="s">
        <v>435</v>
      </c>
      <c r="D4" s="32" t="s">
        <v>436</v>
      </c>
      <c r="E4" s="32" t="s">
        <v>438</v>
      </c>
      <c r="F4" s="30"/>
      <c r="G4" s="55">
        <v>45778</v>
      </c>
      <c r="H4" s="55">
        <f t="shared" ref="H4:H67" si="0">EDATE(G4,11)</f>
        <v>46113</v>
      </c>
      <c r="I4" s="6"/>
    </row>
    <row r="5" spans="2:10" x14ac:dyDescent="0.3">
      <c r="B5" s="32" t="s">
        <v>63</v>
      </c>
      <c r="C5" s="32" t="s">
        <v>435</v>
      </c>
      <c r="D5" s="32" t="s">
        <v>436</v>
      </c>
      <c r="E5" s="32" t="s">
        <v>439</v>
      </c>
      <c r="F5" s="30"/>
      <c r="G5" s="55">
        <v>45809</v>
      </c>
      <c r="H5" s="55">
        <f t="shared" si="0"/>
        <v>46143</v>
      </c>
      <c r="I5" s="6"/>
    </row>
    <row r="6" spans="2:10" x14ac:dyDescent="0.3">
      <c r="B6" s="32" t="s">
        <v>64</v>
      </c>
      <c r="C6" s="32" t="s">
        <v>435</v>
      </c>
      <c r="D6" s="32" t="s">
        <v>436</v>
      </c>
      <c r="E6" s="32" t="s">
        <v>440</v>
      </c>
      <c r="F6" s="30"/>
      <c r="G6" s="55">
        <v>45931</v>
      </c>
      <c r="H6" s="55">
        <f t="shared" si="0"/>
        <v>46266</v>
      </c>
      <c r="I6" s="6"/>
    </row>
    <row r="7" spans="2:10" x14ac:dyDescent="0.3">
      <c r="B7" s="32" t="s">
        <v>65</v>
      </c>
      <c r="C7" s="32" t="s">
        <v>435</v>
      </c>
      <c r="D7" s="32" t="s">
        <v>436</v>
      </c>
      <c r="E7" s="32" t="s">
        <v>441</v>
      </c>
      <c r="F7" s="30"/>
      <c r="G7" s="55">
        <v>45962</v>
      </c>
      <c r="H7" s="55">
        <f t="shared" si="0"/>
        <v>46296</v>
      </c>
      <c r="I7" s="6"/>
    </row>
    <row r="8" spans="2:10" x14ac:dyDescent="0.3">
      <c r="B8" s="32" t="s">
        <v>66</v>
      </c>
      <c r="C8" s="32" t="s">
        <v>435</v>
      </c>
      <c r="D8" s="32" t="s">
        <v>436</v>
      </c>
      <c r="E8" s="32" t="s">
        <v>442</v>
      </c>
      <c r="F8" s="30"/>
      <c r="G8" s="55">
        <v>45962</v>
      </c>
      <c r="H8" s="55">
        <f t="shared" si="0"/>
        <v>46296</v>
      </c>
      <c r="I8" s="6"/>
    </row>
    <row r="9" spans="2:10" x14ac:dyDescent="0.3">
      <c r="B9" s="32" t="s">
        <v>67</v>
      </c>
      <c r="C9" s="32" t="s">
        <v>435</v>
      </c>
      <c r="D9" s="32" t="s">
        <v>436</v>
      </c>
      <c r="E9" s="32" t="s">
        <v>443</v>
      </c>
      <c r="F9" s="30"/>
      <c r="G9" s="55">
        <v>46054</v>
      </c>
      <c r="H9" s="55">
        <f t="shared" si="0"/>
        <v>46388</v>
      </c>
      <c r="I9" s="6"/>
    </row>
    <row r="10" spans="2:10" x14ac:dyDescent="0.3">
      <c r="B10" s="32" t="s">
        <v>68</v>
      </c>
      <c r="C10" s="32" t="s">
        <v>435</v>
      </c>
      <c r="D10" s="32" t="s">
        <v>436</v>
      </c>
      <c r="E10" s="32" t="s">
        <v>444</v>
      </c>
      <c r="F10" s="30"/>
      <c r="G10" s="55">
        <v>45931</v>
      </c>
      <c r="H10" s="55">
        <f t="shared" si="0"/>
        <v>46266</v>
      </c>
      <c r="I10" s="6"/>
    </row>
    <row r="11" spans="2:10" x14ac:dyDescent="0.3">
      <c r="B11" s="32" t="s">
        <v>69</v>
      </c>
      <c r="C11" s="32" t="s">
        <v>435</v>
      </c>
      <c r="D11" s="32" t="s">
        <v>436</v>
      </c>
      <c r="E11" s="32" t="s">
        <v>445</v>
      </c>
      <c r="F11" s="30"/>
      <c r="G11" s="55">
        <v>46054</v>
      </c>
      <c r="H11" s="55">
        <f t="shared" si="0"/>
        <v>46388</v>
      </c>
      <c r="I11" s="6" t="s">
        <v>204</v>
      </c>
    </row>
    <row r="12" spans="2:10" x14ac:dyDescent="0.3">
      <c r="B12" s="32" t="s">
        <v>70</v>
      </c>
      <c r="C12" s="32" t="s">
        <v>435</v>
      </c>
      <c r="D12" s="32" t="s">
        <v>436</v>
      </c>
      <c r="E12" s="32" t="s">
        <v>446</v>
      </c>
      <c r="F12" s="30"/>
      <c r="G12" s="55">
        <v>46082</v>
      </c>
      <c r="H12" s="55">
        <f t="shared" si="0"/>
        <v>46419</v>
      </c>
      <c r="I12" s="6"/>
    </row>
    <row r="13" spans="2:10" x14ac:dyDescent="0.3">
      <c r="B13" s="32" t="s">
        <v>71</v>
      </c>
      <c r="C13" s="32" t="s">
        <v>435</v>
      </c>
      <c r="D13" s="32" t="s">
        <v>436</v>
      </c>
      <c r="E13" s="32" t="s">
        <v>447</v>
      </c>
      <c r="F13" s="30"/>
      <c r="G13" s="55">
        <v>46082</v>
      </c>
      <c r="H13" s="55">
        <f t="shared" si="0"/>
        <v>46419</v>
      </c>
      <c r="I13" s="6" t="s">
        <v>204</v>
      </c>
    </row>
    <row r="14" spans="2:10" x14ac:dyDescent="0.3">
      <c r="B14" s="32" t="s">
        <v>72</v>
      </c>
      <c r="C14" s="32" t="s">
        <v>435</v>
      </c>
      <c r="D14" s="32" t="s">
        <v>436</v>
      </c>
      <c r="E14" s="32" t="s">
        <v>448</v>
      </c>
      <c r="F14" s="30"/>
      <c r="G14" s="55">
        <v>46143</v>
      </c>
      <c r="H14" s="55">
        <f t="shared" si="0"/>
        <v>46478</v>
      </c>
      <c r="I14" s="6"/>
    </row>
    <row r="15" spans="2:10" x14ac:dyDescent="0.3">
      <c r="B15" s="32" t="s">
        <v>73</v>
      </c>
      <c r="C15" s="32" t="s">
        <v>435</v>
      </c>
      <c r="D15" s="32" t="s">
        <v>436</v>
      </c>
      <c r="E15" s="32" t="s">
        <v>449</v>
      </c>
      <c r="F15" s="30"/>
      <c r="G15" s="55">
        <v>46174</v>
      </c>
      <c r="H15" s="55">
        <f t="shared" si="0"/>
        <v>46508</v>
      </c>
      <c r="I15" s="6"/>
    </row>
    <row r="16" spans="2:10" x14ac:dyDescent="0.3">
      <c r="B16" s="32" t="s">
        <v>74</v>
      </c>
      <c r="C16" s="32" t="s">
        <v>435</v>
      </c>
      <c r="D16" s="32" t="s">
        <v>436</v>
      </c>
      <c r="E16" s="32" t="s">
        <v>450</v>
      </c>
      <c r="F16" s="30"/>
      <c r="G16" s="55">
        <v>46054</v>
      </c>
      <c r="H16" s="55">
        <f t="shared" si="0"/>
        <v>46388</v>
      </c>
      <c r="I16" s="6"/>
    </row>
    <row r="17" spans="2:9" x14ac:dyDescent="0.3">
      <c r="B17" s="32" t="s">
        <v>75</v>
      </c>
      <c r="C17" s="32" t="s">
        <v>435</v>
      </c>
      <c r="D17" s="32" t="s">
        <v>436</v>
      </c>
      <c r="E17" s="32" t="s">
        <v>451</v>
      </c>
      <c r="F17" s="30"/>
      <c r="G17" s="55">
        <v>46113</v>
      </c>
      <c r="H17" s="55">
        <f t="shared" si="0"/>
        <v>46447</v>
      </c>
      <c r="I17" s="6"/>
    </row>
    <row r="18" spans="2:9" x14ac:dyDescent="0.3">
      <c r="B18" s="32" t="s">
        <v>76</v>
      </c>
      <c r="C18" s="32" t="s">
        <v>435</v>
      </c>
      <c r="D18" s="32" t="s">
        <v>436</v>
      </c>
      <c r="E18" s="32" t="s">
        <v>452</v>
      </c>
      <c r="F18" s="30"/>
      <c r="G18" s="55">
        <v>46113</v>
      </c>
      <c r="H18" s="55">
        <f t="shared" si="0"/>
        <v>46447</v>
      </c>
      <c r="I18" s="6"/>
    </row>
    <row r="19" spans="2:9" x14ac:dyDescent="0.3">
      <c r="B19" s="32" t="s">
        <v>77</v>
      </c>
      <c r="C19" s="32" t="s">
        <v>435</v>
      </c>
      <c r="D19" s="32" t="s">
        <v>436</v>
      </c>
      <c r="E19" s="32" t="s">
        <v>453</v>
      </c>
      <c r="F19" s="30"/>
      <c r="G19" s="55">
        <v>46054</v>
      </c>
      <c r="H19" s="55">
        <f t="shared" si="0"/>
        <v>46388</v>
      </c>
      <c r="I19" s="6"/>
    </row>
    <row r="20" spans="2:9" x14ac:dyDescent="0.3">
      <c r="B20" s="32" t="s">
        <v>78</v>
      </c>
      <c r="C20" s="32" t="s">
        <v>435</v>
      </c>
      <c r="D20" s="32" t="s">
        <v>436</v>
      </c>
      <c r="E20" s="32" t="s">
        <v>454</v>
      </c>
      <c r="F20" s="58"/>
      <c r="G20" s="57" t="e">
        <v>#N/A</v>
      </c>
      <c r="H20" s="57" t="e">
        <f t="shared" si="0"/>
        <v>#N/A</v>
      </c>
      <c r="I20" s="6"/>
    </row>
    <row r="21" spans="2:9" x14ac:dyDescent="0.3">
      <c r="B21" s="32" t="s">
        <v>79</v>
      </c>
      <c r="C21" s="32" t="s">
        <v>435</v>
      </c>
      <c r="D21" s="32" t="s">
        <v>436</v>
      </c>
      <c r="E21" s="32" t="s">
        <v>455</v>
      </c>
      <c r="F21" s="58"/>
      <c r="G21" s="57" t="e">
        <v>#N/A</v>
      </c>
      <c r="H21" s="57" t="e">
        <f t="shared" si="0"/>
        <v>#N/A</v>
      </c>
      <c r="I21" s="6"/>
    </row>
    <row r="22" spans="2:9" x14ac:dyDescent="0.3">
      <c r="B22" s="32" t="s">
        <v>80</v>
      </c>
      <c r="C22" s="32" t="s">
        <v>435</v>
      </c>
      <c r="D22" s="32" t="s">
        <v>436</v>
      </c>
      <c r="E22" s="32" t="s">
        <v>456</v>
      </c>
      <c r="F22" s="58"/>
      <c r="G22" s="57" t="e">
        <v>#N/A</v>
      </c>
      <c r="H22" s="57" t="e">
        <f t="shared" si="0"/>
        <v>#N/A</v>
      </c>
      <c r="I22" s="6"/>
    </row>
    <row r="23" spans="2:9" x14ac:dyDescent="0.3">
      <c r="B23" s="32" t="s">
        <v>81</v>
      </c>
      <c r="C23" s="32" t="s">
        <v>435</v>
      </c>
      <c r="D23" s="32" t="s">
        <v>436</v>
      </c>
      <c r="E23" s="32" t="s">
        <v>457</v>
      </c>
      <c r="F23" s="30"/>
      <c r="G23" s="55">
        <v>46113</v>
      </c>
      <c r="H23" s="55">
        <f t="shared" si="0"/>
        <v>46447</v>
      </c>
      <c r="I23" s="6"/>
    </row>
    <row r="24" spans="2:9" x14ac:dyDescent="0.3">
      <c r="B24" s="32" t="s">
        <v>82</v>
      </c>
      <c r="C24" s="32" t="s">
        <v>458</v>
      </c>
      <c r="D24" s="32" t="s">
        <v>459</v>
      </c>
      <c r="E24" s="32" t="s">
        <v>460</v>
      </c>
      <c r="F24" s="30"/>
      <c r="G24" s="55">
        <v>46113</v>
      </c>
      <c r="H24" s="55">
        <f t="shared" si="0"/>
        <v>46447</v>
      </c>
      <c r="I24" s="6"/>
    </row>
    <row r="25" spans="2:9" x14ac:dyDescent="0.3">
      <c r="B25" s="32" t="s">
        <v>83</v>
      </c>
      <c r="C25" s="32" t="s">
        <v>458</v>
      </c>
      <c r="D25" s="32" t="s">
        <v>459</v>
      </c>
      <c r="E25" s="32" t="s">
        <v>461</v>
      </c>
      <c r="F25" s="30"/>
      <c r="G25" s="55">
        <v>46113</v>
      </c>
      <c r="H25" s="55">
        <f t="shared" si="0"/>
        <v>46447</v>
      </c>
      <c r="I25" s="6"/>
    </row>
    <row r="26" spans="2:9" x14ac:dyDescent="0.3">
      <c r="B26" s="32" t="s">
        <v>84</v>
      </c>
      <c r="C26" s="32" t="s">
        <v>458</v>
      </c>
      <c r="D26" s="32" t="s">
        <v>459</v>
      </c>
      <c r="E26" s="32" t="s">
        <v>462</v>
      </c>
      <c r="F26" s="58"/>
      <c r="G26" s="57" t="e">
        <v>#N/A</v>
      </c>
      <c r="H26" s="57" t="e">
        <f t="shared" si="0"/>
        <v>#N/A</v>
      </c>
      <c r="I26" s="6"/>
    </row>
    <row r="27" spans="2:9" x14ac:dyDescent="0.3">
      <c r="B27" s="32" t="s">
        <v>85</v>
      </c>
      <c r="C27" s="32" t="s">
        <v>458</v>
      </c>
      <c r="D27" s="32" t="s">
        <v>459</v>
      </c>
      <c r="E27" s="32" t="s">
        <v>463</v>
      </c>
      <c r="F27" s="30"/>
      <c r="G27" s="55">
        <v>46054</v>
      </c>
      <c r="H27" s="55">
        <f t="shared" si="0"/>
        <v>46388</v>
      </c>
      <c r="I27" s="6"/>
    </row>
    <row r="28" spans="2:9" x14ac:dyDescent="0.3">
      <c r="B28" s="32" t="s">
        <v>86</v>
      </c>
      <c r="C28" s="32" t="s">
        <v>458</v>
      </c>
      <c r="D28" s="32" t="s">
        <v>459</v>
      </c>
      <c r="E28" s="32" t="s">
        <v>464</v>
      </c>
      <c r="F28" s="30"/>
      <c r="G28" s="55">
        <v>46113</v>
      </c>
      <c r="H28" s="55">
        <f t="shared" si="0"/>
        <v>46447</v>
      </c>
      <c r="I28" s="6"/>
    </row>
    <row r="29" spans="2:9" x14ac:dyDescent="0.3">
      <c r="B29" s="32" t="s">
        <v>87</v>
      </c>
      <c r="C29" s="32" t="s">
        <v>458</v>
      </c>
      <c r="D29" s="32" t="s">
        <v>459</v>
      </c>
      <c r="E29" s="32" t="s">
        <v>465</v>
      </c>
      <c r="F29" s="30"/>
      <c r="G29" s="55">
        <v>46054</v>
      </c>
      <c r="H29" s="55">
        <f t="shared" si="0"/>
        <v>46388</v>
      </c>
      <c r="I29" s="6"/>
    </row>
    <row r="30" spans="2:9" x14ac:dyDescent="0.3">
      <c r="B30" s="32" t="s">
        <v>88</v>
      </c>
      <c r="C30" s="32" t="s">
        <v>458</v>
      </c>
      <c r="D30" s="32" t="s">
        <v>459</v>
      </c>
      <c r="E30" s="32" t="s">
        <v>466</v>
      </c>
      <c r="F30" s="58"/>
      <c r="G30" s="57" t="e">
        <v>#N/A</v>
      </c>
      <c r="H30" s="57" t="e">
        <f t="shared" si="0"/>
        <v>#N/A</v>
      </c>
      <c r="I30" s="6"/>
    </row>
    <row r="31" spans="2:9" x14ac:dyDescent="0.3">
      <c r="B31" s="32" t="s">
        <v>89</v>
      </c>
      <c r="C31" s="32" t="s">
        <v>458</v>
      </c>
      <c r="D31" s="32" t="s">
        <v>459</v>
      </c>
      <c r="E31" s="32" t="s">
        <v>467</v>
      </c>
      <c r="F31" s="30"/>
      <c r="G31" s="55">
        <v>46143</v>
      </c>
      <c r="H31" s="55">
        <f t="shared" si="0"/>
        <v>46478</v>
      </c>
      <c r="I31" s="6"/>
    </row>
    <row r="32" spans="2:9" x14ac:dyDescent="0.3">
      <c r="B32" s="32" t="s">
        <v>90</v>
      </c>
      <c r="C32" s="32" t="s">
        <v>458</v>
      </c>
      <c r="D32" s="32" t="s">
        <v>459</v>
      </c>
      <c r="E32" s="32" t="s">
        <v>468</v>
      </c>
      <c r="F32" s="30"/>
      <c r="G32" s="55">
        <v>46113</v>
      </c>
      <c r="H32" s="55">
        <f t="shared" si="0"/>
        <v>46447</v>
      </c>
      <c r="I32" s="6"/>
    </row>
    <row r="33" spans="2:9" x14ac:dyDescent="0.3">
      <c r="B33" s="32" t="s">
        <v>91</v>
      </c>
      <c r="C33" s="32" t="s">
        <v>458</v>
      </c>
      <c r="D33" s="32" t="s">
        <v>459</v>
      </c>
      <c r="E33" s="32" t="s">
        <v>469</v>
      </c>
      <c r="F33" s="30"/>
      <c r="G33" s="55">
        <v>46113</v>
      </c>
      <c r="H33" s="55">
        <f t="shared" si="0"/>
        <v>46447</v>
      </c>
      <c r="I33" s="6"/>
    </row>
    <row r="34" spans="2:9" x14ac:dyDescent="0.3">
      <c r="B34" s="32" t="s">
        <v>92</v>
      </c>
      <c r="C34" s="32" t="s">
        <v>458</v>
      </c>
      <c r="D34" s="32" t="s">
        <v>459</v>
      </c>
      <c r="E34" s="32" t="s">
        <v>470</v>
      </c>
      <c r="F34" s="30"/>
      <c r="G34" s="55">
        <v>46113</v>
      </c>
      <c r="H34" s="55">
        <f t="shared" si="0"/>
        <v>46447</v>
      </c>
      <c r="I34" s="6"/>
    </row>
    <row r="35" spans="2:9" x14ac:dyDescent="0.3">
      <c r="B35" s="32" t="s">
        <v>93</v>
      </c>
      <c r="C35" s="32" t="s">
        <v>458</v>
      </c>
      <c r="D35" s="32" t="s">
        <v>459</v>
      </c>
      <c r="E35" s="32" t="s">
        <v>471</v>
      </c>
      <c r="F35" s="30"/>
      <c r="G35" s="55">
        <v>46143</v>
      </c>
      <c r="H35" s="55">
        <f t="shared" si="0"/>
        <v>46478</v>
      </c>
      <c r="I35" s="6"/>
    </row>
    <row r="36" spans="2:9" x14ac:dyDescent="0.3">
      <c r="B36" s="32" t="s">
        <v>94</v>
      </c>
      <c r="C36" s="32" t="s">
        <v>458</v>
      </c>
      <c r="D36" s="32" t="s">
        <v>459</v>
      </c>
      <c r="E36" s="32" t="s">
        <v>472</v>
      </c>
      <c r="F36" s="58"/>
      <c r="G36" s="57" t="e">
        <v>#N/A</v>
      </c>
      <c r="H36" s="57" t="e">
        <f t="shared" si="0"/>
        <v>#N/A</v>
      </c>
      <c r="I36" s="6"/>
    </row>
    <row r="37" spans="2:9" x14ac:dyDescent="0.3">
      <c r="B37" s="32" t="s">
        <v>95</v>
      </c>
      <c r="C37" s="32" t="s">
        <v>458</v>
      </c>
      <c r="D37" s="32" t="s">
        <v>459</v>
      </c>
      <c r="E37" s="32" t="s">
        <v>473</v>
      </c>
      <c r="F37" s="30"/>
      <c r="G37" s="55">
        <v>46266</v>
      </c>
      <c r="H37" s="55">
        <f t="shared" si="0"/>
        <v>46600</v>
      </c>
      <c r="I37" s="6"/>
    </row>
    <row r="38" spans="2:9" x14ac:dyDescent="0.3">
      <c r="B38" s="32" t="s">
        <v>96</v>
      </c>
      <c r="C38" s="32" t="s">
        <v>458</v>
      </c>
      <c r="D38" s="32" t="s">
        <v>459</v>
      </c>
      <c r="E38" s="32" t="s">
        <v>474</v>
      </c>
      <c r="F38" s="30"/>
      <c r="G38" s="55">
        <v>46296</v>
      </c>
      <c r="H38" s="55">
        <f t="shared" si="0"/>
        <v>46631</v>
      </c>
      <c r="I38" s="6"/>
    </row>
    <row r="39" spans="2:9" x14ac:dyDescent="0.3">
      <c r="B39" s="32" t="s">
        <v>97</v>
      </c>
      <c r="C39" s="32" t="s">
        <v>458</v>
      </c>
      <c r="D39" s="32" t="s">
        <v>459</v>
      </c>
      <c r="E39" s="32" t="s">
        <v>475</v>
      </c>
      <c r="F39" s="30"/>
      <c r="G39" s="55">
        <v>46327</v>
      </c>
      <c r="H39" s="55">
        <f t="shared" si="0"/>
        <v>46661</v>
      </c>
      <c r="I39" s="6"/>
    </row>
    <row r="40" spans="2:9" x14ac:dyDescent="0.3">
      <c r="B40" s="32" t="s">
        <v>98</v>
      </c>
      <c r="C40" s="32" t="s">
        <v>458</v>
      </c>
      <c r="D40" s="32" t="s">
        <v>459</v>
      </c>
      <c r="E40" s="32" t="s">
        <v>476</v>
      </c>
      <c r="F40" s="30"/>
      <c r="G40" s="55">
        <v>46327</v>
      </c>
      <c r="H40" s="55">
        <f t="shared" si="0"/>
        <v>46661</v>
      </c>
      <c r="I40" s="6"/>
    </row>
    <row r="41" spans="2:9" x14ac:dyDescent="0.3">
      <c r="B41" s="32" t="s">
        <v>99</v>
      </c>
      <c r="C41" s="32" t="s">
        <v>458</v>
      </c>
      <c r="D41" s="32" t="s">
        <v>459</v>
      </c>
      <c r="E41" s="32" t="s">
        <v>477</v>
      </c>
      <c r="F41" s="30"/>
      <c r="G41" s="55">
        <v>46082</v>
      </c>
      <c r="H41" s="55">
        <f t="shared" si="0"/>
        <v>46419</v>
      </c>
      <c r="I41" s="6"/>
    </row>
    <row r="42" spans="2:9" x14ac:dyDescent="0.3">
      <c r="B42" s="32" t="s">
        <v>100</v>
      </c>
      <c r="C42" s="32" t="s">
        <v>458</v>
      </c>
      <c r="D42" s="32" t="s">
        <v>459</v>
      </c>
      <c r="E42" s="32" t="s">
        <v>478</v>
      </c>
      <c r="F42" s="30"/>
      <c r="G42" s="55">
        <v>46113</v>
      </c>
      <c r="H42" s="55">
        <f t="shared" si="0"/>
        <v>46447</v>
      </c>
      <c r="I42" s="6"/>
    </row>
    <row r="43" spans="2:9" x14ac:dyDescent="0.3">
      <c r="B43" s="32" t="s">
        <v>101</v>
      </c>
      <c r="C43" s="32" t="s">
        <v>458</v>
      </c>
      <c r="D43" s="32" t="s">
        <v>459</v>
      </c>
      <c r="E43" s="32" t="s">
        <v>479</v>
      </c>
      <c r="F43" s="30"/>
      <c r="G43" s="55">
        <v>46113</v>
      </c>
      <c r="H43" s="55">
        <f t="shared" si="0"/>
        <v>46447</v>
      </c>
      <c r="I43" s="6"/>
    </row>
    <row r="44" spans="2:9" x14ac:dyDescent="0.3">
      <c r="B44" s="32" t="s">
        <v>102</v>
      </c>
      <c r="C44" s="32" t="s">
        <v>458</v>
      </c>
      <c r="D44" s="32" t="s">
        <v>459</v>
      </c>
      <c r="E44" s="32" t="s">
        <v>480</v>
      </c>
      <c r="F44" s="30"/>
      <c r="G44" s="55">
        <v>46113</v>
      </c>
      <c r="H44" s="55">
        <f t="shared" si="0"/>
        <v>46447</v>
      </c>
      <c r="I44" s="6"/>
    </row>
    <row r="45" spans="2:9" x14ac:dyDescent="0.3">
      <c r="B45" s="32" t="s">
        <v>103</v>
      </c>
      <c r="C45" s="32" t="s">
        <v>458</v>
      </c>
      <c r="D45" s="32" t="s">
        <v>459</v>
      </c>
      <c r="E45" s="32" t="s">
        <v>481</v>
      </c>
      <c r="F45" s="30"/>
      <c r="G45" s="55">
        <v>46113</v>
      </c>
      <c r="H45" s="55">
        <f t="shared" si="0"/>
        <v>46447</v>
      </c>
      <c r="I45" s="6"/>
    </row>
    <row r="46" spans="2:9" x14ac:dyDescent="0.3">
      <c r="B46" s="32" t="s">
        <v>104</v>
      </c>
      <c r="C46" s="32" t="s">
        <v>458</v>
      </c>
      <c r="D46" s="32" t="s">
        <v>459</v>
      </c>
      <c r="E46" s="32" t="s">
        <v>482</v>
      </c>
      <c r="F46" s="30"/>
      <c r="G46" s="55">
        <v>46296</v>
      </c>
      <c r="H46" s="55">
        <f t="shared" si="0"/>
        <v>46631</v>
      </c>
      <c r="I46" s="6"/>
    </row>
    <row r="47" spans="2:9" x14ac:dyDescent="0.3">
      <c r="B47" s="32" t="s">
        <v>105</v>
      </c>
      <c r="C47" s="32" t="s">
        <v>458</v>
      </c>
      <c r="D47" s="32" t="s">
        <v>459</v>
      </c>
      <c r="E47" s="32" t="s">
        <v>483</v>
      </c>
      <c r="F47" s="30"/>
      <c r="G47" s="55">
        <v>46327</v>
      </c>
      <c r="H47" s="55">
        <f t="shared" si="0"/>
        <v>46661</v>
      </c>
      <c r="I47" s="6"/>
    </row>
    <row r="48" spans="2:9" x14ac:dyDescent="0.3">
      <c r="B48" s="32" t="s">
        <v>106</v>
      </c>
      <c r="C48" s="32" t="s">
        <v>485</v>
      </c>
      <c r="D48" s="32" t="s">
        <v>459</v>
      </c>
      <c r="E48" s="32" t="s">
        <v>484</v>
      </c>
      <c r="F48" s="30"/>
      <c r="G48" s="55">
        <v>46235</v>
      </c>
      <c r="H48" s="55">
        <f t="shared" si="0"/>
        <v>46569</v>
      </c>
      <c r="I48" s="6"/>
    </row>
    <row r="49" spans="2:9" x14ac:dyDescent="0.3">
      <c r="B49" s="32" t="s">
        <v>107</v>
      </c>
      <c r="C49" s="32" t="s">
        <v>485</v>
      </c>
      <c r="D49" s="32" t="s">
        <v>459</v>
      </c>
      <c r="E49" s="32" t="s">
        <v>486</v>
      </c>
      <c r="F49" s="30"/>
      <c r="G49" s="55">
        <v>46082</v>
      </c>
      <c r="H49" s="55">
        <f t="shared" si="0"/>
        <v>46419</v>
      </c>
      <c r="I49" s="6"/>
    </row>
    <row r="50" spans="2:9" x14ac:dyDescent="0.3">
      <c r="B50" s="32" t="s">
        <v>108</v>
      </c>
      <c r="C50" s="32" t="s">
        <v>487</v>
      </c>
      <c r="D50" s="32" t="s">
        <v>436</v>
      </c>
      <c r="E50" s="32" t="s">
        <v>488</v>
      </c>
      <c r="F50" s="30"/>
      <c r="G50" s="55">
        <v>45931</v>
      </c>
      <c r="H50" s="55">
        <f t="shared" si="0"/>
        <v>46266</v>
      </c>
      <c r="I50" s="6"/>
    </row>
    <row r="51" spans="2:9" x14ac:dyDescent="0.3">
      <c r="B51" s="32" t="s">
        <v>109</v>
      </c>
      <c r="C51" s="32" t="s">
        <v>487</v>
      </c>
      <c r="D51" s="32" t="s">
        <v>436</v>
      </c>
      <c r="E51" s="32" t="s">
        <v>489</v>
      </c>
      <c r="F51" s="30"/>
      <c r="G51" s="55">
        <v>45962</v>
      </c>
      <c r="H51" s="55">
        <f t="shared" si="0"/>
        <v>46296</v>
      </c>
      <c r="I51" s="6"/>
    </row>
    <row r="52" spans="2:9" x14ac:dyDescent="0.3">
      <c r="B52" s="32" t="s">
        <v>110</v>
      </c>
      <c r="C52" s="32" t="s">
        <v>487</v>
      </c>
      <c r="D52" s="32" t="s">
        <v>436</v>
      </c>
      <c r="E52" s="32" t="s">
        <v>490</v>
      </c>
      <c r="F52" s="30"/>
      <c r="G52" s="55">
        <v>46204</v>
      </c>
      <c r="H52" s="55">
        <f t="shared" si="0"/>
        <v>46539</v>
      </c>
      <c r="I52" s="6"/>
    </row>
    <row r="53" spans="2:9" x14ac:dyDescent="0.3">
      <c r="B53" s="32" t="s">
        <v>111</v>
      </c>
      <c r="C53" s="32" t="s">
        <v>487</v>
      </c>
      <c r="D53" s="32" t="s">
        <v>436</v>
      </c>
      <c r="E53" s="32" t="s">
        <v>488</v>
      </c>
      <c r="F53" s="30"/>
      <c r="G53" s="55">
        <v>46204</v>
      </c>
      <c r="H53" s="55">
        <f t="shared" si="0"/>
        <v>46539</v>
      </c>
      <c r="I53" s="6"/>
    </row>
    <row r="54" spans="2:9" x14ac:dyDescent="0.3">
      <c r="B54" s="32" t="s">
        <v>112</v>
      </c>
      <c r="C54" s="32" t="s">
        <v>487</v>
      </c>
      <c r="D54" s="32" t="s">
        <v>436</v>
      </c>
      <c r="E54" s="32" t="s">
        <v>142</v>
      </c>
      <c r="F54" s="58"/>
      <c r="G54" s="57" t="s">
        <v>143</v>
      </c>
      <c r="H54" s="57" t="e">
        <f t="shared" si="0"/>
        <v>#VALUE!</v>
      </c>
      <c r="I54" s="6"/>
    </row>
    <row r="55" spans="2:9" x14ac:dyDescent="0.3">
      <c r="B55" s="32" t="s">
        <v>113</v>
      </c>
      <c r="C55" s="32" t="s">
        <v>485</v>
      </c>
      <c r="D55" s="32" t="s">
        <v>491</v>
      </c>
      <c r="E55" s="32" t="s">
        <v>492</v>
      </c>
      <c r="F55" s="30"/>
      <c r="G55" s="55">
        <v>46174</v>
      </c>
      <c r="H55" s="55">
        <f t="shared" si="0"/>
        <v>46508</v>
      </c>
      <c r="I55" s="6"/>
    </row>
    <row r="56" spans="2:9" x14ac:dyDescent="0.3">
      <c r="B56" s="32" t="s">
        <v>114</v>
      </c>
      <c r="C56" s="32" t="s">
        <v>487</v>
      </c>
      <c r="D56" s="32" t="s">
        <v>436</v>
      </c>
      <c r="E56" s="32" t="s">
        <v>493</v>
      </c>
      <c r="F56" s="30"/>
      <c r="G56" s="55">
        <v>46266</v>
      </c>
      <c r="H56" s="55">
        <f t="shared" si="0"/>
        <v>46600</v>
      </c>
      <c r="I56" s="6"/>
    </row>
    <row r="57" spans="2:9" x14ac:dyDescent="0.3">
      <c r="B57" s="32" t="s">
        <v>115</v>
      </c>
      <c r="C57" s="32" t="s">
        <v>487</v>
      </c>
      <c r="D57" s="32" t="s">
        <v>436</v>
      </c>
      <c r="E57" s="32" t="s">
        <v>494</v>
      </c>
      <c r="F57" s="30"/>
      <c r="G57" s="55">
        <v>46266</v>
      </c>
      <c r="H57" s="55">
        <f t="shared" si="0"/>
        <v>46600</v>
      </c>
      <c r="I57" s="6"/>
    </row>
    <row r="58" spans="2:9" x14ac:dyDescent="0.3">
      <c r="B58" s="32" t="s">
        <v>116</v>
      </c>
      <c r="C58" s="32" t="s">
        <v>487</v>
      </c>
      <c r="D58" s="32" t="s">
        <v>436</v>
      </c>
      <c r="E58" s="32" t="s">
        <v>495</v>
      </c>
      <c r="F58" s="30"/>
      <c r="G58" s="55">
        <v>46204</v>
      </c>
      <c r="H58" s="55">
        <f t="shared" si="0"/>
        <v>46539</v>
      </c>
      <c r="I58" s="6"/>
    </row>
    <row r="59" spans="2:9" x14ac:dyDescent="0.3">
      <c r="B59" s="32" t="s">
        <v>117</v>
      </c>
      <c r="C59" s="32" t="s">
        <v>487</v>
      </c>
      <c r="D59" s="32" t="s">
        <v>436</v>
      </c>
      <c r="E59" s="32" t="s">
        <v>496</v>
      </c>
      <c r="F59" s="30"/>
      <c r="G59" s="55">
        <v>46204</v>
      </c>
      <c r="H59" s="55">
        <f t="shared" si="0"/>
        <v>46539</v>
      </c>
      <c r="I59" s="6"/>
    </row>
    <row r="60" spans="2:9" x14ac:dyDescent="0.3">
      <c r="B60" s="32" t="s">
        <v>118</v>
      </c>
      <c r="C60" s="32" t="s">
        <v>487</v>
      </c>
      <c r="D60" s="32" t="s">
        <v>436</v>
      </c>
      <c r="E60" s="32" t="s">
        <v>497</v>
      </c>
      <c r="F60" s="30"/>
      <c r="G60" s="55">
        <v>46204</v>
      </c>
      <c r="H60" s="55">
        <f t="shared" si="0"/>
        <v>46539</v>
      </c>
      <c r="I60" s="6"/>
    </row>
    <row r="61" spans="2:9" x14ac:dyDescent="0.3">
      <c r="B61" s="32" t="s">
        <v>119</v>
      </c>
      <c r="C61" s="32" t="s">
        <v>487</v>
      </c>
      <c r="D61" s="32" t="s">
        <v>436</v>
      </c>
      <c r="E61" s="32" t="s">
        <v>498</v>
      </c>
      <c r="F61" s="30"/>
      <c r="G61" s="55">
        <v>46266</v>
      </c>
      <c r="H61" s="55">
        <f t="shared" si="0"/>
        <v>46600</v>
      </c>
      <c r="I61" s="6"/>
    </row>
    <row r="62" spans="2:9" x14ac:dyDescent="0.3">
      <c r="B62" s="32" t="s">
        <v>120</v>
      </c>
      <c r="C62" s="32" t="s">
        <v>487</v>
      </c>
      <c r="D62" s="32" t="s">
        <v>436</v>
      </c>
      <c r="E62" s="32" t="s">
        <v>499</v>
      </c>
      <c r="F62" s="30"/>
      <c r="G62" s="55">
        <v>46204</v>
      </c>
      <c r="H62" s="55">
        <f t="shared" si="0"/>
        <v>46539</v>
      </c>
      <c r="I62" s="6"/>
    </row>
    <row r="63" spans="2:9" x14ac:dyDescent="0.3">
      <c r="B63" s="32" t="s">
        <v>121</v>
      </c>
      <c r="C63" s="32" t="s">
        <v>485</v>
      </c>
      <c r="D63" s="32" t="s">
        <v>491</v>
      </c>
      <c r="E63" s="32" t="s">
        <v>500</v>
      </c>
      <c r="F63" s="30"/>
      <c r="G63" s="55">
        <v>46204</v>
      </c>
      <c r="H63" s="55">
        <f t="shared" si="0"/>
        <v>46539</v>
      </c>
      <c r="I63" s="6"/>
    </row>
    <row r="64" spans="2:9" x14ac:dyDescent="0.3">
      <c r="B64" s="32" t="s">
        <v>122</v>
      </c>
      <c r="C64" s="32" t="s">
        <v>487</v>
      </c>
      <c r="D64" s="32" t="s">
        <v>436</v>
      </c>
      <c r="E64" s="32" t="s">
        <v>501</v>
      </c>
      <c r="F64" s="30"/>
      <c r="G64" s="55">
        <v>46296</v>
      </c>
      <c r="H64" s="55">
        <f t="shared" si="0"/>
        <v>46631</v>
      </c>
      <c r="I64" s="6"/>
    </row>
    <row r="65" spans="2:22" x14ac:dyDescent="0.3">
      <c r="B65" s="32" t="s">
        <v>123</v>
      </c>
      <c r="C65" s="32" t="s">
        <v>487</v>
      </c>
      <c r="D65" s="32" t="s">
        <v>436</v>
      </c>
      <c r="E65" s="32" t="s">
        <v>502</v>
      </c>
      <c r="F65" s="30"/>
      <c r="G65" s="55">
        <v>46327</v>
      </c>
      <c r="H65" s="55">
        <f t="shared" si="0"/>
        <v>46661</v>
      </c>
      <c r="I65" s="6"/>
    </row>
    <row r="66" spans="2:22" x14ac:dyDescent="0.3">
      <c r="B66" s="32" t="s">
        <v>124</v>
      </c>
      <c r="C66" s="32" t="s">
        <v>487</v>
      </c>
      <c r="D66" s="32" t="s">
        <v>436</v>
      </c>
      <c r="E66" s="32" t="s">
        <v>503</v>
      </c>
      <c r="F66" s="30"/>
      <c r="G66" s="55">
        <v>46357</v>
      </c>
      <c r="H66" s="55">
        <f t="shared" si="0"/>
        <v>46692</v>
      </c>
      <c r="I66" s="6"/>
    </row>
    <row r="67" spans="2:22" x14ac:dyDescent="0.3">
      <c r="B67" s="32" t="s">
        <v>125</v>
      </c>
      <c r="C67" s="32" t="s">
        <v>487</v>
      </c>
      <c r="D67" s="32" t="s">
        <v>436</v>
      </c>
      <c r="E67" s="32" t="s">
        <v>504</v>
      </c>
      <c r="F67" s="30"/>
      <c r="G67" s="55">
        <v>46388</v>
      </c>
      <c r="H67" s="55">
        <f t="shared" si="0"/>
        <v>46722</v>
      </c>
      <c r="I67" s="6"/>
    </row>
    <row r="68" spans="2:22" x14ac:dyDescent="0.3">
      <c r="B68" s="32" t="s">
        <v>126</v>
      </c>
      <c r="C68" s="32" t="s">
        <v>487</v>
      </c>
      <c r="D68" s="32" t="s">
        <v>436</v>
      </c>
      <c r="E68" s="32" t="s">
        <v>505</v>
      </c>
      <c r="F68" s="30"/>
      <c r="G68" s="55">
        <v>46296</v>
      </c>
      <c r="H68" s="55">
        <f t="shared" ref="H68:H84" si="1">EDATE(G68,11)</f>
        <v>46631</v>
      </c>
      <c r="I68" s="6"/>
    </row>
    <row r="69" spans="2:22" x14ac:dyDescent="0.3">
      <c r="B69" s="32" t="s">
        <v>127</v>
      </c>
      <c r="C69" s="32" t="s">
        <v>487</v>
      </c>
      <c r="D69" s="32" t="s">
        <v>436</v>
      </c>
      <c r="E69" s="32" t="s">
        <v>506</v>
      </c>
      <c r="F69" s="30"/>
      <c r="G69" s="55">
        <v>46235</v>
      </c>
      <c r="H69" s="55">
        <f t="shared" si="1"/>
        <v>46569</v>
      </c>
      <c r="I69" s="6"/>
    </row>
    <row r="70" spans="2:22" x14ac:dyDescent="0.3">
      <c r="B70" s="32" t="s">
        <v>128</v>
      </c>
      <c r="C70" s="32" t="s">
        <v>487</v>
      </c>
      <c r="D70" s="32" t="s">
        <v>436</v>
      </c>
      <c r="E70" s="32" t="s">
        <v>507</v>
      </c>
      <c r="F70" s="30"/>
      <c r="G70" s="55">
        <v>46296</v>
      </c>
      <c r="H70" s="55">
        <f t="shared" si="1"/>
        <v>46631</v>
      </c>
      <c r="I70" s="6"/>
    </row>
    <row r="71" spans="2:22" x14ac:dyDescent="0.3">
      <c r="B71" s="32" t="s">
        <v>129</v>
      </c>
      <c r="C71" s="32" t="s">
        <v>487</v>
      </c>
      <c r="D71" s="32" t="s">
        <v>436</v>
      </c>
      <c r="E71" s="32" t="s">
        <v>508</v>
      </c>
      <c r="F71" s="30"/>
      <c r="G71" s="55">
        <v>46327</v>
      </c>
      <c r="H71" s="55">
        <f t="shared" si="1"/>
        <v>46661</v>
      </c>
      <c r="I71" s="6"/>
    </row>
    <row r="72" spans="2:22" x14ac:dyDescent="0.3">
      <c r="B72" s="32" t="s">
        <v>130</v>
      </c>
      <c r="C72" s="32" t="s">
        <v>487</v>
      </c>
      <c r="D72" s="32" t="s">
        <v>436</v>
      </c>
      <c r="E72" s="32" t="s">
        <v>509</v>
      </c>
      <c r="F72" s="30"/>
      <c r="G72" s="55">
        <v>45962</v>
      </c>
      <c r="H72" s="55">
        <f t="shared" si="1"/>
        <v>46296</v>
      </c>
      <c r="I72" s="6"/>
    </row>
    <row r="73" spans="2:22" x14ac:dyDescent="0.3">
      <c r="B73" s="32" t="s">
        <v>131</v>
      </c>
      <c r="C73" s="32" t="s">
        <v>487</v>
      </c>
      <c r="D73" s="32" t="s">
        <v>436</v>
      </c>
      <c r="E73" s="32" t="s">
        <v>510</v>
      </c>
      <c r="F73" s="30"/>
      <c r="G73" s="55">
        <v>46266</v>
      </c>
      <c r="H73" s="55">
        <f t="shared" si="1"/>
        <v>46600</v>
      </c>
      <c r="I73" s="6"/>
    </row>
    <row r="74" spans="2:22" x14ac:dyDescent="0.3">
      <c r="B74" s="32" t="s">
        <v>132</v>
      </c>
      <c r="C74" s="32" t="s">
        <v>435</v>
      </c>
      <c r="D74" s="32" t="s">
        <v>436</v>
      </c>
      <c r="E74" s="32" t="s">
        <v>511</v>
      </c>
      <c r="F74" s="30"/>
      <c r="G74" s="55">
        <v>46204</v>
      </c>
      <c r="H74" s="55">
        <f t="shared" si="1"/>
        <v>46539</v>
      </c>
      <c r="I74" s="6"/>
    </row>
    <row r="75" spans="2:22" x14ac:dyDescent="0.3">
      <c r="B75" s="32" t="s">
        <v>133</v>
      </c>
      <c r="C75" s="32" t="s">
        <v>435</v>
      </c>
      <c r="D75" s="32" t="s">
        <v>436</v>
      </c>
      <c r="E75" s="32" t="s">
        <v>512</v>
      </c>
      <c r="F75" s="30"/>
      <c r="G75" s="55">
        <v>46143</v>
      </c>
      <c r="H75" s="55">
        <f t="shared" si="1"/>
        <v>46478</v>
      </c>
      <c r="I75" s="6"/>
    </row>
    <row r="76" spans="2:22" x14ac:dyDescent="0.3">
      <c r="B76" s="32" t="s">
        <v>134</v>
      </c>
      <c r="C76" s="32" t="s">
        <v>458</v>
      </c>
      <c r="D76" s="32" t="s">
        <v>459</v>
      </c>
      <c r="E76" s="32" t="s">
        <v>513</v>
      </c>
      <c r="F76" s="30"/>
      <c r="G76" s="55">
        <v>46174</v>
      </c>
      <c r="H76" s="55">
        <f t="shared" si="1"/>
        <v>46508</v>
      </c>
      <c r="I76" s="6"/>
      <c r="V76" s="22"/>
    </row>
    <row r="77" spans="2:22" x14ac:dyDescent="0.3">
      <c r="B77" s="32" t="s">
        <v>135</v>
      </c>
      <c r="C77" s="32" t="s">
        <v>435</v>
      </c>
      <c r="D77" s="32" t="s">
        <v>436</v>
      </c>
      <c r="E77" s="32" t="s">
        <v>514</v>
      </c>
      <c r="F77" s="30"/>
      <c r="G77" s="55">
        <v>46023</v>
      </c>
      <c r="H77" s="55">
        <f t="shared" si="1"/>
        <v>46357</v>
      </c>
      <c r="I77" s="6"/>
      <c r="J77" s="72"/>
      <c r="K77" s="72"/>
      <c r="L77" s="72"/>
      <c r="M77" s="72"/>
      <c r="N77" s="72"/>
      <c r="O77" s="72"/>
      <c r="P77" s="72"/>
      <c r="Q77" s="72"/>
      <c r="R77" s="72"/>
      <c r="S77" s="72"/>
      <c r="T77" s="72"/>
      <c r="U77" s="72"/>
      <c r="V77" s="73"/>
    </row>
    <row r="78" spans="2:22" x14ac:dyDescent="0.3">
      <c r="B78" s="32" t="s">
        <v>136</v>
      </c>
      <c r="C78" s="32" t="s">
        <v>458</v>
      </c>
      <c r="D78" s="32" t="s">
        <v>459</v>
      </c>
      <c r="E78" s="32" t="s">
        <v>515</v>
      </c>
      <c r="F78" s="30"/>
      <c r="G78" s="55">
        <v>46082</v>
      </c>
      <c r="H78" s="55">
        <f t="shared" si="1"/>
        <v>46419</v>
      </c>
      <c r="I78" s="6"/>
    </row>
    <row r="79" spans="2:22" x14ac:dyDescent="0.3">
      <c r="B79" s="32" t="s">
        <v>137</v>
      </c>
      <c r="C79" s="32" t="s">
        <v>458</v>
      </c>
      <c r="D79" s="32" t="s">
        <v>459</v>
      </c>
      <c r="E79" s="32" t="s">
        <v>516</v>
      </c>
      <c r="F79" s="30"/>
      <c r="G79" s="55">
        <v>46143</v>
      </c>
      <c r="H79" s="55">
        <f t="shared" si="1"/>
        <v>46478</v>
      </c>
      <c r="I79" s="6"/>
    </row>
    <row r="80" spans="2:22" x14ac:dyDescent="0.3">
      <c r="B80" s="32" t="s">
        <v>138</v>
      </c>
      <c r="C80" s="32" t="s">
        <v>458</v>
      </c>
      <c r="D80" s="32" t="s">
        <v>459</v>
      </c>
      <c r="E80" s="32" t="s">
        <v>517</v>
      </c>
      <c r="F80" s="30"/>
      <c r="G80" s="55">
        <v>46357</v>
      </c>
      <c r="H80" s="55">
        <f t="shared" si="1"/>
        <v>46692</v>
      </c>
      <c r="I80" s="6"/>
    </row>
    <row r="81" spans="2:9" x14ac:dyDescent="0.3">
      <c r="B81" s="32" t="s">
        <v>139</v>
      </c>
      <c r="C81" s="32" t="s">
        <v>435</v>
      </c>
      <c r="D81" s="32" t="s">
        <v>436</v>
      </c>
      <c r="E81" s="32" t="s">
        <v>518</v>
      </c>
      <c r="F81" s="30"/>
      <c r="G81" s="55">
        <v>45962</v>
      </c>
      <c r="H81" s="55">
        <f t="shared" si="1"/>
        <v>46296</v>
      </c>
      <c r="I81" s="6"/>
    </row>
    <row r="82" spans="2:9" x14ac:dyDescent="0.3">
      <c r="B82" s="32" t="s">
        <v>140</v>
      </c>
      <c r="C82" s="32" t="s">
        <v>435</v>
      </c>
      <c r="D82" s="32" t="s">
        <v>436</v>
      </c>
      <c r="E82" s="32" t="s">
        <v>519</v>
      </c>
      <c r="F82" s="30"/>
      <c r="G82" s="55">
        <v>45962</v>
      </c>
      <c r="H82" s="55">
        <f t="shared" si="1"/>
        <v>46296</v>
      </c>
      <c r="I82" s="6"/>
    </row>
    <row r="83" spans="2:9" x14ac:dyDescent="0.3">
      <c r="B83" s="32" t="s">
        <v>141</v>
      </c>
      <c r="C83" s="32" t="s">
        <v>458</v>
      </c>
      <c r="D83" s="32" t="s">
        <v>459</v>
      </c>
      <c r="E83" s="32" t="s">
        <v>520</v>
      </c>
      <c r="F83" s="30"/>
      <c r="G83" s="55">
        <v>46388</v>
      </c>
      <c r="H83" s="55">
        <f t="shared" si="1"/>
        <v>46722</v>
      </c>
      <c r="I83" s="6"/>
    </row>
    <row r="84" spans="2:9" x14ac:dyDescent="0.3">
      <c r="B84" s="32" t="s">
        <v>205</v>
      </c>
      <c r="C84" s="32" t="s">
        <v>485</v>
      </c>
      <c r="D84" s="32" t="s">
        <v>491</v>
      </c>
      <c r="E84" s="32" t="s">
        <v>521</v>
      </c>
      <c r="F84" s="30"/>
      <c r="G84" s="69">
        <v>46296</v>
      </c>
      <c r="H84" s="70">
        <f t="shared" si="1"/>
        <v>46631</v>
      </c>
      <c r="I84" t="s">
        <v>206</v>
      </c>
    </row>
    <row r="85" spans="2:9" x14ac:dyDescent="0.3">
      <c r="B85" s="71" t="s">
        <v>522</v>
      </c>
      <c r="C85" s="71" t="s">
        <v>458</v>
      </c>
      <c r="D85" s="71" t="s">
        <v>459</v>
      </c>
      <c r="E85" s="71" t="s">
        <v>523</v>
      </c>
    </row>
  </sheetData>
  <autoFilter ref="B2:H85"/>
  <pageMargins left="0.7" right="0.7" top="0.75" bottom="0.75" header="0.3" footer="0.3"/>
  <pageSetup orientation="portrait" horizontalDpi="0" verticalDpi="0"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8" tint="0.79998168889431442"/>
  </sheetPr>
  <dimension ref="A1:CG319"/>
  <sheetViews>
    <sheetView topLeftCell="A2" zoomScale="70" zoomScaleNormal="70" workbookViewId="0">
      <pane xSplit="5" ySplit="1" topLeftCell="AW3" activePane="bottomRight" state="frozen"/>
      <selection activeCell="CA34" sqref="CA34"/>
      <selection pane="topRight" activeCell="CA34" sqref="CA34"/>
      <selection pane="bottomLeft" activeCell="CA34" sqref="CA34"/>
      <selection pane="bottomRight" activeCell="CA34" sqref="CA34"/>
    </sheetView>
  </sheetViews>
  <sheetFormatPr defaultColWidth="16.5546875" defaultRowHeight="14.4" x14ac:dyDescent="0.3"/>
  <cols>
    <col min="1" max="2" width="5.109375" hidden="1" customWidth="1"/>
    <col min="4" max="4" width="16.5546875" style="9"/>
    <col min="5" max="5" width="16.5546875" style="1"/>
    <col min="8" max="8" width="20" bestFit="1" customWidth="1"/>
    <col min="9" max="9" width="29.21875" bestFit="1" customWidth="1"/>
    <col min="10" max="10" width="48.6640625" bestFit="1" customWidth="1"/>
    <col min="11" max="12" width="12.77734375" bestFit="1" customWidth="1"/>
    <col min="13" max="13" width="14.6640625" bestFit="1" customWidth="1"/>
    <col min="14" max="16" width="12.77734375" bestFit="1" customWidth="1"/>
    <col min="17" max="17" width="10.109375" customWidth="1"/>
    <col min="18" max="18" width="10.5546875" customWidth="1"/>
    <col min="19" max="19" width="10.88671875" customWidth="1"/>
    <col min="20" max="20" width="10.5546875" customWidth="1"/>
    <col min="21" max="21" width="11.109375" customWidth="1"/>
    <col min="22" max="22" width="10.21875" customWidth="1"/>
    <col min="23" max="23" width="9.6640625" customWidth="1"/>
    <col min="24" max="24" width="10.77734375" customWidth="1"/>
    <col min="25" max="25" width="10.5546875" customWidth="1"/>
    <col min="26" max="26" width="10.44140625" customWidth="1"/>
    <col min="27" max="27" width="10.88671875" customWidth="1"/>
    <col min="28" max="28" width="10.5546875" customWidth="1"/>
    <col min="30" max="40" width="16.5546875" style="2" customWidth="1"/>
    <col min="41" max="41" width="16.5546875" style="2"/>
    <col min="42" max="44" width="16.5546875" hidden="1" customWidth="1"/>
    <col min="45" max="45" width="16.5546875" collapsed="1"/>
    <col min="46" max="50" width="16.5546875" customWidth="1"/>
    <col min="51" max="51" width="19.33203125" customWidth="1"/>
    <col min="52" max="63" width="0" hidden="1" customWidth="1"/>
    <col min="64" max="64" width="16.5546875" collapsed="1"/>
    <col min="65" max="75" width="16.5546875" style="17" hidden="1" customWidth="1"/>
    <col min="76" max="76" width="16.5546875" style="17" collapsed="1"/>
    <col min="77" max="79" width="16.5546875" customWidth="1"/>
    <col min="81" max="84" width="16.5546875" customWidth="1"/>
    <col min="85" max="85" width="20.88671875" customWidth="1"/>
  </cols>
  <sheetData>
    <row r="1" spans="1:85" hidden="1" x14ac:dyDescent="0.3">
      <c r="Q1" s="28">
        <v>46023</v>
      </c>
      <c r="R1" s="28">
        <v>46054</v>
      </c>
      <c r="S1" s="28">
        <v>46082</v>
      </c>
      <c r="T1" s="28">
        <v>46113</v>
      </c>
      <c r="U1" s="28">
        <v>46143</v>
      </c>
      <c r="V1" s="28">
        <v>46174</v>
      </c>
      <c r="W1" s="28">
        <v>46204</v>
      </c>
      <c r="X1" s="28">
        <v>46235</v>
      </c>
      <c r="Y1" s="28">
        <v>46266</v>
      </c>
      <c r="Z1" s="28">
        <v>46296</v>
      </c>
      <c r="AA1" s="28">
        <v>46327</v>
      </c>
      <c r="AB1" s="28">
        <v>46357</v>
      </c>
    </row>
    <row r="2" spans="1:85" s="20" customFormat="1" ht="54.6" customHeight="1" x14ac:dyDescent="0.3">
      <c r="A2" s="20" t="s">
        <v>210</v>
      </c>
      <c r="B2" s="20" t="s">
        <v>209</v>
      </c>
      <c r="C2" s="3" t="s">
        <v>0</v>
      </c>
      <c r="D2" s="8" t="s">
        <v>9</v>
      </c>
      <c r="E2" s="3" t="s">
        <v>57</v>
      </c>
      <c r="F2" s="3" t="s">
        <v>8</v>
      </c>
      <c r="G2" s="3" t="s">
        <v>211</v>
      </c>
      <c r="H2" s="3" t="s">
        <v>1</v>
      </c>
      <c r="I2" s="3" t="s">
        <v>2</v>
      </c>
      <c r="J2" s="3" t="s">
        <v>3</v>
      </c>
      <c r="K2" s="5" t="s">
        <v>47</v>
      </c>
      <c r="L2" s="5" t="s">
        <v>48</v>
      </c>
      <c r="M2" s="5" t="s">
        <v>49</v>
      </c>
      <c r="N2" s="5" t="s">
        <v>50</v>
      </c>
      <c r="O2" s="5" t="s">
        <v>51</v>
      </c>
      <c r="P2" s="5" t="s">
        <v>56</v>
      </c>
      <c r="Q2" s="4" t="s">
        <v>149</v>
      </c>
      <c r="R2" s="4" t="s">
        <v>150</v>
      </c>
      <c r="S2" s="4" t="s">
        <v>151</v>
      </c>
      <c r="T2" s="4" t="s">
        <v>152</v>
      </c>
      <c r="U2" s="4" t="s">
        <v>153</v>
      </c>
      <c r="V2" s="4" t="s">
        <v>154</v>
      </c>
      <c r="W2" s="4" t="s">
        <v>155</v>
      </c>
      <c r="X2" s="4" t="s">
        <v>156</v>
      </c>
      <c r="Y2" s="4" t="s">
        <v>157</v>
      </c>
      <c r="Z2" s="4" t="s">
        <v>158</v>
      </c>
      <c r="AA2" s="4" t="s">
        <v>159</v>
      </c>
      <c r="AB2" s="4" t="s">
        <v>160</v>
      </c>
      <c r="AC2" s="36" t="s">
        <v>171</v>
      </c>
      <c r="AD2" s="3" t="s">
        <v>23</v>
      </c>
      <c r="AE2" s="3" t="s">
        <v>24</v>
      </c>
      <c r="AF2" s="3" t="s">
        <v>25</v>
      </c>
      <c r="AG2" s="3" t="s">
        <v>26</v>
      </c>
      <c r="AH2" s="3" t="s">
        <v>27</v>
      </c>
      <c r="AI2" s="3" t="s">
        <v>28</v>
      </c>
      <c r="AJ2" s="3" t="s">
        <v>29</v>
      </c>
      <c r="AK2" s="3" t="s">
        <v>30</v>
      </c>
      <c r="AL2" s="3" t="s">
        <v>31</v>
      </c>
      <c r="AM2" s="3" t="s">
        <v>32</v>
      </c>
      <c r="AN2" s="3" t="s">
        <v>33</v>
      </c>
      <c r="AO2" s="3" t="s">
        <v>34</v>
      </c>
      <c r="AP2" s="18" t="s">
        <v>52</v>
      </c>
      <c r="AQ2" s="18" t="s">
        <v>53</v>
      </c>
      <c r="AR2" s="18" t="s">
        <v>196</v>
      </c>
      <c r="AS2" s="18" t="s">
        <v>197</v>
      </c>
      <c r="AT2" s="18" t="s">
        <v>161</v>
      </c>
      <c r="AU2" s="5" t="s">
        <v>144</v>
      </c>
      <c r="AV2" s="5" t="s">
        <v>145</v>
      </c>
      <c r="AW2" s="5" t="s">
        <v>146</v>
      </c>
      <c r="AX2" s="5" t="s">
        <v>147</v>
      </c>
      <c r="AY2" s="5" t="s">
        <v>148</v>
      </c>
      <c r="AZ2" s="4" t="s">
        <v>35</v>
      </c>
      <c r="BA2" s="4" t="s">
        <v>36</v>
      </c>
      <c r="BB2" s="4" t="s">
        <v>37</v>
      </c>
      <c r="BC2" s="4" t="s">
        <v>38</v>
      </c>
      <c r="BD2" s="4" t="s">
        <v>39</v>
      </c>
      <c r="BE2" s="4" t="s">
        <v>40</v>
      </c>
      <c r="BF2" s="4" t="s">
        <v>41</v>
      </c>
      <c r="BG2" s="4" t="s">
        <v>42</v>
      </c>
      <c r="BH2" s="4" t="s">
        <v>43</v>
      </c>
      <c r="BI2" s="4" t="s">
        <v>44</v>
      </c>
      <c r="BJ2" s="4" t="s">
        <v>45</v>
      </c>
      <c r="BK2" s="4" t="s">
        <v>46</v>
      </c>
      <c r="BL2" s="36" t="s">
        <v>172</v>
      </c>
      <c r="BM2" s="3" t="s">
        <v>10</v>
      </c>
      <c r="BN2" s="3" t="s">
        <v>11</v>
      </c>
      <c r="BO2" s="3" t="s">
        <v>12</v>
      </c>
      <c r="BP2" s="3" t="s">
        <v>13</v>
      </c>
      <c r="BQ2" s="3" t="s">
        <v>14</v>
      </c>
      <c r="BR2" s="3" t="s">
        <v>15</v>
      </c>
      <c r="BS2" s="3" t="s">
        <v>16</v>
      </c>
      <c r="BT2" s="3" t="s">
        <v>17</v>
      </c>
      <c r="BU2" s="3" t="s">
        <v>18</v>
      </c>
      <c r="BV2" s="3" t="s">
        <v>19</v>
      </c>
      <c r="BW2" s="3" t="s">
        <v>20</v>
      </c>
      <c r="BX2" s="3" t="s">
        <v>21</v>
      </c>
      <c r="BY2" s="18" t="s">
        <v>54</v>
      </c>
      <c r="BZ2" s="18" t="s">
        <v>55</v>
      </c>
      <c r="CA2" s="18" t="s">
        <v>188</v>
      </c>
      <c r="CB2" s="18" t="s">
        <v>189</v>
      </c>
      <c r="CC2" s="18" t="s">
        <v>173</v>
      </c>
      <c r="CD2" s="18" t="s">
        <v>174</v>
      </c>
      <c r="CE2" s="18" t="s">
        <v>175</v>
      </c>
      <c r="CF2" s="18" t="s">
        <v>176</v>
      </c>
      <c r="CG2" s="18" t="s">
        <v>177</v>
      </c>
    </row>
    <row r="3" spans="1:85" x14ac:dyDescent="0.3">
      <c r="A3" t="str">
        <f>Table1[[#This Row],[Project Name]]&amp;Table1[[#This Row],[Part Number]]</f>
        <v>TiW Target Supplier YR54</v>
      </c>
      <c r="B3" t="str">
        <f>IFERROR(Table1[[#This Row],[Project Number]]&amp;Table1[[#This Row],[Part Number]],"")</f>
        <v>AME25-001R54</v>
      </c>
      <c r="C3" s="22" t="s">
        <v>61</v>
      </c>
      <c r="D3" s="23" t="s">
        <v>292</v>
      </c>
      <c r="E3" s="25" t="s">
        <v>58</v>
      </c>
      <c r="F3" s="6">
        <f>INDEX(Proj_Reg!G:G,MATCH($C3,Proj_Reg!$B:$B,0),1)</f>
        <v>45717</v>
      </c>
      <c r="G3" s="6">
        <f>INDEX(Proj_Reg!H:H,MATCH($C3,Proj_Reg!$B:$B,0),1)</f>
        <v>46054</v>
      </c>
      <c r="H3" s="6" t="str">
        <f>IF(INDEX(Proj_Reg!C:C,MATCH($C3,Proj_Reg!$B:$B,0),1)=0,"",INDEX(Proj_Reg!C:C,MATCH($C3,Proj_Reg!$B:$B,0),1))</f>
        <v>Sputtering</v>
      </c>
      <c r="I3" s="6" t="str">
        <f>IF(INDEX(Proj_Reg!D:D,MATCH($C3,Proj_Reg!$B:$B,0),1)=0,"",INDEX(Proj_Reg!D:D,MATCH($C3,Proj_Reg!$B:$B,0),1))</f>
        <v>XWP</v>
      </c>
      <c r="J3" s="6" t="str">
        <f>INDEX(Proj_Reg!E:E,MATCH($C3,Proj_Reg!$B:$B,0),1)</f>
        <v>TiW Target Supplier Y</v>
      </c>
      <c r="K3" s="21">
        <v>1.1639999999999999E-2</v>
      </c>
      <c r="L3" s="21">
        <v>0</v>
      </c>
      <c r="M3" s="21">
        <v>7.4019242541500056E-3</v>
      </c>
      <c r="N3" s="21">
        <v>0</v>
      </c>
      <c r="O3" s="11">
        <f>SUM(Table1[[#This Row],[Labor
Saving]:[OH
Saving]])</f>
        <v>1.9041924254150005E-2</v>
      </c>
      <c r="Q3" s="40">
        <f>IFERROR(IF($F3=Q$1,0.3,IF(AND(Q$1&gt;$F3,Q$1&lt;=$G3),100%,0))*AZ3,"")</f>
        <v>1421660</v>
      </c>
      <c r="R3" s="40">
        <f t="shared" ref="R3:R65" si="0">IFERROR(IF($F3=R$1,0.3,IF(AND(R$1&gt;$F3,R$1&lt;=$G3),100%,0))*BA3,"")</f>
        <v>1201487</v>
      </c>
      <c r="S3" s="40">
        <f t="shared" ref="S3:S65" si="1">IFERROR(IF($F3=S$1,0.3,IF(AND(S$1&gt;$F3,S$1&lt;=$G3),100%,0))*BB3,"")</f>
        <v>0</v>
      </c>
      <c r="T3" s="40">
        <f t="shared" ref="T3:T65" si="2">IFERROR(IF($F3=T$1,0.3,IF(AND(T$1&gt;$F3,T$1&lt;=$G3),100%,0))*BC3,"")</f>
        <v>0</v>
      </c>
      <c r="U3" s="40">
        <f t="shared" ref="U3:U65" si="3">IFERROR(IF($F3=U$1,0.3,IF(AND(U$1&gt;$F3,U$1&lt;=$G3),100%,0))*BD3,"")</f>
        <v>0</v>
      </c>
      <c r="V3" s="40">
        <f t="shared" ref="V3:V65" si="4">IFERROR(IF($F3=V$1,0.3,IF(AND(V$1&gt;$F3,V$1&lt;=$G3),100%,0))*BE3,"")</f>
        <v>0</v>
      </c>
      <c r="W3" s="40">
        <f t="shared" ref="W3:W65" si="5">IFERROR(IF($F3=W$1,0.3,IF(AND(W$1&gt;$F3,W$1&lt;=$G3),100%,0))*BF3,"")</f>
        <v>0</v>
      </c>
      <c r="X3" s="40">
        <f t="shared" ref="X3:X65" si="6">IFERROR(IF($F3=X$1,0.3,IF(AND(X$1&gt;$F3,X$1&lt;=$G3),100%,0))*BG3,"")</f>
        <v>0</v>
      </c>
      <c r="Y3" s="40">
        <f t="shared" ref="Y3:Y65" si="7">IFERROR(IF($F3=Y$1,0.7,IF(AND(Y$1&gt;$F3,Y$1&lt;=$G3),100%,0))*BH3,"")</f>
        <v>0</v>
      </c>
      <c r="Z3" s="40">
        <f t="shared" ref="Z3:Z65" si="8">IFERROR(IF($F3=Z$1,0.3,IF(AND(Z$1&gt;$F3,Z$1&lt;=$G3),100%,0))*BI3,"")</f>
        <v>0</v>
      </c>
      <c r="AA3" s="40">
        <f t="shared" ref="AA3:AA65" si="9">IFERROR(IF($F3=AA$1,0.3,IF(AND(AA$1&gt;$F3,AA$1&lt;=$G3),100%,0))*BJ3,"")</f>
        <v>0</v>
      </c>
      <c r="AB3" s="40">
        <f t="shared" ref="AB3:AB65" si="10">IFERROR(IF($F3=AB$1,0.3,IF(AND(AB$1&gt;$F3,AB$1&lt;=$G3),100%,0))*BK3,"")</f>
        <v>0</v>
      </c>
      <c r="AC3" s="37">
        <f>SUM(Table1[[#This Row],[Jan]:[Dec]])</f>
        <v>2623147</v>
      </c>
      <c r="AD3" s="15">
        <f>IFERROR($O3*Q3,"")</f>
        <v>27071.142035154895</v>
      </c>
      <c r="AE3" s="15">
        <f t="shared" ref="AE3:AO3" si="11">IFERROR($O3*R3,"")</f>
        <v>22878.624446345926</v>
      </c>
      <c r="AF3" s="15">
        <f t="shared" si="11"/>
        <v>0</v>
      </c>
      <c r="AG3" s="15">
        <f t="shared" si="11"/>
        <v>0</v>
      </c>
      <c r="AH3" s="15">
        <f t="shared" si="11"/>
        <v>0</v>
      </c>
      <c r="AI3" s="15">
        <f t="shared" si="11"/>
        <v>0</v>
      </c>
      <c r="AJ3" s="15">
        <f t="shared" si="11"/>
        <v>0</v>
      </c>
      <c r="AK3" s="15">
        <f t="shared" si="11"/>
        <v>0</v>
      </c>
      <c r="AL3" s="15">
        <f t="shared" si="11"/>
        <v>0</v>
      </c>
      <c r="AM3" s="15">
        <f t="shared" si="11"/>
        <v>0</v>
      </c>
      <c r="AN3" s="15">
        <f t="shared" si="11"/>
        <v>0</v>
      </c>
      <c r="AO3" s="15">
        <f t="shared" si="11"/>
        <v>0</v>
      </c>
      <c r="AP3" s="10">
        <f>SUM(AD3:AF3)</f>
        <v>49949.766481500817</v>
      </c>
      <c r="AQ3" s="10">
        <f>SUM(AG3:AI3)</f>
        <v>0</v>
      </c>
      <c r="AR3" s="10">
        <f>SUM(AJ3:AL3)</f>
        <v>0</v>
      </c>
      <c r="AS3" s="10">
        <f>SUM(AM3:AO3)</f>
        <v>0</v>
      </c>
      <c r="AT3" s="10" t="b">
        <f>SUM(AD3:AO3)=SUM(AP3:AS3)</f>
        <v>1</v>
      </c>
      <c r="AU3" s="10">
        <f t="shared" ref="AU3:AU65" si="12">IFERROR(K3*SUM($Q3:$AB3),"")</f>
        <v>30533.431079999998</v>
      </c>
      <c r="AV3" s="10">
        <f t="shared" ref="AV3:AV65" si="13">IFERROR(L3*SUM($Q3:$AB3),"")</f>
        <v>0</v>
      </c>
      <c r="AW3" s="10">
        <f t="shared" ref="AW3:AW65" si="14">IFERROR(M3*SUM($Q3:$AB3),"")</f>
        <v>19416.335401500826</v>
      </c>
      <c r="AX3" s="10">
        <f t="shared" ref="AX3:AX65" si="15">IFERROR(N3*SUM($Q3:$AB3),"")</f>
        <v>0</v>
      </c>
      <c r="AY3" s="10">
        <f>SUM(AU3:AX3)</f>
        <v>49949.766481500825</v>
      </c>
      <c r="AZ3" s="19">
        <f>IFERROR(IF($E3="REC",INDEX(A_Type_Volume!$B:$B,MATCH($D3,A_Type_Volume!$A:$A,0),1),IF($E3="VAM",INDEX(C_Type_Volume!$B:$B,MATCH($D3,C_Type_Volume!$A:$A,0),1),"X")),"")</f>
        <v>1421660</v>
      </c>
      <c r="BA3" s="19">
        <f>IFERROR(IF($E3="REC",INDEX(A_Type_Volume!$C:$C,MATCH($D3,A_Type_Volume!$A:$A,0),1),IF($E3="VAM",INDEX(C_Type_Volume!$C:$C,MATCH($D3,C_Type_Volume!$A:$A,0),1),"X")),"")</f>
        <v>1201487</v>
      </c>
      <c r="BB3" s="19">
        <f>IFERROR(IF($E3="REC",INDEX(A_Type_Volume!$D:$D,MATCH($D3,A_Type_Volume!$A:$A,0),1),IF($E3="VAM",INDEX(C_Type_Volume!$D:$D,MATCH($D3,C_Type_Volume!$A:$A,0),1),"X")),"")</f>
        <v>1261172</v>
      </c>
      <c r="BC3" s="19">
        <f>IFERROR(IF($E3="REC",INDEX(A_Type_Volume!$E:$E,MATCH($D3,A_Type_Volume!$A:$A,0),1),IF($E3="VAM",INDEX(C_Type_Volume!$E:$E,MATCH($D3,C_Type_Volume!$A:$A,0),1),"X")),"")</f>
        <v>1290266</v>
      </c>
      <c r="BD3" s="19">
        <f>IFERROR(IF($E3="REC",INDEX(A_Type_Volume!$F:$F,MATCH($D3,A_Type_Volume!$A:$A,0),1),IF($E3="VAM",INDEX(C_Type_Volume!$F:$F,MATCH($D3,C_Type_Volume!$A:$A,0),1),"X")),"")</f>
        <v>1531466</v>
      </c>
      <c r="BE3" s="19">
        <f>IFERROR(IF($E3="REC",INDEX(A_Type_Volume!$G:$G,MATCH($D3,A_Type_Volume!$A:$A,0),1),IF($E3="VAM",INDEX(C_Type_Volume!$G:$G,MATCH($D3,C_Type_Volume!$A:$A,0),1),"X")),"")</f>
        <v>1259806</v>
      </c>
      <c r="BF3" s="19">
        <f>IFERROR(IF($E3="REC",INDEX(A_Type_Volume!$H:$H,MATCH($D3,A_Type_Volume!$A:$A,0),1),IF($E3="VAM",INDEX(C_Type_Volume!$H:$H,MATCH($D3,C_Type_Volume!$A:$A,0),1),"X")),"")</f>
        <v>1418923</v>
      </c>
      <c r="BG3" s="19">
        <f>IFERROR(IF($E3="REC",INDEX(A_Type_Volume!$I:$I,MATCH($D3,A_Type_Volume!$A:$A,0),1),IF($E3="VAM",INDEX(C_Type_Volume!$I:$I,MATCH($D3,C_Type_Volume!$A:$A,0),1),"X")),"")</f>
        <v>968297</v>
      </c>
      <c r="BH3" s="19">
        <f>IFERROR(IF($E3="REC",INDEX(A_Type_Volume!$J:$J,MATCH($D3,A_Type_Volume!$A:$A,0),1),IF($E3="VAM",INDEX(C_Type_Volume!$J:$J,MATCH($D3,C_Type_Volume!$A:$A,0),1),"X")),"")</f>
        <v>1021859</v>
      </c>
      <c r="BI3" s="19">
        <f>IFERROR(IF($E3="REC",INDEX(A_Type_Volume!$K:$K,MATCH($D3,A_Type_Volume!$A:$A,0),1),IF($E3="VAM",INDEX(C_Type_Volume!$K:$K,MATCH($D3,C_Type_Volume!$A:$A,0),1),"X")),"")</f>
        <v>960468</v>
      </c>
      <c r="BJ3" s="19">
        <f>IFERROR(IF($E3="REC",INDEX(A_Type_Volume!$L:$L,MATCH($D3,A_Type_Volume!$A:$A,0),1),IF($E3="VAM",INDEX(C_Type_Volume!$L:$L,MATCH($D3,C_Type_Volume!$A:$A,0),1),"X")),"")</f>
        <v>876790</v>
      </c>
      <c r="BK3" s="19">
        <f>IFERROR(IF($E3="REC",INDEX(A_Type_Volume!M:M,MATCH($D3,A_Type_Volume!$A:$A,0),1),IF($E3="VAM",INDEX(C_Type_Volume!M:M,MATCH($D3,C_Type_Volume!$A:$A,0),1),"X")),"")</f>
        <v>704324</v>
      </c>
      <c r="BL3" s="38">
        <f>SUM(Table1[[#This Row],[Jan_AVF]:[Dec_AVF]])</f>
        <v>13916518</v>
      </c>
      <c r="BM3" s="16">
        <f>AZ3*$O3</f>
        <v>27071.142035154895</v>
      </c>
      <c r="BN3" s="16">
        <f t="shared" ref="BN3:BX3" si="16">BA3*$O3</f>
        <v>22878.624446345926</v>
      </c>
      <c r="BO3" s="16">
        <f t="shared" si="16"/>
        <v>24015.141695454869</v>
      </c>
      <c r="BP3" s="16">
        <f t="shared" si="16"/>
        <v>24569.14743970511</v>
      </c>
      <c r="BQ3" s="16">
        <f t="shared" si="16"/>
        <v>29162.05956980609</v>
      </c>
      <c r="BR3" s="16">
        <f t="shared" si="16"/>
        <v>23989.130426923701</v>
      </c>
      <c r="BS3" s="16">
        <f t="shared" si="16"/>
        <v>27019.024288471286</v>
      </c>
      <c r="BT3" s="16">
        <f t="shared" si="16"/>
        <v>18438.238129520687</v>
      </c>
      <c r="BU3" s="16">
        <f t="shared" si="16"/>
        <v>19458.16167642147</v>
      </c>
      <c r="BV3" s="16">
        <f t="shared" si="16"/>
        <v>18289.158904534946</v>
      </c>
      <c r="BW3" s="16">
        <f t="shared" si="16"/>
        <v>16695.768766796184</v>
      </c>
      <c r="BX3" s="16">
        <f t="shared" si="16"/>
        <v>13411.684258379948</v>
      </c>
      <c r="BY3" s="10">
        <f t="shared" ref="BY3:BY65" si="17">IFERROR(SUM(BM3:BO3),"")</f>
        <v>73964.90817695568</v>
      </c>
      <c r="BZ3" s="10">
        <f t="shared" ref="BZ3:BZ65" si="18">IFERROR(SUM(BP3:BR3),"")</f>
        <v>77720.3374364349</v>
      </c>
      <c r="CA3" s="10">
        <f t="shared" ref="CA3:CA65" si="19">IFERROR(SUM(BS3:BU3),"")</f>
        <v>64915.424094413444</v>
      </c>
      <c r="CB3" s="10">
        <f t="shared" ref="CB3:CB65" si="20">IFERROR(SUM(BV3:BX3),"")</f>
        <v>48396.611929711071</v>
      </c>
      <c r="CC3" s="10">
        <f>IFERROR(Table1[[#This Row],[Labor
Saving]]*Table1[[#This Row],[Annual Volume]],"")</f>
        <v>161988.26952</v>
      </c>
      <c r="CD3" s="10">
        <f>IFERROR(Table1[[#This Row],[Annual Volume]]*Table1[[#This Row],[Yield
Saving]],"")</f>
        <v>0</v>
      </c>
      <c r="CE3" s="10">
        <f>IFERROR(Table1[[#This Row],[Annual Volume]]*Table1[[#This Row],[Material
Saving]],"")</f>
        <v>103009.01211751513</v>
      </c>
      <c r="CF3" s="10">
        <f>IFERROR(Table1[[#This Row],[OH
Saving]]*Table1[[#This Row],[Annual Volume]],"")</f>
        <v>0</v>
      </c>
      <c r="CG3" s="10">
        <f>SUM(Table1[[#This Row],[Labor_ASV]:[OH_ASV]])</f>
        <v>264997.28163751512</v>
      </c>
    </row>
    <row r="4" spans="1:85" x14ac:dyDescent="0.3">
      <c r="A4" t="str">
        <f>Table1[[#This Row],[Project Name]]&amp;Table1[[#This Row],[Part Number]]</f>
        <v>TiW Target Supplier XR52</v>
      </c>
      <c r="B4" t="str">
        <f>IFERROR(Table1[[#This Row],[Project Number]]&amp;Table1[[#This Row],[Part Number]],"")</f>
        <v>AME25-002R52</v>
      </c>
      <c r="C4" s="22" t="s">
        <v>62</v>
      </c>
      <c r="D4" s="24" t="s">
        <v>290</v>
      </c>
      <c r="E4" s="25" t="s">
        <v>58</v>
      </c>
      <c r="F4" s="6">
        <f>INDEX(Proj_Reg!G:G,MATCH($C4,Proj_Reg!$B:$B,0),1)</f>
        <v>45778</v>
      </c>
      <c r="G4" s="6">
        <f>INDEX(Proj_Reg!H:H,MATCH($C4,Proj_Reg!$B:$B,0),1)</f>
        <v>46113</v>
      </c>
      <c r="H4" s="6" t="str">
        <f>IF(INDEX(Proj_Reg!C:C,MATCH($C4,Proj_Reg!$B:$B,0),1)=0,"",INDEX(Proj_Reg!C:C,MATCH($C4,Proj_Reg!$B:$B,0),1))</f>
        <v>Sputtering</v>
      </c>
      <c r="I4" s="6" t="str">
        <f>IF(INDEX(Proj_Reg!D:D,MATCH($C4,Proj_Reg!$B:$B,0),1)=0,"",INDEX(Proj_Reg!D:D,MATCH($C4,Proj_Reg!$B:$B,0),1))</f>
        <v>XWP</v>
      </c>
      <c r="J4" s="6" t="str">
        <f>INDEX(Proj_Reg!E:E,MATCH($C4,Proj_Reg!$B:$B,0),1)</f>
        <v>TiW Target Supplier X</v>
      </c>
      <c r="K4" s="21">
        <v>1.2390558088235297E-2</v>
      </c>
      <c r="L4" s="21">
        <v>0</v>
      </c>
      <c r="M4" s="21">
        <v>1.3319221623970002E-2</v>
      </c>
      <c r="N4" s="21">
        <v>0</v>
      </c>
      <c r="O4" s="11">
        <f>SUM(Table1[[#This Row],[Labor
Saving]:[OH
Saving]])</f>
        <v>2.5709779712205297E-2</v>
      </c>
      <c r="Q4" s="40">
        <f t="shared" ref="Q4:Q65" si="21">IFERROR(IF($F4=Q$1,0.3,IF(AND(Q$1&gt;$F4,Q$1&lt;=$G4),100%,0))*AZ4,"")</f>
        <v>632256</v>
      </c>
      <c r="R4" s="40">
        <f t="shared" si="0"/>
        <v>734887</v>
      </c>
      <c r="S4" s="40">
        <f t="shared" si="1"/>
        <v>743478</v>
      </c>
      <c r="T4" s="40">
        <f t="shared" si="2"/>
        <v>625525</v>
      </c>
      <c r="U4" s="40">
        <f t="shared" si="3"/>
        <v>0</v>
      </c>
      <c r="V4" s="40">
        <f t="shared" si="4"/>
        <v>0</v>
      </c>
      <c r="W4" s="40">
        <f t="shared" si="5"/>
        <v>0</v>
      </c>
      <c r="X4" s="40">
        <f t="shared" si="6"/>
        <v>0</v>
      </c>
      <c r="Y4" s="40">
        <f t="shared" si="7"/>
        <v>0</v>
      </c>
      <c r="Z4" s="40">
        <f t="shared" si="8"/>
        <v>0</v>
      </c>
      <c r="AA4" s="40">
        <f t="shared" si="9"/>
        <v>0</v>
      </c>
      <c r="AB4" s="40">
        <f t="shared" si="10"/>
        <v>0</v>
      </c>
      <c r="AC4" s="37">
        <f>SUM(Table1[[#This Row],[Jan]:[Dec]])</f>
        <v>2736146</v>
      </c>
      <c r="AD4" s="15">
        <f t="shared" ref="AD4:AD66" si="22">IFERROR($O4*Q4,"")</f>
        <v>16255.162481720072</v>
      </c>
      <c r="AE4" s="15">
        <f t="shared" ref="AE4:AE66" si="23">IFERROR($O4*R4,"")</f>
        <v>18893.782883363416</v>
      </c>
      <c r="AF4" s="15">
        <f t="shared" ref="AF4:AF66" si="24">IFERROR($O4*S4,"")</f>
        <v>19114.65560087097</v>
      </c>
      <c r="AG4" s="15">
        <f t="shared" ref="AG4:AG66" si="25">IFERROR($O4*T4,"")</f>
        <v>16082.109954477219</v>
      </c>
      <c r="AH4" s="15">
        <f t="shared" ref="AH4:AH66" si="26">IFERROR($O4*U4,"")</f>
        <v>0</v>
      </c>
      <c r="AI4" s="15">
        <f t="shared" ref="AI4:AI66" si="27">IFERROR($O4*V4,"")</f>
        <v>0</v>
      </c>
      <c r="AJ4" s="15">
        <f t="shared" ref="AJ4:AJ66" si="28">IFERROR($O4*W4,"")</f>
        <v>0</v>
      </c>
      <c r="AK4" s="15">
        <f t="shared" ref="AK4:AK66" si="29">IFERROR($O4*X4,"")</f>
        <v>0</v>
      </c>
      <c r="AL4" s="15">
        <f t="shared" ref="AL4:AL66" si="30">IFERROR($O4*Y4,"")</f>
        <v>0</v>
      </c>
      <c r="AM4" s="15">
        <f t="shared" ref="AM4:AM66" si="31">IFERROR($O4*Z4,"")</f>
        <v>0</v>
      </c>
      <c r="AN4" s="15">
        <f t="shared" ref="AN4:AN66" si="32">IFERROR($O4*AA4,"")</f>
        <v>0</v>
      </c>
      <c r="AO4" s="15">
        <f t="shared" ref="AO4:AO66" si="33">IFERROR($O4*AB4,"")</f>
        <v>0</v>
      </c>
      <c r="AP4" s="10">
        <f t="shared" ref="AP4:AP66" si="34">SUM(AD4:AF4)</f>
        <v>54263.600965954465</v>
      </c>
      <c r="AQ4" s="10">
        <f t="shared" ref="AQ4:AQ66" si="35">SUM(AG4:AI4)</f>
        <v>16082.109954477219</v>
      </c>
      <c r="AR4" s="10">
        <f t="shared" ref="AR4:AR66" si="36">SUM(AJ4:AL4)</f>
        <v>0</v>
      </c>
      <c r="AS4" s="10">
        <f t="shared" ref="AS4:AS66" si="37">SUM(AM4:AO4)</f>
        <v>0</v>
      </c>
      <c r="AT4" s="10" t="b">
        <f t="shared" ref="AT4:AT66" si="38">SUM(AD4:AO4)=SUM(AP4:AS4)</f>
        <v>1</v>
      </c>
      <c r="AU4" s="10">
        <f t="shared" si="12"/>
        <v>33902.375950892652</v>
      </c>
      <c r="AV4" s="10">
        <f t="shared" si="13"/>
        <v>0</v>
      </c>
      <c r="AW4" s="10">
        <f t="shared" si="14"/>
        <v>36443.334969539021</v>
      </c>
      <c r="AX4" s="10">
        <f t="shared" si="15"/>
        <v>0</v>
      </c>
      <c r="AY4" s="10">
        <f t="shared" ref="AY4:AY66" si="39">SUM(AU4:AX4)</f>
        <v>70345.71092043168</v>
      </c>
      <c r="AZ4" s="19">
        <f>IFERROR(IF($E4="REC",INDEX(A_Type_Volume!$B:$B,MATCH($D4,A_Type_Volume!$A:$A,0),1),IF($E4="VAM",INDEX(C_Type_Volume!$B:$B,MATCH($D4,C_Type_Volume!$A:$A,0),1),"X")),"")</f>
        <v>632256</v>
      </c>
      <c r="BA4" s="19">
        <f>IFERROR(IF($E4="REC",INDEX(A_Type_Volume!$C:$C,MATCH($D4,A_Type_Volume!$A:$A,0),1),IF($E4="VAM",INDEX(C_Type_Volume!$C:$C,MATCH($D4,C_Type_Volume!$A:$A,0),1),"X")),"")</f>
        <v>734887</v>
      </c>
      <c r="BB4" s="19">
        <f>IFERROR(IF($E4="REC",INDEX(A_Type_Volume!$D:$D,MATCH($D4,A_Type_Volume!$A:$A,0),1),IF($E4="VAM",INDEX(C_Type_Volume!$D:$D,MATCH($D4,C_Type_Volume!$A:$A,0),1),"X")),"")</f>
        <v>743478</v>
      </c>
      <c r="BC4" s="19">
        <f>IFERROR(IF($E4="REC",INDEX(A_Type_Volume!$E:$E,MATCH($D4,A_Type_Volume!$A:$A,0),1),IF($E4="VAM",INDEX(C_Type_Volume!$E:$E,MATCH($D4,C_Type_Volume!$A:$A,0),1),"X")),"")</f>
        <v>625525</v>
      </c>
      <c r="BD4" s="19">
        <f>IFERROR(IF($E4="REC",INDEX(A_Type_Volume!$F:$F,MATCH($D4,A_Type_Volume!$A:$A,0),1),IF($E4="VAM",INDEX(C_Type_Volume!$F:$F,MATCH($D4,C_Type_Volume!$A:$A,0),1),"X")),"")</f>
        <v>713514</v>
      </c>
      <c r="BE4" s="19">
        <f>IFERROR(IF($E4="REC",INDEX(A_Type_Volume!$G:$G,MATCH($D4,A_Type_Volume!$A:$A,0),1),IF($E4="VAM",INDEX(C_Type_Volume!$G:$G,MATCH($D4,C_Type_Volume!$A:$A,0),1),"X")),"")</f>
        <v>727708</v>
      </c>
      <c r="BF4" s="19">
        <f>IFERROR(IF($E4="REC",INDEX(A_Type_Volume!$H:$H,MATCH($D4,A_Type_Volume!$A:$A,0),1),IF($E4="VAM",INDEX(C_Type_Volume!$H:$H,MATCH($D4,C_Type_Volume!$A:$A,0),1),"X")),"")</f>
        <v>691684</v>
      </c>
      <c r="BG4" s="19">
        <f>IFERROR(IF($E4="REC",INDEX(A_Type_Volume!$I:$I,MATCH($D4,A_Type_Volume!$A:$A,0),1),IF($E4="VAM",INDEX(C_Type_Volume!$I:$I,MATCH($D4,C_Type_Volume!$A:$A,0),1),"X")),"")</f>
        <v>534040</v>
      </c>
      <c r="BH4" s="19">
        <f>IFERROR(IF($E4="REC",INDEX(A_Type_Volume!$J:$J,MATCH($D4,A_Type_Volume!$A:$A,0),1),IF($E4="VAM",INDEX(C_Type_Volume!$J:$J,MATCH($D4,C_Type_Volume!$A:$A,0),1),"X")),"")</f>
        <v>637583</v>
      </c>
      <c r="BI4" s="19">
        <f>IFERROR(IF($E4="REC",INDEX(A_Type_Volume!$K:$K,MATCH($D4,A_Type_Volume!$A:$A,0),1),IF($E4="VAM",INDEX(C_Type_Volume!$K:$K,MATCH($D4,C_Type_Volume!$A:$A,0),1),"X")),"")</f>
        <v>584430</v>
      </c>
      <c r="BJ4" s="19">
        <f>IFERROR(IF($E4="REC",INDEX(A_Type_Volume!$L:$L,MATCH($D4,A_Type_Volume!$A:$A,0),1),IF($E4="VAM",INDEX(C_Type_Volume!$L:$L,MATCH($D4,C_Type_Volume!$A:$A,0),1),"X")),"")</f>
        <v>459465</v>
      </c>
      <c r="BK4" s="19">
        <f>IFERROR(IF($E4="REC",INDEX(A_Type_Volume!M:M,MATCH($D4,A_Type_Volume!$A:$A,0),1),IF($E4="VAM",INDEX(C_Type_Volume!M:M,MATCH($D4,C_Type_Volume!$A:$A,0),1),"X")),"")</f>
        <v>454091</v>
      </c>
      <c r="BL4" s="38">
        <f>SUM(Table1[[#This Row],[Jan_AVF]:[Dec_AVF]])</f>
        <v>7538661</v>
      </c>
      <c r="BM4" s="16">
        <f t="shared" ref="BM4:BM66" si="40">AZ4*$O4</f>
        <v>16255.162481720072</v>
      </c>
      <c r="BN4" s="16">
        <f t="shared" ref="BN4:BN66" si="41">BA4*$O4</f>
        <v>18893.782883363416</v>
      </c>
      <c r="BO4" s="16">
        <f t="shared" ref="BO4:BO66" si="42">BB4*$O4</f>
        <v>19114.65560087097</v>
      </c>
      <c r="BP4" s="16">
        <f t="shared" ref="BP4:BP66" si="43">BC4*$O4</f>
        <v>16082.109954477219</v>
      </c>
      <c r="BQ4" s="16">
        <f t="shared" ref="BQ4:BQ66" si="44">BD4*$O4</f>
        <v>18344.287761574451</v>
      </c>
      <c r="BR4" s="16">
        <f t="shared" ref="BR4:BR66" si="45">BE4*$O4</f>
        <v>18709.212374809493</v>
      </c>
      <c r="BS4" s="16">
        <f t="shared" ref="BS4:BS66" si="46">BF4*$O4</f>
        <v>17783.043270457008</v>
      </c>
      <c r="BT4" s="16">
        <f t="shared" ref="BT4:BT66" si="47">BG4*$O4</f>
        <v>13730.050757506116</v>
      </c>
      <c r="BU4" s="16">
        <f t="shared" ref="BU4:BU66" si="48">BH4*$O4</f>
        <v>16392.11847824699</v>
      </c>
      <c r="BV4" s="16">
        <f t="shared" ref="BV4:BV66" si="49">BI4*$O4</f>
        <v>15025.566557204142</v>
      </c>
      <c r="BW4" s="16">
        <f t="shared" ref="BW4:BW66" si="50">BJ4*$O4</f>
        <v>11812.743935468407</v>
      </c>
      <c r="BX4" s="16">
        <f t="shared" ref="BX4:BX66" si="51">BK4*$O4</f>
        <v>11674.579579295016</v>
      </c>
      <c r="BY4" s="10">
        <f t="shared" si="17"/>
        <v>54263.600965954465</v>
      </c>
      <c r="BZ4" s="10">
        <f t="shared" si="18"/>
        <v>53135.610090861155</v>
      </c>
      <c r="CA4" s="10">
        <f t="shared" si="19"/>
        <v>47905.212506210111</v>
      </c>
      <c r="CB4" s="10">
        <f t="shared" si="20"/>
        <v>38512.890071967566</v>
      </c>
      <c r="CC4" s="10">
        <f>IFERROR(Table1[[#This Row],[Labor
Saving]]*Table1[[#This Row],[Annual Volume]],"")</f>
        <v>93408.217028013998</v>
      </c>
      <c r="CD4" s="10">
        <f>IFERROR(Table1[[#This Row],[Annual Volume]]*Table1[[#This Row],[Yield
Saving]],"")</f>
        <v>0</v>
      </c>
      <c r="CE4" s="10">
        <f>IFERROR(Table1[[#This Row],[Annual Volume]]*Table1[[#This Row],[Material
Saving]],"")</f>
        <v>100409.09660697932</v>
      </c>
      <c r="CF4" s="10">
        <f>IFERROR(Table1[[#This Row],[OH
Saving]]*Table1[[#This Row],[Annual Volume]],"")</f>
        <v>0</v>
      </c>
      <c r="CG4" s="10">
        <f>SUM(Table1[[#This Row],[Labor_ASV]:[OH_ASV]])</f>
        <v>193817.31363499333</v>
      </c>
    </row>
    <row r="5" spans="1:85" x14ac:dyDescent="0.3">
      <c r="A5" t="str">
        <f>Table1[[#This Row],[Project Name]]&amp;Table1[[#This Row],[Part Number]]</f>
        <v>Aut Visual 2V3</v>
      </c>
      <c r="B5" t="str">
        <f>IFERROR(Table1[[#This Row],[Project Number]]&amp;Table1[[#This Row],[Part Number]],"")</f>
        <v>AME25-066V3</v>
      </c>
      <c r="C5" s="22" t="s">
        <v>113</v>
      </c>
      <c r="D5" s="24" t="s">
        <v>215</v>
      </c>
      <c r="E5" s="25" t="s">
        <v>60</v>
      </c>
      <c r="F5" s="6">
        <f>INDEX(Proj_Reg!G:G,MATCH($C5,Proj_Reg!$B:$B,0),1)</f>
        <v>46174</v>
      </c>
      <c r="G5" s="6">
        <f>INDEX(Proj_Reg!H:H,MATCH($C5,Proj_Reg!$B:$B,0),1)</f>
        <v>46508</v>
      </c>
      <c r="H5" s="6" t="str">
        <f>IF(INDEX(Proj_Reg!C:C,MATCH($C5,Proj_Reg!$B:$B,0),1)=0,"",INDEX(Proj_Reg!C:C,MATCH($C5,Proj_Reg!$B:$B,0),1))</f>
        <v>Visual Inspection</v>
      </c>
      <c r="I5" s="6" t="str">
        <f>IF(INDEX(Proj_Reg!D:D,MATCH($C5,Proj_Reg!$B:$B,0),1)=0,"",INDEX(Proj_Reg!D:D,MATCH($C5,Proj_Reg!$B:$B,0),1))</f>
        <v>XCI</v>
      </c>
      <c r="J5" s="6" t="str">
        <f>INDEX(Proj_Reg!E:E,MATCH($C5,Proj_Reg!$B:$B,0),1)</f>
        <v>Aut Visual 2</v>
      </c>
      <c r="K5" s="21">
        <v>0</v>
      </c>
      <c r="L5" s="21">
        <v>0</v>
      </c>
      <c r="M5" s="21">
        <v>0.125</v>
      </c>
      <c r="N5" s="21">
        <v>0</v>
      </c>
      <c r="O5" s="11">
        <f>SUM(Table1[[#This Row],[Labor
Saving]:[OH
Saving]])</f>
        <v>0.125</v>
      </c>
      <c r="Q5" s="40">
        <f t="shared" si="21"/>
        <v>0</v>
      </c>
      <c r="R5" s="40">
        <f t="shared" si="0"/>
        <v>0</v>
      </c>
      <c r="S5" s="40">
        <f t="shared" si="1"/>
        <v>0</v>
      </c>
      <c r="T5" s="40">
        <f t="shared" si="2"/>
        <v>0</v>
      </c>
      <c r="U5" s="40">
        <f t="shared" si="3"/>
        <v>0</v>
      </c>
      <c r="V5" s="40">
        <f t="shared" si="4"/>
        <v>243498</v>
      </c>
      <c r="W5" s="40">
        <f t="shared" si="5"/>
        <v>845291</v>
      </c>
      <c r="X5" s="40">
        <f t="shared" si="6"/>
        <v>777804</v>
      </c>
      <c r="Y5" s="40">
        <f t="shared" si="7"/>
        <v>845376</v>
      </c>
      <c r="Z5" s="40">
        <f t="shared" si="8"/>
        <v>879191</v>
      </c>
      <c r="AA5" s="40">
        <f t="shared" si="9"/>
        <v>811677</v>
      </c>
      <c r="AB5" s="40">
        <f t="shared" si="10"/>
        <v>568675</v>
      </c>
      <c r="AC5" s="37">
        <f>SUM(Table1[[#This Row],[Jan]:[Dec]])</f>
        <v>4971512</v>
      </c>
      <c r="AD5" s="15">
        <f t="shared" si="22"/>
        <v>0</v>
      </c>
      <c r="AE5" s="15">
        <f t="shared" si="23"/>
        <v>0</v>
      </c>
      <c r="AF5" s="15">
        <f t="shared" si="24"/>
        <v>0</v>
      </c>
      <c r="AG5" s="15">
        <f t="shared" si="25"/>
        <v>0</v>
      </c>
      <c r="AH5" s="15">
        <f t="shared" si="26"/>
        <v>0</v>
      </c>
      <c r="AI5" s="15">
        <f t="shared" si="27"/>
        <v>30437.25</v>
      </c>
      <c r="AJ5" s="15">
        <f t="shared" si="28"/>
        <v>105661.375</v>
      </c>
      <c r="AK5" s="15">
        <f t="shared" si="29"/>
        <v>97225.5</v>
      </c>
      <c r="AL5" s="15">
        <f t="shared" si="30"/>
        <v>105672</v>
      </c>
      <c r="AM5" s="15">
        <f t="shared" si="31"/>
        <v>109898.875</v>
      </c>
      <c r="AN5" s="15">
        <f t="shared" si="32"/>
        <v>101459.625</v>
      </c>
      <c r="AO5" s="15">
        <f t="shared" si="33"/>
        <v>71084.375</v>
      </c>
      <c r="AP5" s="10">
        <f t="shared" si="34"/>
        <v>0</v>
      </c>
      <c r="AQ5" s="10">
        <f t="shared" si="35"/>
        <v>30437.25</v>
      </c>
      <c r="AR5" s="10">
        <f t="shared" si="36"/>
        <v>308558.875</v>
      </c>
      <c r="AS5" s="10">
        <f t="shared" si="37"/>
        <v>282442.875</v>
      </c>
      <c r="AT5" s="10" t="b">
        <f t="shared" si="38"/>
        <v>1</v>
      </c>
      <c r="AU5" s="10">
        <f t="shared" si="12"/>
        <v>0</v>
      </c>
      <c r="AV5" s="10">
        <f t="shared" si="13"/>
        <v>0</v>
      </c>
      <c r="AW5" s="10">
        <f t="shared" si="14"/>
        <v>621439</v>
      </c>
      <c r="AX5" s="10">
        <f t="shared" si="15"/>
        <v>0</v>
      </c>
      <c r="AY5" s="10">
        <f t="shared" si="39"/>
        <v>621439</v>
      </c>
      <c r="AZ5" s="19">
        <f>IFERROR(IF($E5="REC",INDEX(A_Type_Volume!$B:$B,MATCH($D5,A_Type_Volume!$A:$A,0),1),IF($E5="VAM",INDEX(C_Type_Volume!$B:$B,MATCH($D5,C_Type_Volume!$A:$A,0),1),"X")),"")</f>
        <v>683202</v>
      </c>
      <c r="BA5" s="19">
        <f>IFERROR(IF($E5="REC",INDEX(A_Type_Volume!$C:$C,MATCH($D5,A_Type_Volume!$A:$A,0),1),IF($E5="VAM",INDEX(C_Type_Volume!$C:$C,MATCH($D5,C_Type_Volume!$A:$A,0),1),"X")),"")</f>
        <v>667394</v>
      </c>
      <c r="BB5" s="19">
        <f>IFERROR(IF($E5="REC",INDEX(A_Type_Volume!$D:$D,MATCH($D5,A_Type_Volume!$A:$A,0),1),IF($E5="VAM",INDEX(C_Type_Volume!$D:$D,MATCH($D5,C_Type_Volume!$A:$A,0),1),"X")),"")</f>
        <v>652384</v>
      </c>
      <c r="BC5" s="19">
        <f>IFERROR(IF($E5="REC",INDEX(A_Type_Volume!$E:$E,MATCH($D5,A_Type_Volume!$A:$A,0),1),IF($E5="VAM",INDEX(C_Type_Volume!$E:$E,MATCH($D5,C_Type_Volume!$A:$A,0),1),"X")),"")</f>
        <v>743928</v>
      </c>
      <c r="BD5" s="19">
        <f>IFERROR(IF($E5="REC",INDEX(A_Type_Volume!$F:$F,MATCH($D5,A_Type_Volume!$A:$A,0),1),IF($E5="VAM",INDEX(C_Type_Volume!$F:$F,MATCH($D5,C_Type_Volume!$A:$A,0),1),"X")),"")</f>
        <v>811604</v>
      </c>
      <c r="BE5" s="19">
        <f>IFERROR(IF($E5="REC",INDEX(A_Type_Volume!$G:$G,MATCH($D5,A_Type_Volume!$A:$A,0),1),IF($E5="VAM",INDEX(C_Type_Volume!$G:$G,MATCH($D5,C_Type_Volume!$A:$A,0),1),"X")),"")</f>
        <v>811660</v>
      </c>
      <c r="BF5" s="19">
        <f>IFERROR(IF($E5="REC",INDEX(A_Type_Volume!$H:$H,MATCH($D5,A_Type_Volume!$A:$A,0),1),IF($E5="VAM",INDEX(C_Type_Volume!$H:$H,MATCH($D5,C_Type_Volume!$A:$A,0),1),"X")),"")</f>
        <v>845291</v>
      </c>
      <c r="BG5" s="19">
        <f>IFERROR(IF($E5="REC",INDEX(A_Type_Volume!$I:$I,MATCH($D5,A_Type_Volume!$A:$A,0),1),IF($E5="VAM",INDEX(C_Type_Volume!$I:$I,MATCH($D5,C_Type_Volume!$A:$A,0),1),"X")),"")</f>
        <v>777804</v>
      </c>
      <c r="BH5" s="19">
        <f>IFERROR(IF($E5="REC",INDEX(A_Type_Volume!$J:$J,MATCH($D5,A_Type_Volume!$A:$A,0),1),IF($E5="VAM",INDEX(C_Type_Volume!$J:$J,MATCH($D5,C_Type_Volume!$A:$A,0),1),"X")),"")</f>
        <v>845376</v>
      </c>
      <c r="BI5" s="19">
        <f>IFERROR(IF($E5="REC",INDEX(A_Type_Volume!$K:$K,MATCH($D5,A_Type_Volume!$A:$A,0),1),IF($E5="VAM",INDEX(C_Type_Volume!$K:$K,MATCH($D5,C_Type_Volume!$A:$A,0),1),"X")),"")</f>
        <v>879191</v>
      </c>
      <c r="BJ5" s="19">
        <f>IFERROR(IF($E5="REC",INDEX(A_Type_Volume!$L:$L,MATCH($D5,A_Type_Volume!$A:$A,0),1),IF($E5="VAM",INDEX(C_Type_Volume!$L:$L,MATCH($D5,C_Type_Volume!$A:$A,0),1),"X")),"")</f>
        <v>811677</v>
      </c>
      <c r="BK5" s="19">
        <f>IFERROR(IF($E5="REC",INDEX(A_Type_Volume!M:M,MATCH($D5,A_Type_Volume!$A:$A,0),1),IF($E5="VAM",INDEX(C_Type_Volume!M:M,MATCH($D5,C_Type_Volume!$A:$A,0),1),"X")),"")</f>
        <v>568675</v>
      </c>
      <c r="BL5" s="38">
        <f>SUM(Table1[[#This Row],[Jan_AVF]:[Dec_AVF]])</f>
        <v>9098186</v>
      </c>
      <c r="BM5" s="16">
        <f t="shared" si="40"/>
        <v>85400.25</v>
      </c>
      <c r="BN5" s="16">
        <f t="shared" si="41"/>
        <v>83424.25</v>
      </c>
      <c r="BO5" s="16">
        <f t="shared" si="42"/>
        <v>81548</v>
      </c>
      <c r="BP5" s="16">
        <f t="shared" si="43"/>
        <v>92991</v>
      </c>
      <c r="BQ5" s="16">
        <f t="shared" si="44"/>
        <v>101450.5</v>
      </c>
      <c r="BR5" s="16">
        <f t="shared" si="45"/>
        <v>101457.5</v>
      </c>
      <c r="BS5" s="16">
        <f t="shared" si="46"/>
        <v>105661.375</v>
      </c>
      <c r="BT5" s="16">
        <f t="shared" si="47"/>
        <v>97225.5</v>
      </c>
      <c r="BU5" s="16">
        <f t="shared" si="48"/>
        <v>105672</v>
      </c>
      <c r="BV5" s="16">
        <f t="shared" si="49"/>
        <v>109898.875</v>
      </c>
      <c r="BW5" s="16">
        <f t="shared" si="50"/>
        <v>101459.625</v>
      </c>
      <c r="BX5" s="16">
        <f t="shared" si="51"/>
        <v>71084.375</v>
      </c>
      <c r="BY5" s="10">
        <f t="shared" si="17"/>
        <v>250372.5</v>
      </c>
      <c r="BZ5" s="10">
        <f t="shared" si="18"/>
        <v>295899</v>
      </c>
      <c r="CA5" s="10">
        <f t="shared" si="19"/>
        <v>308558.875</v>
      </c>
      <c r="CB5" s="10">
        <f t="shared" si="20"/>
        <v>282442.875</v>
      </c>
      <c r="CC5" s="10">
        <f>IFERROR(Table1[[#This Row],[Labor
Saving]]*Table1[[#This Row],[Annual Volume]],"")</f>
        <v>0</v>
      </c>
      <c r="CD5" s="10">
        <f>IFERROR(Table1[[#This Row],[Annual Volume]]*Table1[[#This Row],[Yield
Saving]],"")</f>
        <v>0</v>
      </c>
      <c r="CE5" s="10">
        <f>IFERROR(Table1[[#This Row],[Annual Volume]]*Table1[[#This Row],[Material
Saving]],"")</f>
        <v>1137273.25</v>
      </c>
      <c r="CF5" s="10">
        <f>IFERROR(Table1[[#This Row],[OH
Saving]]*Table1[[#This Row],[Annual Volume]],"")</f>
        <v>0</v>
      </c>
      <c r="CG5" s="10">
        <f>SUM(Table1[[#This Row],[Labor_ASV]:[OH_ASV]])</f>
        <v>1137273.25</v>
      </c>
    </row>
    <row r="6" spans="1:85" x14ac:dyDescent="0.3">
      <c r="A6" t="str">
        <f>Table1[[#This Row],[Project Name]]&amp;Table1[[#This Row],[Part Number]]</f>
        <v>Aut Visual 2V4</v>
      </c>
      <c r="B6" t="str">
        <f>IFERROR(Table1[[#This Row],[Project Number]]&amp;Table1[[#This Row],[Part Number]],"")</f>
        <v>AME25-066V4</v>
      </c>
      <c r="C6" s="22" t="s">
        <v>113</v>
      </c>
      <c r="D6" s="24" t="s">
        <v>216</v>
      </c>
      <c r="E6" s="86" t="s">
        <v>60</v>
      </c>
      <c r="F6" s="6">
        <f>INDEX(Proj_Reg!G:G,MATCH($C6,Proj_Reg!$B:$B,0),1)</f>
        <v>46174</v>
      </c>
      <c r="G6" s="6">
        <f>INDEX(Proj_Reg!H:H,MATCH($C6,Proj_Reg!$B:$B,0),1)</f>
        <v>46508</v>
      </c>
      <c r="H6" s="6" t="str">
        <f>IF(INDEX(Proj_Reg!C:C,MATCH($C6,Proj_Reg!$B:$B,0),1)=0,"",INDEX(Proj_Reg!C:C,MATCH($C6,Proj_Reg!$B:$B,0),1))</f>
        <v>Visual Inspection</v>
      </c>
      <c r="I6" s="6" t="str">
        <f>IF(INDEX(Proj_Reg!D:D,MATCH($C6,Proj_Reg!$B:$B,0),1)=0,"",INDEX(Proj_Reg!D:D,MATCH($C6,Proj_Reg!$B:$B,0),1))</f>
        <v>XCI</v>
      </c>
      <c r="J6" s="6" t="str">
        <f>INDEX(Proj_Reg!E:E,MATCH($C6,Proj_Reg!$B:$B,0),1)</f>
        <v>Aut Visual 2</v>
      </c>
      <c r="K6" s="21">
        <v>0</v>
      </c>
      <c r="L6" s="21">
        <v>0</v>
      </c>
      <c r="M6" s="21">
        <v>0.125</v>
      </c>
      <c r="N6" s="21">
        <v>0</v>
      </c>
      <c r="O6" s="11">
        <f>SUM(Table1[[#This Row],[Labor
Saving]:[OH
Saving]])</f>
        <v>0.125</v>
      </c>
      <c r="Q6" s="40">
        <f t="shared" si="21"/>
        <v>0</v>
      </c>
      <c r="R6" s="40">
        <f t="shared" si="0"/>
        <v>0</v>
      </c>
      <c r="S6" s="40">
        <f t="shared" si="1"/>
        <v>0</v>
      </c>
      <c r="T6" s="40">
        <f t="shared" si="2"/>
        <v>0</v>
      </c>
      <c r="U6" s="40">
        <f t="shared" si="3"/>
        <v>0</v>
      </c>
      <c r="V6" s="40">
        <f t="shared" si="4"/>
        <v>242502</v>
      </c>
      <c r="W6" s="40">
        <f t="shared" si="5"/>
        <v>842209</v>
      </c>
      <c r="X6" s="40">
        <f t="shared" si="6"/>
        <v>774696</v>
      </c>
      <c r="Y6" s="40">
        <f t="shared" si="7"/>
        <v>842124</v>
      </c>
      <c r="Z6" s="40">
        <f t="shared" si="8"/>
        <v>875809</v>
      </c>
      <c r="AA6" s="40">
        <f t="shared" si="9"/>
        <v>808323</v>
      </c>
      <c r="AB6" s="40">
        <f t="shared" si="10"/>
        <v>566675</v>
      </c>
      <c r="AC6" s="37">
        <f>SUM(Table1[[#This Row],[Jan]:[Dec]])</f>
        <v>4952338</v>
      </c>
      <c r="AD6" s="15">
        <f t="shared" si="22"/>
        <v>0</v>
      </c>
      <c r="AE6" s="15">
        <f t="shared" si="23"/>
        <v>0</v>
      </c>
      <c r="AF6" s="15">
        <f t="shared" si="24"/>
        <v>0</v>
      </c>
      <c r="AG6" s="15">
        <f t="shared" si="25"/>
        <v>0</v>
      </c>
      <c r="AH6" s="15">
        <f t="shared" si="26"/>
        <v>0</v>
      </c>
      <c r="AI6" s="15">
        <f t="shared" si="27"/>
        <v>30312.75</v>
      </c>
      <c r="AJ6" s="15">
        <f t="shared" si="28"/>
        <v>105276.125</v>
      </c>
      <c r="AK6" s="15">
        <f t="shared" si="29"/>
        <v>96837</v>
      </c>
      <c r="AL6" s="15">
        <f t="shared" si="30"/>
        <v>105265.5</v>
      </c>
      <c r="AM6" s="15">
        <f t="shared" si="31"/>
        <v>109476.125</v>
      </c>
      <c r="AN6" s="15">
        <f t="shared" si="32"/>
        <v>101040.375</v>
      </c>
      <c r="AO6" s="15">
        <f t="shared" si="33"/>
        <v>70834.375</v>
      </c>
      <c r="AP6" s="10">
        <f t="shared" si="34"/>
        <v>0</v>
      </c>
      <c r="AQ6" s="10">
        <f t="shared" si="35"/>
        <v>30312.75</v>
      </c>
      <c r="AR6" s="10">
        <f t="shared" si="36"/>
        <v>307378.625</v>
      </c>
      <c r="AS6" s="10">
        <f t="shared" si="37"/>
        <v>281350.875</v>
      </c>
      <c r="AT6" s="10" t="b">
        <f t="shared" si="38"/>
        <v>1</v>
      </c>
      <c r="AU6" s="10">
        <f t="shared" si="12"/>
        <v>0</v>
      </c>
      <c r="AV6" s="10">
        <f t="shared" si="13"/>
        <v>0</v>
      </c>
      <c r="AW6" s="10">
        <f t="shared" si="14"/>
        <v>619042.25</v>
      </c>
      <c r="AX6" s="10">
        <f t="shared" si="15"/>
        <v>0</v>
      </c>
      <c r="AY6" s="10">
        <f t="shared" si="39"/>
        <v>619042.25</v>
      </c>
      <c r="AZ6" s="19">
        <f>IFERROR(IF($E6="REC",INDEX(A_Type_Volume!$B:$B,MATCH($D6,A_Type_Volume!$A:$A,0),1),IF($E6="VAM",INDEX(C_Type_Volume!$B:$B,MATCH($D6,C_Type_Volume!$A:$A,0),1),"X")),"")</f>
        <v>713167</v>
      </c>
      <c r="BA6" s="19">
        <f>IFERROR(IF($E6="REC",INDEX(A_Type_Volume!$C:$C,MATCH($D6,A_Type_Volume!$A:$A,0),1),IF($E6="VAM",INDEX(C_Type_Volume!$C:$C,MATCH($D6,C_Type_Volume!$A:$A,0),1),"X")),"")</f>
        <v>603260</v>
      </c>
      <c r="BB6" s="19">
        <f>IFERROR(IF($E6="REC",INDEX(A_Type_Volume!$D:$D,MATCH($D6,A_Type_Volume!$A:$A,0),1),IF($E6="VAM",INDEX(C_Type_Volume!$D:$D,MATCH($D6,C_Type_Volume!$A:$A,0),1),"X")),"")</f>
        <v>650377</v>
      </c>
      <c r="BC6" s="19">
        <f>IFERROR(IF($E6="REC",INDEX(A_Type_Volume!$E:$E,MATCH($D6,A_Type_Volume!$A:$A,0),1),IF($E6="VAM",INDEX(C_Type_Volume!$E:$E,MATCH($D6,C_Type_Volume!$A:$A,0),1),"X")),"")</f>
        <v>741072</v>
      </c>
      <c r="BD6" s="19">
        <f>IFERROR(IF($E6="REC",INDEX(A_Type_Volume!$F:$F,MATCH($D6,A_Type_Volume!$A:$A,0),1),IF($E6="VAM",INDEX(C_Type_Volume!$F:$F,MATCH($D6,C_Type_Volume!$A:$A,0),1),"X")),"")</f>
        <v>808396</v>
      </c>
      <c r="BE6" s="19">
        <f>IFERROR(IF($E6="REC",INDEX(A_Type_Volume!$G:$G,MATCH($D6,A_Type_Volume!$A:$A,0),1),IF($E6="VAM",INDEX(C_Type_Volume!$G:$G,MATCH($D6,C_Type_Volume!$A:$A,0),1),"X")),"")</f>
        <v>808340</v>
      </c>
      <c r="BF6" s="19">
        <f>IFERROR(IF($E6="REC",INDEX(A_Type_Volume!$H:$H,MATCH($D6,A_Type_Volume!$A:$A,0),1),IF($E6="VAM",INDEX(C_Type_Volume!$H:$H,MATCH($D6,C_Type_Volume!$A:$A,0),1),"X")),"")</f>
        <v>842209</v>
      </c>
      <c r="BG6" s="19">
        <f>IFERROR(IF($E6="REC",INDEX(A_Type_Volume!$I:$I,MATCH($D6,A_Type_Volume!$A:$A,0),1),IF($E6="VAM",INDEX(C_Type_Volume!$I:$I,MATCH($D6,C_Type_Volume!$A:$A,0),1),"X")),"")</f>
        <v>774696</v>
      </c>
      <c r="BH6" s="19">
        <f>IFERROR(IF($E6="REC",INDEX(A_Type_Volume!$J:$J,MATCH($D6,A_Type_Volume!$A:$A,0),1),IF($E6="VAM",INDEX(C_Type_Volume!$J:$J,MATCH($D6,C_Type_Volume!$A:$A,0),1),"X")),"")</f>
        <v>842124</v>
      </c>
      <c r="BI6" s="19">
        <f>IFERROR(IF($E6="REC",INDEX(A_Type_Volume!$K:$K,MATCH($D6,A_Type_Volume!$A:$A,0),1),IF($E6="VAM",INDEX(C_Type_Volume!$K:$K,MATCH($D6,C_Type_Volume!$A:$A,0),1),"X")),"")</f>
        <v>875809</v>
      </c>
      <c r="BJ6" s="19">
        <f>IFERROR(IF($E6="REC",INDEX(A_Type_Volume!$L:$L,MATCH($D6,A_Type_Volume!$A:$A,0),1),IF($E6="VAM",INDEX(C_Type_Volume!$L:$L,MATCH($D6,C_Type_Volume!$A:$A,0),1),"X")),"")</f>
        <v>808323</v>
      </c>
      <c r="BK6" s="19">
        <f>IFERROR(IF($E6="REC",INDEX(A_Type_Volume!M:M,MATCH($D6,A_Type_Volume!$A:$A,0),1),IF($E6="VAM",INDEX(C_Type_Volume!M:M,MATCH($D6,C_Type_Volume!$A:$A,0),1),"X")),"")</f>
        <v>566675</v>
      </c>
      <c r="BL6" s="38">
        <f>SUM(Table1[[#This Row],[Jan_AVF]:[Dec_AVF]])</f>
        <v>9034448</v>
      </c>
      <c r="BM6" s="16">
        <f t="shared" si="40"/>
        <v>89145.875</v>
      </c>
      <c r="BN6" s="16">
        <f t="shared" si="41"/>
        <v>75407.5</v>
      </c>
      <c r="BO6" s="16">
        <f t="shared" si="42"/>
        <v>81297.125</v>
      </c>
      <c r="BP6" s="16">
        <f t="shared" si="43"/>
        <v>92634</v>
      </c>
      <c r="BQ6" s="16">
        <f t="shared" si="44"/>
        <v>101049.5</v>
      </c>
      <c r="BR6" s="16">
        <f t="shared" si="45"/>
        <v>101042.5</v>
      </c>
      <c r="BS6" s="16">
        <f t="shared" si="46"/>
        <v>105276.125</v>
      </c>
      <c r="BT6" s="16">
        <f t="shared" si="47"/>
        <v>96837</v>
      </c>
      <c r="BU6" s="16">
        <f t="shared" si="48"/>
        <v>105265.5</v>
      </c>
      <c r="BV6" s="16">
        <f t="shared" si="49"/>
        <v>109476.125</v>
      </c>
      <c r="BW6" s="16">
        <f t="shared" si="50"/>
        <v>101040.375</v>
      </c>
      <c r="BX6" s="16">
        <f t="shared" si="51"/>
        <v>70834.375</v>
      </c>
      <c r="BY6" s="10">
        <f t="shared" si="17"/>
        <v>245850.5</v>
      </c>
      <c r="BZ6" s="10">
        <f t="shared" si="18"/>
        <v>294726</v>
      </c>
      <c r="CA6" s="10">
        <f t="shared" si="19"/>
        <v>307378.625</v>
      </c>
      <c r="CB6" s="10">
        <f t="shared" si="20"/>
        <v>281350.875</v>
      </c>
      <c r="CC6" s="10">
        <f>IFERROR(Table1[[#This Row],[Labor
Saving]]*Table1[[#This Row],[Annual Volume]],"")</f>
        <v>0</v>
      </c>
      <c r="CD6" s="10">
        <f>IFERROR(Table1[[#This Row],[Annual Volume]]*Table1[[#This Row],[Yield
Saving]],"")</f>
        <v>0</v>
      </c>
      <c r="CE6" s="10">
        <f>IFERROR(Table1[[#This Row],[Annual Volume]]*Table1[[#This Row],[Material
Saving]],"")</f>
        <v>1129306</v>
      </c>
      <c r="CF6" s="10">
        <f>IFERROR(Table1[[#This Row],[OH
Saving]]*Table1[[#This Row],[Annual Volume]],"")</f>
        <v>0</v>
      </c>
      <c r="CG6" s="10">
        <f>SUM(Table1[[#This Row],[Labor_ASV]:[OH_ASV]])</f>
        <v>1129306</v>
      </c>
    </row>
    <row r="7" spans="1:85" x14ac:dyDescent="0.3">
      <c r="A7" t="str">
        <f>Table1[[#This Row],[Project Name]]&amp;Table1[[#This Row],[Part Number]]</f>
        <v>Aut Visual 2V1</v>
      </c>
      <c r="B7" t="str">
        <f>IFERROR(Table1[[#This Row],[Project Number]]&amp;Table1[[#This Row],[Part Number]],"")</f>
        <v>AME25-066V1</v>
      </c>
      <c r="C7" s="22" t="s">
        <v>113</v>
      </c>
      <c r="D7" s="24" t="s">
        <v>213</v>
      </c>
      <c r="E7" s="25" t="s">
        <v>60</v>
      </c>
      <c r="F7" s="6">
        <f>INDEX(Proj_Reg!G:G,MATCH($C7,Proj_Reg!$B:$B,0),1)</f>
        <v>46174</v>
      </c>
      <c r="G7" s="6">
        <f>INDEX(Proj_Reg!H:H,MATCH($C7,Proj_Reg!$B:$B,0),1)</f>
        <v>46508</v>
      </c>
      <c r="H7" s="6" t="str">
        <f>IF(INDEX(Proj_Reg!C:C,MATCH($C7,Proj_Reg!$B:$B,0),1)=0,"",INDEX(Proj_Reg!C:C,MATCH($C7,Proj_Reg!$B:$B,0),1))</f>
        <v>Visual Inspection</v>
      </c>
      <c r="I7" s="6" t="str">
        <f>IF(INDEX(Proj_Reg!D:D,MATCH($C7,Proj_Reg!$B:$B,0),1)=0,"",INDEX(Proj_Reg!D:D,MATCH($C7,Proj_Reg!$B:$B,0),1))</f>
        <v>XCI</v>
      </c>
      <c r="J7" s="6" t="str">
        <f>INDEX(Proj_Reg!E:E,MATCH($C7,Proj_Reg!$B:$B,0),1)</f>
        <v>Aut Visual 2</v>
      </c>
      <c r="K7" s="21">
        <v>0</v>
      </c>
      <c r="L7" s="21">
        <v>0</v>
      </c>
      <c r="M7" s="21">
        <v>8.3026776475400063E-2</v>
      </c>
      <c r="N7" s="21">
        <v>0</v>
      </c>
      <c r="O7" s="11">
        <f>SUM(Table1[[#This Row],[Labor
Saving]:[OH
Saving]])</f>
        <v>8.3026776475400063E-2</v>
      </c>
      <c r="Q7" s="40">
        <f t="shared" si="21"/>
        <v>0</v>
      </c>
      <c r="R7" s="40">
        <f t="shared" si="0"/>
        <v>0</v>
      </c>
      <c r="S7" s="40">
        <f t="shared" si="1"/>
        <v>0</v>
      </c>
      <c r="T7" s="40">
        <f t="shared" si="2"/>
        <v>0</v>
      </c>
      <c r="U7" s="40">
        <f t="shared" si="3"/>
        <v>0</v>
      </c>
      <c r="V7" s="40">
        <f t="shared" si="4"/>
        <v>0</v>
      </c>
      <c r="W7" s="40">
        <f t="shared" si="5"/>
        <v>0</v>
      </c>
      <c r="X7" s="40">
        <f t="shared" si="6"/>
        <v>0</v>
      </c>
      <c r="Y7" s="40">
        <f t="shared" si="7"/>
        <v>0</v>
      </c>
      <c r="Z7" s="40">
        <f t="shared" si="8"/>
        <v>0</v>
      </c>
      <c r="AA7" s="40">
        <f t="shared" si="9"/>
        <v>0</v>
      </c>
      <c r="AB7" s="40">
        <f t="shared" si="10"/>
        <v>0</v>
      </c>
      <c r="AC7" s="37">
        <f>SUM(Table1[[#This Row],[Jan]:[Dec]])</f>
        <v>0</v>
      </c>
      <c r="AD7" s="15">
        <f t="shared" si="22"/>
        <v>0</v>
      </c>
      <c r="AE7" s="15">
        <f t="shared" si="23"/>
        <v>0</v>
      </c>
      <c r="AF7" s="15">
        <f t="shared" si="24"/>
        <v>0</v>
      </c>
      <c r="AG7" s="15">
        <f t="shared" si="25"/>
        <v>0</v>
      </c>
      <c r="AH7" s="15">
        <f t="shared" si="26"/>
        <v>0</v>
      </c>
      <c r="AI7" s="15">
        <f t="shared" si="27"/>
        <v>0</v>
      </c>
      <c r="AJ7" s="15">
        <f t="shared" si="28"/>
        <v>0</v>
      </c>
      <c r="AK7" s="15">
        <f t="shared" si="29"/>
        <v>0</v>
      </c>
      <c r="AL7" s="15">
        <f t="shared" si="30"/>
        <v>0</v>
      </c>
      <c r="AM7" s="15">
        <f t="shared" si="31"/>
        <v>0</v>
      </c>
      <c r="AN7" s="15">
        <f t="shared" si="32"/>
        <v>0</v>
      </c>
      <c r="AO7" s="15">
        <f t="shared" si="33"/>
        <v>0</v>
      </c>
      <c r="AP7" s="10">
        <f t="shared" si="34"/>
        <v>0</v>
      </c>
      <c r="AQ7" s="10">
        <f t="shared" si="35"/>
        <v>0</v>
      </c>
      <c r="AR7" s="10">
        <f t="shared" si="36"/>
        <v>0</v>
      </c>
      <c r="AS7" s="10">
        <f t="shared" si="37"/>
        <v>0</v>
      </c>
      <c r="AT7" s="10" t="b">
        <f t="shared" si="38"/>
        <v>1</v>
      </c>
      <c r="AU7" s="10">
        <f t="shared" si="12"/>
        <v>0</v>
      </c>
      <c r="AV7" s="10">
        <f t="shared" si="13"/>
        <v>0</v>
      </c>
      <c r="AW7" s="10">
        <f t="shared" si="14"/>
        <v>0</v>
      </c>
      <c r="AX7" s="10">
        <f t="shared" si="15"/>
        <v>0</v>
      </c>
      <c r="AY7" s="10">
        <f t="shared" si="39"/>
        <v>0</v>
      </c>
      <c r="AZ7" s="19">
        <f>IFERROR(IF($E7="REC",INDEX(A_Type_Volume!$B:$B,MATCH($D7,A_Type_Volume!$A:$A,0),1),IF($E7="VAM",INDEX(C_Type_Volume!$B:$B,MATCH($D7,C_Type_Volume!$A:$A,0),1),"X")),"")</f>
        <v>149825</v>
      </c>
      <c r="BA7" s="19">
        <f>IFERROR(IF($E7="REC",INDEX(A_Type_Volume!$C:$C,MATCH($D7,A_Type_Volume!$A:$A,0),1),IF($E7="VAM",INDEX(C_Type_Volume!$C:$C,MATCH($D7,C_Type_Volume!$A:$A,0),1),"X")),"")</f>
        <v>66806</v>
      </c>
      <c r="BB7" s="19">
        <f>IFERROR(IF($E7="REC",INDEX(A_Type_Volume!$D:$D,MATCH($D7,A_Type_Volume!$A:$A,0),1),IF($E7="VAM",INDEX(C_Type_Volume!$D:$D,MATCH($D7,C_Type_Volume!$A:$A,0),1),"X")),"")</f>
        <v>66911</v>
      </c>
      <c r="BC7" s="19">
        <f>IFERROR(IF($E7="REC",INDEX(A_Type_Volume!$E:$E,MATCH($D7,A_Type_Volume!$A:$A,0),1),IF($E7="VAM",INDEX(C_Type_Volume!$E:$E,MATCH($D7,C_Type_Volume!$A:$A,0),1),"X")),"")</f>
        <v>0</v>
      </c>
      <c r="BD7" s="19">
        <f>IFERROR(IF($E7="REC",INDEX(A_Type_Volume!$F:$F,MATCH($D7,A_Type_Volume!$A:$A,0),1),IF($E7="VAM",INDEX(C_Type_Volume!$F:$F,MATCH($D7,C_Type_Volume!$A:$A,0),1),"X")),"")</f>
        <v>0</v>
      </c>
      <c r="BE7" s="19">
        <f>IFERROR(IF($E7="REC",INDEX(A_Type_Volume!$G:$G,MATCH($D7,A_Type_Volume!$A:$A,0),1),IF($E7="VAM",INDEX(C_Type_Volume!$G:$G,MATCH($D7,C_Type_Volume!$A:$A,0),1),"X")),"")</f>
        <v>0</v>
      </c>
      <c r="BF7" s="19">
        <f>IFERROR(IF($E7="REC",INDEX(A_Type_Volume!$H:$H,MATCH($D7,A_Type_Volume!$A:$A,0),1),IF($E7="VAM",INDEX(C_Type_Volume!$H:$H,MATCH($D7,C_Type_Volume!$A:$A,0),1),"X")),"")</f>
        <v>0</v>
      </c>
      <c r="BG7" s="19">
        <f>IFERROR(IF($E7="REC",INDEX(A_Type_Volume!$I:$I,MATCH($D7,A_Type_Volume!$A:$A,0),1),IF($E7="VAM",INDEX(C_Type_Volume!$I:$I,MATCH($D7,C_Type_Volume!$A:$A,0),1),"X")),"")</f>
        <v>0</v>
      </c>
      <c r="BH7" s="19">
        <f>IFERROR(IF($E7="REC",INDEX(A_Type_Volume!$J:$J,MATCH($D7,A_Type_Volume!$A:$A,0),1),IF($E7="VAM",INDEX(C_Type_Volume!$J:$J,MATCH($D7,C_Type_Volume!$A:$A,0),1),"X")),"")</f>
        <v>0</v>
      </c>
      <c r="BI7" s="19">
        <f>IFERROR(IF($E7="REC",INDEX(A_Type_Volume!$K:$K,MATCH($D7,A_Type_Volume!$A:$A,0),1),IF($E7="VAM",INDEX(C_Type_Volume!$K:$K,MATCH($D7,C_Type_Volume!$A:$A,0),1),"X")),"")</f>
        <v>0</v>
      </c>
      <c r="BJ7" s="19">
        <f>IFERROR(IF($E7="REC",INDEX(A_Type_Volume!$L:$L,MATCH($D7,A_Type_Volume!$A:$A,0),1),IF($E7="VAM",INDEX(C_Type_Volume!$L:$L,MATCH($D7,C_Type_Volume!$A:$A,0),1),"X")),"")</f>
        <v>0</v>
      </c>
      <c r="BK7" s="19">
        <f>IFERROR(IF($E7="REC",INDEX(A_Type_Volume!M:M,MATCH($D7,A_Type_Volume!$A:$A,0),1),IF($E7="VAM",INDEX(C_Type_Volume!M:M,MATCH($D7,C_Type_Volume!$A:$A,0),1),"X")),"")</f>
        <v>0</v>
      </c>
      <c r="BL7" s="38">
        <f>SUM(Table1[[#This Row],[Jan_AVF]:[Dec_AVF]])</f>
        <v>283542</v>
      </c>
      <c r="BM7" s="16">
        <f t="shared" si="40"/>
        <v>12439.486785426814</v>
      </c>
      <c r="BN7" s="16">
        <f t="shared" si="41"/>
        <v>5546.6868292155768</v>
      </c>
      <c r="BO7" s="16">
        <f t="shared" si="42"/>
        <v>5555.4046407454935</v>
      </c>
      <c r="BP7" s="16">
        <f t="shared" si="43"/>
        <v>0</v>
      </c>
      <c r="BQ7" s="16">
        <f t="shared" si="44"/>
        <v>0</v>
      </c>
      <c r="BR7" s="16">
        <f t="shared" si="45"/>
        <v>0</v>
      </c>
      <c r="BS7" s="16">
        <f t="shared" si="46"/>
        <v>0</v>
      </c>
      <c r="BT7" s="16">
        <f t="shared" si="47"/>
        <v>0</v>
      </c>
      <c r="BU7" s="16">
        <f t="shared" si="48"/>
        <v>0</v>
      </c>
      <c r="BV7" s="16">
        <f t="shared" si="49"/>
        <v>0</v>
      </c>
      <c r="BW7" s="16">
        <f t="shared" si="50"/>
        <v>0</v>
      </c>
      <c r="BX7" s="16">
        <f t="shared" si="51"/>
        <v>0</v>
      </c>
      <c r="BY7" s="10">
        <f t="shared" si="17"/>
        <v>23541.578255387882</v>
      </c>
      <c r="BZ7" s="10">
        <f t="shared" si="18"/>
        <v>0</v>
      </c>
      <c r="CA7" s="10">
        <f t="shared" si="19"/>
        <v>0</v>
      </c>
      <c r="CB7" s="10">
        <f t="shared" si="20"/>
        <v>0</v>
      </c>
      <c r="CC7" s="10">
        <f>IFERROR(Table1[[#This Row],[Labor
Saving]]*Table1[[#This Row],[Annual Volume]],"")</f>
        <v>0</v>
      </c>
      <c r="CD7" s="10">
        <f>IFERROR(Table1[[#This Row],[Annual Volume]]*Table1[[#This Row],[Yield
Saving]],"")</f>
        <v>0</v>
      </c>
      <c r="CE7" s="10">
        <f>IFERROR(Table1[[#This Row],[Annual Volume]]*Table1[[#This Row],[Material
Saving]],"")</f>
        <v>23541.578255387885</v>
      </c>
      <c r="CF7" s="10">
        <f>IFERROR(Table1[[#This Row],[OH
Saving]]*Table1[[#This Row],[Annual Volume]],"")</f>
        <v>0</v>
      </c>
      <c r="CG7" s="10">
        <f>SUM(Table1[[#This Row],[Labor_ASV]:[OH_ASV]])</f>
        <v>23541.578255387885</v>
      </c>
    </row>
    <row r="8" spans="1:85" x14ac:dyDescent="0.3">
      <c r="A8" t="str">
        <f>Table1[[#This Row],[Project Name]]&amp;Table1[[#This Row],[Part Number]]</f>
        <v>Aut Visual 2V2</v>
      </c>
      <c r="B8" t="str">
        <f>IFERROR(Table1[[#This Row],[Project Number]]&amp;Table1[[#This Row],[Part Number]],"")</f>
        <v>AME25-066V2</v>
      </c>
      <c r="C8" s="22" t="s">
        <v>113</v>
      </c>
      <c r="D8" s="23" t="s">
        <v>214</v>
      </c>
      <c r="E8" s="25" t="s">
        <v>60</v>
      </c>
      <c r="F8" s="6">
        <f>INDEX(Proj_Reg!G:G,MATCH($C8,Proj_Reg!$B:$B,0),1)</f>
        <v>46174</v>
      </c>
      <c r="G8" s="6">
        <f>INDEX(Proj_Reg!H:H,MATCH($C8,Proj_Reg!$B:$B,0),1)</f>
        <v>46508</v>
      </c>
      <c r="H8" s="6" t="str">
        <f>IF(INDEX(Proj_Reg!C:C,MATCH($C8,Proj_Reg!$B:$B,0),1)=0,"",INDEX(Proj_Reg!C:C,MATCH($C8,Proj_Reg!$B:$B,0),1))</f>
        <v>Visual Inspection</v>
      </c>
      <c r="I8" s="6" t="str">
        <f>IF(INDEX(Proj_Reg!D:D,MATCH($C8,Proj_Reg!$B:$B,0),1)=0,"",INDEX(Proj_Reg!D:D,MATCH($C8,Proj_Reg!$B:$B,0),1))</f>
        <v>XCI</v>
      </c>
      <c r="J8" s="6" t="str">
        <f>INDEX(Proj_Reg!E:E,MATCH($C8,Proj_Reg!$B:$B,0),1)</f>
        <v>Aut Visual 2</v>
      </c>
      <c r="K8" s="21">
        <v>0</v>
      </c>
      <c r="L8" s="21">
        <v>0</v>
      </c>
      <c r="M8" s="21">
        <v>8.3026776475400063E-2</v>
      </c>
      <c r="N8" s="21">
        <v>0</v>
      </c>
      <c r="O8" s="11">
        <f>SUM(Table1[[#This Row],[Labor
Saving]:[OH
Saving]])</f>
        <v>8.3026776475400063E-2</v>
      </c>
      <c r="Q8" s="40">
        <f t="shared" si="21"/>
        <v>0</v>
      </c>
      <c r="R8" s="40">
        <f t="shared" si="0"/>
        <v>0</v>
      </c>
      <c r="S8" s="40">
        <f t="shared" si="1"/>
        <v>0</v>
      </c>
      <c r="T8" s="40">
        <f t="shared" si="2"/>
        <v>0</v>
      </c>
      <c r="U8" s="40">
        <f t="shared" si="3"/>
        <v>0</v>
      </c>
      <c r="V8" s="40">
        <f t="shared" si="4"/>
        <v>0</v>
      </c>
      <c r="W8" s="40">
        <f t="shared" si="5"/>
        <v>0</v>
      </c>
      <c r="X8" s="40">
        <f t="shared" si="6"/>
        <v>0</v>
      </c>
      <c r="Y8" s="40">
        <f t="shared" si="7"/>
        <v>0</v>
      </c>
      <c r="Z8" s="40">
        <f t="shared" si="8"/>
        <v>0</v>
      </c>
      <c r="AA8" s="40">
        <f t="shared" si="9"/>
        <v>0</v>
      </c>
      <c r="AB8" s="40">
        <f t="shared" si="10"/>
        <v>0</v>
      </c>
      <c r="AC8" s="37">
        <f>SUM(Table1[[#This Row],[Jan]:[Dec]])</f>
        <v>0</v>
      </c>
      <c r="AD8" s="15">
        <f t="shared" si="22"/>
        <v>0</v>
      </c>
      <c r="AE8" s="15">
        <f t="shared" si="23"/>
        <v>0</v>
      </c>
      <c r="AF8" s="15">
        <f t="shared" si="24"/>
        <v>0</v>
      </c>
      <c r="AG8" s="15">
        <f t="shared" si="25"/>
        <v>0</v>
      </c>
      <c r="AH8" s="15">
        <f t="shared" si="26"/>
        <v>0</v>
      </c>
      <c r="AI8" s="15">
        <f t="shared" si="27"/>
        <v>0</v>
      </c>
      <c r="AJ8" s="15">
        <f t="shared" si="28"/>
        <v>0</v>
      </c>
      <c r="AK8" s="15">
        <f t="shared" si="29"/>
        <v>0</v>
      </c>
      <c r="AL8" s="15">
        <f t="shared" si="30"/>
        <v>0</v>
      </c>
      <c r="AM8" s="15">
        <f t="shared" si="31"/>
        <v>0</v>
      </c>
      <c r="AN8" s="15">
        <f t="shared" si="32"/>
        <v>0</v>
      </c>
      <c r="AO8" s="15">
        <f t="shared" si="33"/>
        <v>0</v>
      </c>
      <c r="AP8" s="10">
        <f t="shared" si="34"/>
        <v>0</v>
      </c>
      <c r="AQ8" s="10">
        <f t="shared" si="35"/>
        <v>0</v>
      </c>
      <c r="AR8" s="10">
        <f t="shared" si="36"/>
        <v>0</v>
      </c>
      <c r="AS8" s="10">
        <f t="shared" si="37"/>
        <v>0</v>
      </c>
      <c r="AT8" s="10" t="b">
        <f t="shared" si="38"/>
        <v>1</v>
      </c>
      <c r="AU8" s="10">
        <f t="shared" si="12"/>
        <v>0</v>
      </c>
      <c r="AV8" s="10">
        <f t="shared" si="13"/>
        <v>0</v>
      </c>
      <c r="AW8" s="10">
        <f t="shared" si="14"/>
        <v>0</v>
      </c>
      <c r="AX8" s="10">
        <f t="shared" si="15"/>
        <v>0</v>
      </c>
      <c r="AY8" s="10">
        <f t="shared" si="39"/>
        <v>0</v>
      </c>
      <c r="AZ8" s="19">
        <f>IFERROR(IF($E8="REC",INDEX(A_Type_Volume!$B:$B,MATCH($D8,A_Type_Volume!$A:$A,0),1),IF($E8="VAM",INDEX(C_Type_Volume!$B:$B,MATCH($D8,C_Type_Volume!$A:$A,0),1),"X")),"")</f>
        <v>149825</v>
      </c>
      <c r="BA8" s="19">
        <f>IFERROR(IF($E8="REC",INDEX(A_Type_Volume!$C:$C,MATCH($D8,A_Type_Volume!$A:$A,0),1),IF($E8="VAM",INDEX(C_Type_Volume!$C:$C,MATCH($D8,C_Type_Volume!$A:$A,0),1),"X")),"")</f>
        <v>66806</v>
      </c>
      <c r="BB8" s="19">
        <f>IFERROR(IF($E8="REC",INDEX(A_Type_Volume!$D:$D,MATCH($D8,A_Type_Volume!$A:$A,0),1),IF($E8="VAM",INDEX(C_Type_Volume!$D:$D,MATCH($D8,C_Type_Volume!$A:$A,0),1),"X")),"")</f>
        <v>66911</v>
      </c>
      <c r="BC8" s="19">
        <f>IFERROR(IF($E8="REC",INDEX(A_Type_Volume!$E:$E,MATCH($D8,A_Type_Volume!$A:$A,0),1),IF($E8="VAM",INDEX(C_Type_Volume!$E:$E,MATCH($D8,C_Type_Volume!$A:$A,0),1),"X")),"")</f>
        <v>0</v>
      </c>
      <c r="BD8" s="19">
        <f>IFERROR(IF($E8="REC",INDEX(A_Type_Volume!$F:$F,MATCH($D8,A_Type_Volume!$A:$A,0),1),IF($E8="VAM",INDEX(C_Type_Volume!$F:$F,MATCH($D8,C_Type_Volume!$A:$A,0),1),"X")),"")</f>
        <v>0</v>
      </c>
      <c r="BE8" s="19">
        <f>IFERROR(IF($E8="REC",INDEX(A_Type_Volume!$G:$G,MATCH($D8,A_Type_Volume!$A:$A,0),1),IF($E8="VAM",INDEX(C_Type_Volume!$G:$G,MATCH($D8,C_Type_Volume!$A:$A,0),1),"X")),"")</f>
        <v>0</v>
      </c>
      <c r="BF8" s="19">
        <f>IFERROR(IF($E8="REC",INDEX(A_Type_Volume!$H:$H,MATCH($D8,A_Type_Volume!$A:$A,0),1),IF($E8="VAM",INDEX(C_Type_Volume!$H:$H,MATCH($D8,C_Type_Volume!$A:$A,0),1),"X")),"")</f>
        <v>0</v>
      </c>
      <c r="BG8" s="19">
        <f>IFERROR(IF($E8="REC",INDEX(A_Type_Volume!$I:$I,MATCH($D8,A_Type_Volume!$A:$A,0),1),IF($E8="VAM",INDEX(C_Type_Volume!$I:$I,MATCH($D8,C_Type_Volume!$A:$A,0),1),"X")),"")</f>
        <v>0</v>
      </c>
      <c r="BH8" s="19">
        <f>IFERROR(IF($E8="REC",INDEX(A_Type_Volume!$J:$J,MATCH($D8,A_Type_Volume!$A:$A,0),1),IF($E8="VAM",INDEX(C_Type_Volume!$J:$J,MATCH($D8,C_Type_Volume!$A:$A,0),1),"X")),"")</f>
        <v>0</v>
      </c>
      <c r="BI8" s="19">
        <f>IFERROR(IF($E8="REC",INDEX(A_Type_Volume!$K:$K,MATCH($D8,A_Type_Volume!$A:$A,0),1),IF($E8="VAM",INDEX(C_Type_Volume!$K:$K,MATCH($D8,C_Type_Volume!$A:$A,0),1),"X")),"")</f>
        <v>0</v>
      </c>
      <c r="BJ8" s="19">
        <f>IFERROR(IF($E8="REC",INDEX(A_Type_Volume!$L:$L,MATCH($D8,A_Type_Volume!$A:$A,0),1),IF($E8="VAM",INDEX(C_Type_Volume!$L:$L,MATCH($D8,C_Type_Volume!$A:$A,0),1),"X")),"")</f>
        <v>0</v>
      </c>
      <c r="BK8" s="19">
        <f>IFERROR(IF($E8="REC",INDEX(A_Type_Volume!M:M,MATCH($D8,A_Type_Volume!$A:$A,0),1),IF($E8="VAM",INDEX(C_Type_Volume!M:M,MATCH($D8,C_Type_Volume!$A:$A,0),1),"X")),"")</f>
        <v>0</v>
      </c>
      <c r="BL8" s="38">
        <f>SUM(Table1[[#This Row],[Jan_AVF]:[Dec_AVF]])</f>
        <v>283542</v>
      </c>
      <c r="BM8" s="16">
        <f t="shared" si="40"/>
        <v>12439.486785426814</v>
      </c>
      <c r="BN8" s="16">
        <f t="shared" si="41"/>
        <v>5546.6868292155768</v>
      </c>
      <c r="BO8" s="16">
        <f t="shared" si="42"/>
        <v>5555.4046407454935</v>
      </c>
      <c r="BP8" s="16">
        <f t="shared" si="43"/>
        <v>0</v>
      </c>
      <c r="BQ8" s="16">
        <f t="shared" si="44"/>
        <v>0</v>
      </c>
      <c r="BR8" s="16">
        <f t="shared" si="45"/>
        <v>0</v>
      </c>
      <c r="BS8" s="16">
        <f t="shared" si="46"/>
        <v>0</v>
      </c>
      <c r="BT8" s="16">
        <f t="shared" si="47"/>
        <v>0</v>
      </c>
      <c r="BU8" s="16">
        <f t="shared" si="48"/>
        <v>0</v>
      </c>
      <c r="BV8" s="16">
        <f t="shared" si="49"/>
        <v>0</v>
      </c>
      <c r="BW8" s="16">
        <f t="shared" si="50"/>
        <v>0</v>
      </c>
      <c r="BX8" s="16">
        <f t="shared" si="51"/>
        <v>0</v>
      </c>
      <c r="BY8" s="10">
        <f t="shared" si="17"/>
        <v>23541.578255387882</v>
      </c>
      <c r="BZ8" s="10">
        <f t="shared" si="18"/>
        <v>0</v>
      </c>
      <c r="CA8" s="10">
        <f t="shared" si="19"/>
        <v>0</v>
      </c>
      <c r="CB8" s="10">
        <f t="shared" si="20"/>
        <v>0</v>
      </c>
      <c r="CC8" s="10">
        <f>IFERROR(Table1[[#This Row],[Labor
Saving]]*Table1[[#This Row],[Annual Volume]],"")</f>
        <v>0</v>
      </c>
      <c r="CD8" s="10">
        <f>IFERROR(Table1[[#This Row],[Annual Volume]]*Table1[[#This Row],[Yield
Saving]],"")</f>
        <v>0</v>
      </c>
      <c r="CE8" s="10">
        <f>IFERROR(Table1[[#This Row],[Annual Volume]]*Table1[[#This Row],[Material
Saving]],"")</f>
        <v>23541.578255387885</v>
      </c>
      <c r="CF8" s="10">
        <f>IFERROR(Table1[[#This Row],[OH
Saving]]*Table1[[#This Row],[Annual Volume]],"")</f>
        <v>0</v>
      </c>
      <c r="CG8" s="10">
        <f>SUM(Table1[[#This Row],[Labor_ASV]:[OH_ASV]])</f>
        <v>23541.578255387885</v>
      </c>
    </row>
    <row r="9" spans="1:85" x14ac:dyDescent="0.3">
      <c r="A9" t="str">
        <f>Table1[[#This Row],[Project Name]]&amp;Table1[[#This Row],[Part Number]]</f>
        <v>TiW Target Supplier ZR182</v>
      </c>
      <c r="B9" t="str">
        <f>IFERROR(Table1[[#This Row],[Project Number]]&amp;Table1[[#This Row],[Part Number]],"")</f>
        <v>AME25-003R182</v>
      </c>
      <c r="C9" s="22" t="s">
        <v>63</v>
      </c>
      <c r="D9" s="24" t="s">
        <v>420</v>
      </c>
      <c r="E9" s="25" t="s">
        <v>58</v>
      </c>
      <c r="F9" s="6">
        <f>INDEX(Proj_Reg!G:G,MATCH($C9,Proj_Reg!$B:$B,0),1)</f>
        <v>45809</v>
      </c>
      <c r="G9" s="6">
        <f>INDEX(Proj_Reg!H:H,MATCH($C9,Proj_Reg!$B:$B,0),1)</f>
        <v>46143</v>
      </c>
      <c r="H9" s="6" t="str">
        <f>IF(INDEX(Proj_Reg!C:C,MATCH($C9,Proj_Reg!$B:$B,0),1)=0,"",INDEX(Proj_Reg!C:C,MATCH($C9,Proj_Reg!$B:$B,0),1))</f>
        <v>Sputtering</v>
      </c>
      <c r="I9" s="6" t="str">
        <f>IF(INDEX(Proj_Reg!D:D,MATCH($C9,Proj_Reg!$B:$B,0),1)=0,"",INDEX(Proj_Reg!D:D,MATCH($C9,Proj_Reg!$B:$B,0),1))</f>
        <v>XWP</v>
      </c>
      <c r="J9" s="6" t="str">
        <f>INDEX(Proj_Reg!E:E,MATCH($C9,Proj_Reg!$B:$B,0),1)</f>
        <v>TiW Target Supplier Z</v>
      </c>
      <c r="K9" s="21">
        <v>2.9517214988038675E-2</v>
      </c>
      <c r="L9" s="21">
        <v>0</v>
      </c>
      <c r="M9" s="21">
        <v>1.1653968953209996E-2</v>
      </c>
      <c r="N9" s="21">
        <v>0</v>
      </c>
      <c r="O9" s="11">
        <f>SUM(Table1[[#This Row],[Labor
Saving]:[OH
Saving]])</f>
        <v>4.1171183941248669E-2</v>
      </c>
      <c r="Q9" s="40">
        <f t="shared" si="21"/>
        <v>0</v>
      </c>
      <c r="R9" s="40">
        <f t="shared" si="0"/>
        <v>0</v>
      </c>
      <c r="S9" s="40">
        <f t="shared" si="1"/>
        <v>0</v>
      </c>
      <c r="T9" s="40">
        <f t="shared" si="2"/>
        <v>0</v>
      </c>
      <c r="U9" s="40">
        <f t="shared" si="3"/>
        <v>0</v>
      </c>
      <c r="V9" s="40">
        <f t="shared" si="4"/>
        <v>0</v>
      </c>
      <c r="W9" s="40">
        <f t="shared" si="5"/>
        <v>0</v>
      </c>
      <c r="X9" s="40">
        <f t="shared" si="6"/>
        <v>0</v>
      </c>
      <c r="Y9" s="40">
        <f t="shared" si="7"/>
        <v>0</v>
      </c>
      <c r="Z9" s="40">
        <f t="shared" si="8"/>
        <v>0</v>
      </c>
      <c r="AA9" s="40">
        <f t="shared" si="9"/>
        <v>0</v>
      </c>
      <c r="AB9" s="40">
        <f t="shared" si="10"/>
        <v>0</v>
      </c>
      <c r="AC9" s="37">
        <f>SUM(Table1[[#This Row],[Jan]:[Dec]])</f>
        <v>0</v>
      </c>
      <c r="AD9" s="15">
        <f t="shared" si="22"/>
        <v>0</v>
      </c>
      <c r="AE9" s="15">
        <f t="shared" si="23"/>
        <v>0</v>
      </c>
      <c r="AF9" s="15">
        <f t="shared" si="24"/>
        <v>0</v>
      </c>
      <c r="AG9" s="15">
        <f t="shared" si="25"/>
        <v>0</v>
      </c>
      <c r="AH9" s="15">
        <f t="shared" si="26"/>
        <v>0</v>
      </c>
      <c r="AI9" s="15">
        <f t="shared" si="27"/>
        <v>0</v>
      </c>
      <c r="AJ9" s="15">
        <f t="shared" si="28"/>
        <v>0</v>
      </c>
      <c r="AK9" s="15">
        <f t="shared" si="29"/>
        <v>0</v>
      </c>
      <c r="AL9" s="15">
        <f t="shared" si="30"/>
        <v>0</v>
      </c>
      <c r="AM9" s="15">
        <f t="shared" si="31"/>
        <v>0</v>
      </c>
      <c r="AN9" s="15">
        <f t="shared" si="32"/>
        <v>0</v>
      </c>
      <c r="AO9" s="15">
        <f t="shared" si="33"/>
        <v>0</v>
      </c>
      <c r="AP9" s="10">
        <f t="shared" si="34"/>
        <v>0</v>
      </c>
      <c r="AQ9" s="10">
        <f t="shared" si="35"/>
        <v>0</v>
      </c>
      <c r="AR9" s="10">
        <f t="shared" si="36"/>
        <v>0</v>
      </c>
      <c r="AS9" s="10">
        <f t="shared" si="37"/>
        <v>0</v>
      </c>
      <c r="AT9" s="10" t="b">
        <f t="shared" si="38"/>
        <v>1</v>
      </c>
      <c r="AU9" s="10">
        <f t="shared" si="12"/>
        <v>0</v>
      </c>
      <c r="AV9" s="10">
        <f t="shared" si="13"/>
        <v>0</v>
      </c>
      <c r="AW9" s="10">
        <f t="shared" si="14"/>
        <v>0</v>
      </c>
      <c r="AX9" s="10">
        <f t="shared" si="15"/>
        <v>0</v>
      </c>
      <c r="AY9" s="10">
        <f t="shared" si="39"/>
        <v>0</v>
      </c>
      <c r="AZ9" s="19">
        <f>IFERROR(IF($E9="REC",INDEX(A_Type_Volume!$B:$B,MATCH($D9,A_Type_Volume!$A:$A,0),1),IF($E9="VAM",INDEX(C_Type_Volume!$B:$B,MATCH($D9,C_Type_Volume!$A:$A,0),1),"X")),"")</f>
        <v>0</v>
      </c>
      <c r="BA9" s="19">
        <f>IFERROR(IF($E9="REC",INDEX(A_Type_Volume!$C:$C,MATCH($D9,A_Type_Volume!$A:$A,0),1),IF($E9="VAM",INDEX(C_Type_Volume!$C:$C,MATCH($D9,C_Type_Volume!$A:$A,0),1),"X")),"")</f>
        <v>0</v>
      </c>
      <c r="BB9" s="19">
        <f>IFERROR(IF($E9="REC",INDEX(A_Type_Volume!$D:$D,MATCH($D9,A_Type_Volume!$A:$A,0),1),IF($E9="VAM",INDEX(C_Type_Volume!$D:$D,MATCH($D9,C_Type_Volume!$A:$A,0),1),"X")),"")</f>
        <v>0</v>
      </c>
      <c r="BC9" s="19">
        <f>IFERROR(IF($E9="REC",INDEX(A_Type_Volume!$E:$E,MATCH($D9,A_Type_Volume!$A:$A,0),1),IF($E9="VAM",INDEX(C_Type_Volume!$E:$E,MATCH($D9,C_Type_Volume!$A:$A,0),1),"X")),"")</f>
        <v>0</v>
      </c>
      <c r="BD9" s="19">
        <f>IFERROR(IF($E9="REC",INDEX(A_Type_Volume!$F:$F,MATCH($D9,A_Type_Volume!$A:$A,0),1),IF($E9="VAM",INDEX(C_Type_Volume!$F:$F,MATCH($D9,C_Type_Volume!$A:$A,0),1),"X")),"")</f>
        <v>0</v>
      </c>
      <c r="BE9" s="19">
        <f>IFERROR(IF($E9="REC",INDEX(A_Type_Volume!$G:$G,MATCH($D9,A_Type_Volume!$A:$A,0),1),IF($E9="VAM",INDEX(C_Type_Volume!$G:$G,MATCH($D9,C_Type_Volume!$A:$A,0),1),"X")),"")</f>
        <v>0</v>
      </c>
      <c r="BF9" s="19">
        <f>IFERROR(IF($E9="REC",INDEX(A_Type_Volume!$H:$H,MATCH($D9,A_Type_Volume!$A:$A,0),1),IF($E9="VAM",INDEX(C_Type_Volume!$H:$H,MATCH($D9,C_Type_Volume!$A:$A,0),1),"X")),"")</f>
        <v>0</v>
      </c>
      <c r="BG9" s="19">
        <f>IFERROR(IF($E9="REC",INDEX(A_Type_Volume!$I:$I,MATCH($D9,A_Type_Volume!$A:$A,0),1),IF($E9="VAM",INDEX(C_Type_Volume!$I:$I,MATCH($D9,C_Type_Volume!$A:$A,0),1),"X")),"")</f>
        <v>0</v>
      </c>
      <c r="BH9" s="19">
        <f>IFERROR(IF($E9="REC",INDEX(A_Type_Volume!$J:$J,MATCH($D9,A_Type_Volume!$A:$A,0),1),IF($E9="VAM",INDEX(C_Type_Volume!$J:$J,MATCH($D9,C_Type_Volume!$A:$A,0),1),"X")),"")</f>
        <v>0</v>
      </c>
      <c r="BI9" s="19">
        <f>IFERROR(IF($E9="REC",INDEX(A_Type_Volume!$K:$K,MATCH($D9,A_Type_Volume!$A:$A,0),1),IF($E9="VAM",INDEX(C_Type_Volume!$K:$K,MATCH($D9,C_Type_Volume!$A:$A,0),1),"X")),"")</f>
        <v>0</v>
      </c>
      <c r="BJ9" s="19">
        <f>IFERROR(IF($E9="REC",INDEX(A_Type_Volume!$L:$L,MATCH($D9,A_Type_Volume!$A:$A,0),1),IF($E9="VAM",INDEX(C_Type_Volume!$L:$L,MATCH($D9,C_Type_Volume!$A:$A,0),1),"X")),"")</f>
        <v>0</v>
      </c>
      <c r="BK9" s="19">
        <f>IFERROR(IF($E9="REC",INDEX(A_Type_Volume!M:M,MATCH($D9,A_Type_Volume!$A:$A,0),1),IF($E9="VAM",INDEX(C_Type_Volume!M:M,MATCH($D9,C_Type_Volume!$A:$A,0),1),"X")),"")</f>
        <v>0</v>
      </c>
      <c r="BL9" s="38">
        <f>SUM(Table1[[#This Row],[Jan_AVF]:[Dec_AVF]])</f>
        <v>0</v>
      </c>
      <c r="BM9" s="16">
        <f t="shared" si="40"/>
        <v>0</v>
      </c>
      <c r="BN9" s="16">
        <f t="shared" si="41"/>
        <v>0</v>
      </c>
      <c r="BO9" s="16">
        <f t="shared" si="42"/>
        <v>0</v>
      </c>
      <c r="BP9" s="16">
        <f t="shared" si="43"/>
        <v>0</v>
      </c>
      <c r="BQ9" s="16">
        <f t="shared" si="44"/>
        <v>0</v>
      </c>
      <c r="BR9" s="16">
        <f t="shared" si="45"/>
        <v>0</v>
      </c>
      <c r="BS9" s="16">
        <f t="shared" si="46"/>
        <v>0</v>
      </c>
      <c r="BT9" s="16">
        <f t="shared" si="47"/>
        <v>0</v>
      </c>
      <c r="BU9" s="16">
        <f t="shared" si="48"/>
        <v>0</v>
      </c>
      <c r="BV9" s="16">
        <f t="shared" si="49"/>
        <v>0</v>
      </c>
      <c r="BW9" s="16">
        <f t="shared" si="50"/>
        <v>0</v>
      </c>
      <c r="BX9" s="16">
        <f t="shared" si="51"/>
        <v>0</v>
      </c>
      <c r="BY9" s="10">
        <f t="shared" si="17"/>
        <v>0</v>
      </c>
      <c r="BZ9" s="10">
        <f t="shared" si="18"/>
        <v>0</v>
      </c>
      <c r="CA9" s="10">
        <f t="shared" si="19"/>
        <v>0</v>
      </c>
      <c r="CB9" s="10">
        <f t="shared" si="20"/>
        <v>0</v>
      </c>
      <c r="CC9" s="10">
        <f>IFERROR(Table1[[#This Row],[Labor
Saving]]*Table1[[#This Row],[Annual Volume]],"")</f>
        <v>0</v>
      </c>
      <c r="CD9" s="10">
        <f>IFERROR(Table1[[#This Row],[Annual Volume]]*Table1[[#This Row],[Yield
Saving]],"")</f>
        <v>0</v>
      </c>
      <c r="CE9" s="10">
        <f>IFERROR(Table1[[#This Row],[Annual Volume]]*Table1[[#This Row],[Material
Saving]],"")</f>
        <v>0</v>
      </c>
      <c r="CF9" s="10">
        <f>IFERROR(Table1[[#This Row],[OH
Saving]]*Table1[[#This Row],[Annual Volume]],"")</f>
        <v>0</v>
      </c>
      <c r="CG9" s="10">
        <f>SUM(Table1[[#This Row],[Labor_ASV]:[OH_ASV]])</f>
        <v>0</v>
      </c>
    </row>
    <row r="10" spans="1:85" x14ac:dyDescent="0.3">
      <c r="A10" t="str">
        <f>Table1[[#This Row],[Project Name]]&amp;Table1[[#This Row],[Part Number]]</f>
        <v>TiW Target Supplier ZR183</v>
      </c>
      <c r="B10" t="str">
        <f>IFERROR(Table1[[#This Row],[Project Number]]&amp;Table1[[#This Row],[Part Number]],"")</f>
        <v>AME25-003R183</v>
      </c>
      <c r="C10" s="22" t="s">
        <v>63</v>
      </c>
      <c r="D10" s="24" t="s">
        <v>421</v>
      </c>
      <c r="E10" s="25" t="s">
        <v>58</v>
      </c>
      <c r="F10" s="6">
        <f>INDEX(Proj_Reg!G:G,MATCH($C10,Proj_Reg!$B:$B,0),1)</f>
        <v>45809</v>
      </c>
      <c r="G10" s="6">
        <f>INDEX(Proj_Reg!H:H,MATCH($C10,Proj_Reg!$B:$B,0),1)</f>
        <v>46143</v>
      </c>
      <c r="H10" s="6" t="str">
        <f>IF(INDEX(Proj_Reg!C:C,MATCH($C10,Proj_Reg!$B:$B,0),1)=0,"",INDEX(Proj_Reg!C:C,MATCH($C10,Proj_Reg!$B:$B,0),1))</f>
        <v>Sputtering</v>
      </c>
      <c r="I10" s="6" t="str">
        <f>IF(INDEX(Proj_Reg!D:D,MATCH($C10,Proj_Reg!$B:$B,0),1)=0,"",INDEX(Proj_Reg!D:D,MATCH($C10,Proj_Reg!$B:$B,0),1))</f>
        <v>XWP</v>
      </c>
      <c r="J10" s="6" t="str">
        <f>INDEX(Proj_Reg!E:E,MATCH($C10,Proj_Reg!$B:$B,0),1)</f>
        <v>TiW Target Supplier Z</v>
      </c>
      <c r="K10" s="21">
        <v>2.9517214988038675E-2</v>
      </c>
      <c r="L10" s="21">
        <v>0</v>
      </c>
      <c r="M10" s="21">
        <v>1.1653968953209996E-2</v>
      </c>
      <c r="N10" s="21">
        <v>0</v>
      </c>
      <c r="O10" s="11">
        <f>SUM(Table1[[#This Row],[Labor
Saving]:[OH
Saving]])</f>
        <v>4.1171183941248669E-2</v>
      </c>
      <c r="Q10" s="40">
        <f t="shared" si="21"/>
        <v>0</v>
      </c>
      <c r="R10" s="40">
        <f t="shared" si="0"/>
        <v>0</v>
      </c>
      <c r="S10" s="40">
        <f t="shared" si="1"/>
        <v>0</v>
      </c>
      <c r="T10" s="40">
        <f t="shared" si="2"/>
        <v>0</v>
      </c>
      <c r="U10" s="40">
        <f t="shared" si="3"/>
        <v>0</v>
      </c>
      <c r="V10" s="40">
        <f t="shared" si="4"/>
        <v>0</v>
      </c>
      <c r="W10" s="40">
        <f t="shared" si="5"/>
        <v>0</v>
      </c>
      <c r="X10" s="40">
        <f t="shared" si="6"/>
        <v>0</v>
      </c>
      <c r="Y10" s="40">
        <f t="shared" si="7"/>
        <v>0</v>
      </c>
      <c r="Z10" s="40">
        <f t="shared" si="8"/>
        <v>0</v>
      </c>
      <c r="AA10" s="40">
        <f t="shared" si="9"/>
        <v>0</v>
      </c>
      <c r="AB10" s="40">
        <f t="shared" si="10"/>
        <v>0</v>
      </c>
      <c r="AC10" s="37">
        <f>SUM(Table1[[#This Row],[Jan]:[Dec]])</f>
        <v>0</v>
      </c>
      <c r="AD10" s="15">
        <f t="shared" si="22"/>
        <v>0</v>
      </c>
      <c r="AE10" s="15">
        <f t="shared" si="23"/>
        <v>0</v>
      </c>
      <c r="AF10" s="15">
        <f t="shared" si="24"/>
        <v>0</v>
      </c>
      <c r="AG10" s="15">
        <f t="shared" si="25"/>
        <v>0</v>
      </c>
      <c r="AH10" s="15">
        <f t="shared" si="26"/>
        <v>0</v>
      </c>
      <c r="AI10" s="15">
        <f t="shared" si="27"/>
        <v>0</v>
      </c>
      <c r="AJ10" s="15">
        <f t="shared" si="28"/>
        <v>0</v>
      </c>
      <c r="AK10" s="15">
        <f t="shared" si="29"/>
        <v>0</v>
      </c>
      <c r="AL10" s="15">
        <f t="shared" si="30"/>
        <v>0</v>
      </c>
      <c r="AM10" s="15">
        <f t="shared" si="31"/>
        <v>0</v>
      </c>
      <c r="AN10" s="15">
        <f t="shared" si="32"/>
        <v>0</v>
      </c>
      <c r="AO10" s="15">
        <f t="shared" si="33"/>
        <v>0</v>
      </c>
      <c r="AP10" s="10">
        <f t="shared" si="34"/>
        <v>0</v>
      </c>
      <c r="AQ10" s="10">
        <f t="shared" si="35"/>
        <v>0</v>
      </c>
      <c r="AR10" s="10">
        <f t="shared" si="36"/>
        <v>0</v>
      </c>
      <c r="AS10" s="10">
        <f t="shared" si="37"/>
        <v>0</v>
      </c>
      <c r="AT10" s="10" t="b">
        <f t="shared" si="38"/>
        <v>1</v>
      </c>
      <c r="AU10" s="10">
        <f t="shared" si="12"/>
        <v>0</v>
      </c>
      <c r="AV10" s="10">
        <f t="shared" si="13"/>
        <v>0</v>
      </c>
      <c r="AW10" s="10">
        <f t="shared" si="14"/>
        <v>0</v>
      </c>
      <c r="AX10" s="10">
        <f t="shared" si="15"/>
        <v>0</v>
      </c>
      <c r="AY10" s="10">
        <f t="shared" si="39"/>
        <v>0</v>
      </c>
      <c r="AZ10" s="19">
        <f>IFERROR(IF($E10="REC",INDEX(A_Type_Volume!$B:$B,MATCH($D10,A_Type_Volume!$A:$A,0),1),IF($E10="VAM",INDEX(C_Type_Volume!$B:$B,MATCH($D10,C_Type_Volume!$A:$A,0),1),"X")),"")</f>
        <v>0</v>
      </c>
      <c r="BA10" s="19">
        <f>IFERROR(IF($E10="REC",INDEX(A_Type_Volume!$C:$C,MATCH($D10,A_Type_Volume!$A:$A,0),1),IF($E10="VAM",INDEX(C_Type_Volume!$C:$C,MATCH($D10,C_Type_Volume!$A:$A,0),1),"X")),"")</f>
        <v>0</v>
      </c>
      <c r="BB10" s="19">
        <f>IFERROR(IF($E10="REC",INDEX(A_Type_Volume!$D:$D,MATCH($D10,A_Type_Volume!$A:$A,0),1),IF($E10="VAM",INDEX(C_Type_Volume!$D:$D,MATCH($D10,C_Type_Volume!$A:$A,0),1),"X")),"")</f>
        <v>0</v>
      </c>
      <c r="BC10" s="19">
        <f>IFERROR(IF($E10="REC",INDEX(A_Type_Volume!$E:$E,MATCH($D10,A_Type_Volume!$A:$A,0),1),IF($E10="VAM",INDEX(C_Type_Volume!$E:$E,MATCH($D10,C_Type_Volume!$A:$A,0),1),"X")),"")</f>
        <v>0</v>
      </c>
      <c r="BD10" s="19">
        <f>IFERROR(IF($E10="REC",INDEX(A_Type_Volume!$F:$F,MATCH($D10,A_Type_Volume!$A:$A,0),1),IF($E10="VAM",INDEX(C_Type_Volume!$F:$F,MATCH($D10,C_Type_Volume!$A:$A,0),1),"X")),"")</f>
        <v>0</v>
      </c>
      <c r="BE10" s="19">
        <f>IFERROR(IF($E10="REC",INDEX(A_Type_Volume!$G:$G,MATCH($D10,A_Type_Volume!$A:$A,0),1),IF($E10="VAM",INDEX(C_Type_Volume!$G:$G,MATCH($D10,C_Type_Volume!$A:$A,0),1),"X")),"")</f>
        <v>0</v>
      </c>
      <c r="BF10" s="19">
        <f>IFERROR(IF($E10="REC",INDEX(A_Type_Volume!$H:$H,MATCH($D10,A_Type_Volume!$A:$A,0),1),IF($E10="VAM",INDEX(C_Type_Volume!$H:$H,MATCH($D10,C_Type_Volume!$A:$A,0),1),"X")),"")</f>
        <v>0</v>
      </c>
      <c r="BG10" s="19">
        <f>IFERROR(IF($E10="REC",INDEX(A_Type_Volume!$I:$I,MATCH($D10,A_Type_Volume!$A:$A,0),1),IF($E10="VAM",INDEX(C_Type_Volume!$I:$I,MATCH($D10,C_Type_Volume!$A:$A,0),1),"X")),"")</f>
        <v>0</v>
      </c>
      <c r="BH10" s="19">
        <f>IFERROR(IF($E10="REC",INDEX(A_Type_Volume!$J:$J,MATCH($D10,A_Type_Volume!$A:$A,0),1),IF($E10="VAM",INDEX(C_Type_Volume!$J:$J,MATCH($D10,C_Type_Volume!$A:$A,0),1),"X")),"")</f>
        <v>0</v>
      </c>
      <c r="BI10" s="19">
        <f>IFERROR(IF($E10="REC",INDEX(A_Type_Volume!$K:$K,MATCH($D10,A_Type_Volume!$A:$A,0),1),IF($E10="VAM",INDEX(C_Type_Volume!$K:$K,MATCH($D10,C_Type_Volume!$A:$A,0),1),"X")),"")</f>
        <v>0</v>
      </c>
      <c r="BJ10" s="19">
        <f>IFERROR(IF($E10="REC",INDEX(A_Type_Volume!$L:$L,MATCH($D10,A_Type_Volume!$A:$A,0),1),IF($E10="VAM",INDEX(C_Type_Volume!$L:$L,MATCH($D10,C_Type_Volume!$A:$A,0),1),"X")),"")</f>
        <v>0</v>
      </c>
      <c r="BK10" s="19">
        <f>IFERROR(IF($E10="REC",INDEX(A_Type_Volume!M:M,MATCH($D10,A_Type_Volume!$A:$A,0),1),IF($E10="VAM",INDEX(C_Type_Volume!M:M,MATCH($D10,C_Type_Volume!$A:$A,0),1),"X")),"")</f>
        <v>0</v>
      </c>
      <c r="BL10" s="38">
        <f>SUM(Table1[[#This Row],[Jan_AVF]:[Dec_AVF]])</f>
        <v>0</v>
      </c>
      <c r="BM10" s="16">
        <f t="shared" si="40"/>
        <v>0</v>
      </c>
      <c r="BN10" s="16">
        <f t="shared" si="41"/>
        <v>0</v>
      </c>
      <c r="BO10" s="16">
        <f t="shared" si="42"/>
        <v>0</v>
      </c>
      <c r="BP10" s="16">
        <f t="shared" si="43"/>
        <v>0</v>
      </c>
      <c r="BQ10" s="16">
        <f t="shared" si="44"/>
        <v>0</v>
      </c>
      <c r="BR10" s="16">
        <f t="shared" si="45"/>
        <v>0</v>
      </c>
      <c r="BS10" s="16">
        <f t="shared" si="46"/>
        <v>0</v>
      </c>
      <c r="BT10" s="16">
        <f t="shared" si="47"/>
        <v>0</v>
      </c>
      <c r="BU10" s="16">
        <f t="shared" si="48"/>
        <v>0</v>
      </c>
      <c r="BV10" s="16">
        <f t="shared" si="49"/>
        <v>0</v>
      </c>
      <c r="BW10" s="16">
        <f t="shared" si="50"/>
        <v>0</v>
      </c>
      <c r="BX10" s="16">
        <f t="shared" si="51"/>
        <v>0</v>
      </c>
      <c r="BY10" s="10">
        <f t="shared" si="17"/>
        <v>0</v>
      </c>
      <c r="BZ10" s="10">
        <f t="shared" si="18"/>
        <v>0</v>
      </c>
      <c r="CA10" s="10">
        <f t="shared" si="19"/>
        <v>0</v>
      </c>
      <c r="CB10" s="10">
        <f t="shared" si="20"/>
        <v>0</v>
      </c>
      <c r="CC10" s="10">
        <f>IFERROR(Table1[[#This Row],[Labor
Saving]]*Table1[[#This Row],[Annual Volume]],"")</f>
        <v>0</v>
      </c>
      <c r="CD10" s="10">
        <f>IFERROR(Table1[[#This Row],[Annual Volume]]*Table1[[#This Row],[Yield
Saving]],"")</f>
        <v>0</v>
      </c>
      <c r="CE10" s="10">
        <f>IFERROR(Table1[[#This Row],[Annual Volume]]*Table1[[#This Row],[Material
Saving]],"")</f>
        <v>0</v>
      </c>
      <c r="CF10" s="10">
        <f>IFERROR(Table1[[#This Row],[OH
Saving]]*Table1[[#This Row],[Annual Volume]],"")</f>
        <v>0</v>
      </c>
      <c r="CG10" s="10">
        <f>SUM(Table1[[#This Row],[Labor_ASV]:[OH_ASV]])</f>
        <v>0</v>
      </c>
    </row>
    <row r="11" spans="1:85" x14ac:dyDescent="0.3">
      <c r="A11" t="str">
        <f>Table1[[#This Row],[Project Name]]&amp;Table1[[#This Row],[Part Number]]</f>
        <v>Au Target Supplier YR153</v>
      </c>
      <c r="B11" t="str">
        <f>IFERROR(Table1[[#This Row],[Project Number]]&amp;Table1[[#This Row],[Part Number]],"")</f>
        <v>AME25-004R153</v>
      </c>
      <c r="C11" s="22" t="s">
        <v>64</v>
      </c>
      <c r="D11" s="24" t="s">
        <v>391</v>
      </c>
      <c r="E11" s="25" t="s">
        <v>58</v>
      </c>
      <c r="F11" s="6">
        <f>INDEX(Proj_Reg!G:G,MATCH($C11,Proj_Reg!$B:$B,0),1)</f>
        <v>45931</v>
      </c>
      <c r="G11" s="6">
        <f>INDEX(Proj_Reg!H:H,MATCH($C11,Proj_Reg!$B:$B,0),1)</f>
        <v>46266</v>
      </c>
      <c r="H11" s="6" t="str">
        <f>IF(INDEX(Proj_Reg!C:C,MATCH($C11,Proj_Reg!$B:$B,0),1)=0,"",INDEX(Proj_Reg!C:C,MATCH($C11,Proj_Reg!$B:$B,0),1))</f>
        <v>Sputtering</v>
      </c>
      <c r="I11" s="6" t="str">
        <f>IF(INDEX(Proj_Reg!D:D,MATCH($C11,Proj_Reg!$B:$B,0),1)=0,"",INDEX(Proj_Reg!D:D,MATCH($C11,Proj_Reg!$B:$B,0),1))</f>
        <v>XWP</v>
      </c>
      <c r="J11" s="6" t="str">
        <f>INDEX(Proj_Reg!E:E,MATCH($C11,Proj_Reg!$B:$B,0),1)</f>
        <v>Au Target Supplier Y</v>
      </c>
      <c r="K11" s="21">
        <v>2.9517214988038675E-2</v>
      </c>
      <c r="L11" s="21">
        <v>0</v>
      </c>
      <c r="M11" s="21">
        <v>1.1653968953209996E-2</v>
      </c>
      <c r="N11" s="21">
        <v>0</v>
      </c>
      <c r="O11" s="11">
        <f>SUM(Table1[[#This Row],[Labor
Saving]:[OH
Saving]])</f>
        <v>4.1171183941248669E-2</v>
      </c>
      <c r="Q11" s="40">
        <f t="shared" si="21"/>
        <v>54119</v>
      </c>
      <c r="R11" s="40">
        <f t="shared" si="0"/>
        <v>0</v>
      </c>
      <c r="S11" s="40">
        <f t="shared" si="1"/>
        <v>31515</v>
      </c>
      <c r="T11" s="40">
        <f t="shared" si="2"/>
        <v>52065</v>
      </c>
      <c r="U11" s="40">
        <f t="shared" si="3"/>
        <v>54119</v>
      </c>
      <c r="V11" s="40">
        <f t="shared" si="4"/>
        <v>52533</v>
      </c>
      <c r="W11" s="40">
        <f t="shared" si="5"/>
        <v>57679</v>
      </c>
      <c r="X11" s="40">
        <f t="shared" si="6"/>
        <v>48468</v>
      </c>
      <c r="Y11" s="40">
        <f t="shared" si="7"/>
        <v>23759</v>
      </c>
      <c r="Z11" s="40">
        <f t="shared" si="8"/>
        <v>0</v>
      </c>
      <c r="AA11" s="40">
        <f t="shared" si="9"/>
        <v>0</v>
      </c>
      <c r="AB11" s="40">
        <f t="shared" si="10"/>
        <v>0</v>
      </c>
      <c r="AC11" s="37">
        <f>SUM(Table1[[#This Row],[Jan]:[Dec]])</f>
        <v>374257</v>
      </c>
      <c r="AD11" s="15">
        <f t="shared" si="22"/>
        <v>2228.1433037164365</v>
      </c>
      <c r="AE11" s="15">
        <f t="shared" si="23"/>
        <v>0</v>
      </c>
      <c r="AF11" s="15">
        <f t="shared" si="24"/>
        <v>1297.5098619084517</v>
      </c>
      <c r="AG11" s="15">
        <f t="shared" si="25"/>
        <v>2143.5776919011118</v>
      </c>
      <c r="AH11" s="15">
        <f t="shared" si="26"/>
        <v>2228.1433037164365</v>
      </c>
      <c r="AI11" s="15">
        <f t="shared" si="27"/>
        <v>2162.8458059856162</v>
      </c>
      <c r="AJ11" s="15">
        <f t="shared" si="28"/>
        <v>2374.7127185472818</v>
      </c>
      <c r="AK11" s="15">
        <f t="shared" si="29"/>
        <v>1995.4849432644405</v>
      </c>
      <c r="AL11" s="15">
        <f t="shared" si="30"/>
        <v>978.18615926012717</v>
      </c>
      <c r="AM11" s="15">
        <f t="shared" si="31"/>
        <v>0</v>
      </c>
      <c r="AN11" s="15">
        <f t="shared" si="32"/>
        <v>0</v>
      </c>
      <c r="AO11" s="15">
        <f t="shared" si="33"/>
        <v>0</v>
      </c>
      <c r="AP11" s="10">
        <f t="shared" si="34"/>
        <v>3525.6531656248881</v>
      </c>
      <c r="AQ11" s="10">
        <f t="shared" si="35"/>
        <v>6534.566801603165</v>
      </c>
      <c r="AR11" s="10">
        <f t="shared" si="36"/>
        <v>5348.3838210718495</v>
      </c>
      <c r="AS11" s="10">
        <f t="shared" si="37"/>
        <v>0</v>
      </c>
      <c r="AT11" s="10" t="b">
        <f t="shared" si="38"/>
        <v>1</v>
      </c>
      <c r="AU11" s="10">
        <f t="shared" si="12"/>
        <v>11047.024329778391</v>
      </c>
      <c r="AV11" s="10">
        <f t="shared" si="13"/>
        <v>0</v>
      </c>
      <c r="AW11" s="10">
        <f t="shared" si="14"/>
        <v>4361.5794585215135</v>
      </c>
      <c r="AX11" s="10">
        <f t="shared" si="15"/>
        <v>0</v>
      </c>
      <c r="AY11" s="10">
        <f t="shared" si="39"/>
        <v>15408.603788299904</v>
      </c>
      <c r="AZ11" s="19">
        <f>IFERROR(IF($E11="REC",INDEX(A_Type_Volume!$B:$B,MATCH($D11,A_Type_Volume!$A:$A,0),1),IF($E11="VAM",INDEX(C_Type_Volume!$B:$B,MATCH($D11,C_Type_Volume!$A:$A,0),1),"X")),"")</f>
        <v>54119</v>
      </c>
      <c r="BA11" s="19">
        <f>IFERROR(IF($E11="REC",INDEX(A_Type_Volume!$C:$C,MATCH($D11,A_Type_Volume!$A:$A,0),1),IF($E11="VAM",INDEX(C_Type_Volume!$C:$C,MATCH($D11,C_Type_Volume!$A:$A,0),1),"X")),"")</f>
        <v>0</v>
      </c>
      <c r="BB11" s="19">
        <f>IFERROR(IF($E11="REC",INDEX(A_Type_Volume!$D:$D,MATCH($D11,A_Type_Volume!$A:$A,0),1),IF($E11="VAM",INDEX(C_Type_Volume!$D:$D,MATCH($D11,C_Type_Volume!$A:$A,0),1),"X")),"")</f>
        <v>31515</v>
      </c>
      <c r="BC11" s="19">
        <f>IFERROR(IF($E11="REC",INDEX(A_Type_Volume!$E:$E,MATCH($D11,A_Type_Volume!$A:$A,0),1),IF($E11="VAM",INDEX(C_Type_Volume!$E:$E,MATCH($D11,C_Type_Volume!$A:$A,0),1),"X")),"")</f>
        <v>52065</v>
      </c>
      <c r="BD11" s="19">
        <f>IFERROR(IF($E11="REC",INDEX(A_Type_Volume!$F:$F,MATCH($D11,A_Type_Volume!$A:$A,0),1),IF($E11="VAM",INDEX(C_Type_Volume!$F:$F,MATCH($D11,C_Type_Volume!$A:$A,0),1),"X")),"")</f>
        <v>54119</v>
      </c>
      <c r="BE11" s="19">
        <f>IFERROR(IF($E11="REC",INDEX(A_Type_Volume!$G:$G,MATCH($D11,A_Type_Volume!$A:$A,0),1),IF($E11="VAM",INDEX(C_Type_Volume!$G:$G,MATCH($D11,C_Type_Volume!$A:$A,0),1),"X")),"")</f>
        <v>52533</v>
      </c>
      <c r="BF11" s="19">
        <f>IFERROR(IF($E11="REC",INDEX(A_Type_Volume!$H:$H,MATCH($D11,A_Type_Volume!$A:$A,0),1),IF($E11="VAM",INDEX(C_Type_Volume!$H:$H,MATCH($D11,C_Type_Volume!$A:$A,0),1),"X")),"")</f>
        <v>57679</v>
      </c>
      <c r="BG11" s="19">
        <f>IFERROR(IF($E11="REC",INDEX(A_Type_Volume!$I:$I,MATCH($D11,A_Type_Volume!$A:$A,0),1),IF($E11="VAM",INDEX(C_Type_Volume!$I:$I,MATCH($D11,C_Type_Volume!$A:$A,0),1),"X")),"")</f>
        <v>48468</v>
      </c>
      <c r="BH11" s="19">
        <f>IFERROR(IF($E11="REC",INDEX(A_Type_Volume!$J:$J,MATCH($D11,A_Type_Volume!$A:$A,0),1),IF($E11="VAM",INDEX(C_Type_Volume!$J:$J,MATCH($D11,C_Type_Volume!$A:$A,0),1),"X")),"")</f>
        <v>23759</v>
      </c>
      <c r="BI11" s="19">
        <f>IFERROR(IF($E11="REC",INDEX(A_Type_Volume!$K:$K,MATCH($D11,A_Type_Volume!$A:$A,0),1),IF($E11="VAM",INDEX(C_Type_Volume!$K:$K,MATCH($D11,C_Type_Volume!$A:$A,0),1),"X")),"")</f>
        <v>49873</v>
      </c>
      <c r="BJ11" s="19">
        <f>IFERROR(IF($E11="REC",INDEX(A_Type_Volume!$L:$L,MATCH($D11,A_Type_Volume!$A:$A,0),1),IF($E11="VAM",INDEX(C_Type_Volume!$L:$L,MATCH($D11,C_Type_Volume!$A:$A,0),1),"X")),"")</f>
        <v>39788</v>
      </c>
      <c r="BK11" s="19">
        <f>IFERROR(IF($E11="REC",INDEX(A_Type_Volume!M:M,MATCH($D11,A_Type_Volume!$A:$A,0),1),IF($E11="VAM",INDEX(C_Type_Volume!M:M,MATCH($D11,C_Type_Volume!$A:$A,0),1),"X")),"")</f>
        <v>25198</v>
      </c>
      <c r="BL11" s="38">
        <f>SUM(Table1[[#This Row],[Jan_AVF]:[Dec_AVF]])</f>
        <v>489116</v>
      </c>
      <c r="BM11" s="16">
        <f t="shared" si="40"/>
        <v>2228.1433037164365</v>
      </c>
      <c r="BN11" s="16">
        <f t="shared" si="41"/>
        <v>0</v>
      </c>
      <c r="BO11" s="16">
        <f t="shared" si="42"/>
        <v>1297.5098619084517</v>
      </c>
      <c r="BP11" s="16">
        <f t="shared" si="43"/>
        <v>2143.5776919011118</v>
      </c>
      <c r="BQ11" s="16">
        <f t="shared" si="44"/>
        <v>2228.1433037164365</v>
      </c>
      <c r="BR11" s="16">
        <f t="shared" si="45"/>
        <v>2162.8458059856162</v>
      </c>
      <c r="BS11" s="16">
        <f t="shared" si="46"/>
        <v>2374.7127185472818</v>
      </c>
      <c r="BT11" s="16">
        <f t="shared" si="47"/>
        <v>1995.4849432644405</v>
      </c>
      <c r="BU11" s="16">
        <f t="shared" si="48"/>
        <v>978.18615926012717</v>
      </c>
      <c r="BV11" s="16">
        <f t="shared" si="49"/>
        <v>2053.3304567018949</v>
      </c>
      <c r="BW11" s="16">
        <f t="shared" si="50"/>
        <v>1638.1190666544021</v>
      </c>
      <c r="BX11" s="16">
        <f t="shared" si="51"/>
        <v>1037.431492951584</v>
      </c>
      <c r="BY11" s="10">
        <f t="shared" si="17"/>
        <v>3525.6531656248881</v>
      </c>
      <c r="BZ11" s="10">
        <f t="shared" si="18"/>
        <v>6534.566801603165</v>
      </c>
      <c r="CA11" s="10">
        <f t="shared" si="19"/>
        <v>5348.3838210718495</v>
      </c>
      <c r="CB11" s="10">
        <f t="shared" si="20"/>
        <v>4728.8810163078815</v>
      </c>
      <c r="CC11" s="10">
        <f>IFERROR(Table1[[#This Row],[Labor
Saving]]*Table1[[#This Row],[Annual Volume]],"")</f>
        <v>14437.342126089525</v>
      </c>
      <c r="CD11" s="10">
        <f>IFERROR(Table1[[#This Row],[Annual Volume]]*Table1[[#This Row],[Yield
Saving]],"")</f>
        <v>0</v>
      </c>
      <c r="CE11" s="10">
        <f>IFERROR(Table1[[#This Row],[Annual Volume]]*Table1[[#This Row],[Material
Saving]],"")</f>
        <v>5700.1426785182603</v>
      </c>
      <c r="CF11" s="10">
        <f>IFERROR(Table1[[#This Row],[OH
Saving]]*Table1[[#This Row],[Annual Volume]],"")</f>
        <v>0</v>
      </c>
      <c r="CG11" s="10">
        <f>SUM(Table1[[#This Row],[Labor_ASV]:[OH_ASV]])</f>
        <v>20137.484804607786</v>
      </c>
    </row>
    <row r="12" spans="1:85" x14ac:dyDescent="0.3">
      <c r="A12" t="str">
        <f>Table1[[#This Row],[Project Name]]&amp;Table1[[#This Row],[Part Number]]</f>
        <v>Au Target Supplier YR152</v>
      </c>
      <c r="B12" t="str">
        <f>IFERROR(Table1[[#This Row],[Project Number]]&amp;Table1[[#This Row],[Part Number]],"")</f>
        <v>AME25-004R152</v>
      </c>
      <c r="C12" s="22" t="s">
        <v>64</v>
      </c>
      <c r="D12" s="24" t="s">
        <v>390</v>
      </c>
      <c r="E12" s="25" t="s">
        <v>58</v>
      </c>
      <c r="F12" s="6">
        <f>INDEX(Proj_Reg!G:G,MATCH($C12,Proj_Reg!$B:$B,0),1)</f>
        <v>45931</v>
      </c>
      <c r="G12" s="6">
        <f>INDEX(Proj_Reg!H:H,MATCH($C12,Proj_Reg!$B:$B,0),1)</f>
        <v>46266</v>
      </c>
      <c r="H12" s="6" t="str">
        <f>IF(INDEX(Proj_Reg!C:C,MATCH($C12,Proj_Reg!$B:$B,0),1)=0,"",INDEX(Proj_Reg!C:C,MATCH($C12,Proj_Reg!$B:$B,0),1))</f>
        <v>Sputtering</v>
      </c>
      <c r="I12" s="6" t="str">
        <f>IF(INDEX(Proj_Reg!D:D,MATCH($C12,Proj_Reg!$B:$B,0),1)=0,"",INDEX(Proj_Reg!D:D,MATCH($C12,Proj_Reg!$B:$B,0),1))</f>
        <v>XWP</v>
      </c>
      <c r="J12" s="6" t="str">
        <f>INDEX(Proj_Reg!E:E,MATCH($C12,Proj_Reg!$B:$B,0),1)</f>
        <v>Au Target Supplier Y</v>
      </c>
      <c r="K12" s="21">
        <v>2.9517214988038675E-2</v>
      </c>
      <c r="L12" s="21">
        <v>0</v>
      </c>
      <c r="M12" s="21">
        <v>1.1653968953209996E-2</v>
      </c>
      <c r="N12" s="21">
        <v>0</v>
      </c>
      <c r="O12" s="11">
        <f>SUM(Table1[[#This Row],[Labor
Saving]:[OH
Saving]])</f>
        <v>4.1171183941248669E-2</v>
      </c>
      <c r="Q12" s="40">
        <f t="shared" si="21"/>
        <v>54119</v>
      </c>
      <c r="R12" s="40">
        <f t="shared" si="0"/>
        <v>0</v>
      </c>
      <c r="S12" s="40">
        <f t="shared" si="1"/>
        <v>31515</v>
      </c>
      <c r="T12" s="40">
        <f t="shared" si="2"/>
        <v>52065</v>
      </c>
      <c r="U12" s="40">
        <f t="shared" si="3"/>
        <v>54119</v>
      </c>
      <c r="V12" s="40">
        <f t="shared" si="4"/>
        <v>52533</v>
      </c>
      <c r="W12" s="40">
        <f t="shared" si="5"/>
        <v>57679</v>
      </c>
      <c r="X12" s="40">
        <f t="shared" si="6"/>
        <v>48468</v>
      </c>
      <c r="Y12" s="40">
        <f t="shared" si="7"/>
        <v>23759</v>
      </c>
      <c r="Z12" s="40">
        <f t="shared" si="8"/>
        <v>0</v>
      </c>
      <c r="AA12" s="40">
        <f t="shared" si="9"/>
        <v>0</v>
      </c>
      <c r="AB12" s="40">
        <f t="shared" si="10"/>
        <v>0</v>
      </c>
      <c r="AC12" s="37">
        <f>SUM(Table1[[#This Row],[Jan]:[Dec]])</f>
        <v>374257</v>
      </c>
      <c r="AD12" s="15">
        <f t="shared" si="22"/>
        <v>2228.1433037164365</v>
      </c>
      <c r="AE12" s="15">
        <f t="shared" si="23"/>
        <v>0</v>
      </c>
      <c r="AF12" s="15">
        <f t="shared" si="24"/>
        <v>1297.5098619084517</v>
      </c>
      <c r="AG12" s="15">
        <f t="shared" si="25"/>
        <v>2143.5776919011118</v>
      </c>
      <c r="AH12" s="15">
        <f t="shared" si="26"/>
        <v>2228.1433037164365</v>
      </c>
      <c r="AI12" s="15">
        <f t="shared" si="27"/>
        <v>2162.8458059856162</v>
      </c>
      <c r="AJ12" s="15">
        <f t="shared" si="28"/>
        <v>2374.7127185472818</v>
      </c>
      <c r="AK12" s="15">
        <f t="shared" si="29"/>
        <v>1995.4849432644405</v>
      </c>
      <c r="AL12" s="15">
        <f t="shared" si="30"/>
        <v>978.18615926012717</v>
      </c>
      <c r="AM12" s="15">
        <f t="shared" si="31"/>
        <v>0</v>
      </c>
      <c r="AN12" s="15">
        <f t="shared" si="32"/>
        <v>0</v>
      </c>
      <c r="AO12" s="15">
        <f t="shared" si="33"/>
        <v>0</v>
      </c>
      <c r="AP12" s="10">
        <f t="shared" si="34"/>
        <v>3525.6531656248881</v>
      </c>
      <c r="AQ12" s="10">
        <f t="shared" si="35"/>
        <v>6534.566801603165</v>
      </c>
      <c r="AR12" s="10">
        <f t="shared" si="36"/>
        <v>5348.3838210718495</v>
      </c>
      <c r="AS12" s="10">
        <f t="shared" si="37"/>
        <v>0</v>
      </c>
      <c r="AT12" s="10" t="b">
        <f t="shared" si="38"/>
        <v>1</v>
      </c>
      <c r="AU12" s="10">
        <f t="shared" si="12"/>
        <v>11047.024329778391</v>
      </c>
      <c r="AV12" s="10">
        <f t="shared" si="13"/>
        <v>0</v>
      </c>
      <c r="AW12" s="10">
        <f t="shared" si="14"/>
        <v>4361.5794585215135</v>
      </c>
      <c r="AX12" s="10">
        <f t="shared" si="15"/>
        <v>0</v>
      </c>
      <c r="AY12" s="10">
        <f t="shared" si="39"/>
        <v>15408.603788299904</v>
      </c>
      <c r="AZ12" s="19">
        <f>IFERROR(IF($E12="REC",INDEX(A_Type_Volume!$B:$B,MATCH($D12,A_Type_Volume!$A:$A,0),1),IF($E12="VAM",INDEX(C_Type_Volume!$B:$B,MATCH($D12,C_Type_Volume!$A:$A,0),1),"X")),"")</f>
        <v>54119</v>
      </c>
      <c r="BA12" s="19">
        <f>IFERROR(IF($E12="REC",INDEX(A_Type_Volume!$C:$C,MATCH($D12,A_Type_Volume!$A:$A,0),1),IF($E12="VAM",INDEX(C_Type_Volume!$C:$C,MATCH($D12,C_Type_Volume!$A:$A,0),1),"X")),"")</f>
        <v>0</v>
      </c>
      <c r="BB12" s="19">
        <f>IFERROR(IF($E12="REC",INDEX(A_Type_Volume!$D:$D,MATCH($D12,A_Type_Volume!$A:$A,0),1),IF($E12="VAM",INDEX(C_Type_Volume!$D:$D,MATCH($D12,C_Type_Volume!$A:$A,0),1),"X")),"")</f>
        <v>31515</v>
      </c>
      <c r="BC12" s="19">
        <f>IFERROR(IF($E12="REC",INDEX(A_Type_Volume!$E:$E,MATCH($D12,A_Type_Volume!$A:$A,0),1),IF($E12="VAM",INDEX(C_Type_Volume!$E:$E,MATCH($D12,C_Type_Volume!$A:$A,0),1),"X")),"")</f>
        <v>52065</v>
      </c>
      <c r="BD12" s="19">
        <f>IFERROR(IF($E12="REC",INDEX(A_Type_Volume!$F:$F,MATCH($D12,A_Type_Volume!$A:$A,0),1),IF($E12="VAM",INDEX(C_Type_Volume!$F:$F,MATCH($D12,C_Type_Volume!$A:$A,0),1),"X")),"")</f>
        <v>54119</v>
      </c>
      <c r="BE12" s="19">
        <f>IFERROR(IF($E12="REC",INDEX(A_Type_Volume!$G:$G,MATCH($D12,A_Type_Volume!$A:$A,0),1),IF($E12="VAM",INDEX(C_Type_Volume!$G:$G,MATCH($D12,C_Type_Volume!$A:$A,0),1),"X")),"")</f>
        <v>52533</v>
      </c>
      <c r="BF12" s="19">
        <f>IFERROR(IF($E12="REC",INDEX(A_Type_Volume!$H:$H,MATCH($D12,A_Type_Volume!$A:$A,0),1),IF($E12="VAM",INDEX(C_Type_Volume!$H:$H,MATCH($D12,C_Type_Volume!$A:$A,0),1),"X")),"")</f>
        <v>57679</v>
      </c>
      <c r="BG12" s="19">
        <f>IFERROR(IF($E12="REC",INDEX(A_Type_Volume!$I:$I,MATCH($D12,A_Type_Volume!$A:$A,0),1),IF($E12="VAM",INDEX(C_Type_Volume!$I:$I,MATCH($D12,C_Type_Volume!$A:$A,0),1),"X")),"")</f>
        <v>48468</v>
      </c>
      <c r="BH12" s="19">
        <f>IFERROR(IF($E12="REC",INDEX(A_Type_Volume!$J:$J,MATCH($D12,A_Type_Volume!$A:$A,0),1),IF($E12="VAM",INDEX(C_Type_Volume!$J:$J,MATCH($D12,C_Type_Volume!$A:$A,0),1),"X")),"")</f>
        <v>23759</v>
      </c>
      <c r="BI12" s="19">
        <f>IFERROR(IF($E12="REC",INDEX(A_Type_Volume!$K:$K,MATCH($D12,A_Type_Volume!$A:$A,0),1),IF($E12="VAM",INDEX(C_Type_Volume!$K:$K,MATCH($D12,C_Type_Volume!$A:$A,0),1),"X")),"")</f>
        <v>49873</v>
      </c>
      <c r="BJ12" s="19">
        <f>IFERROR(IF($E12="REC",INDEX(A_Type_Volume!$L:$L,MATCH($D12,A_Type_Volume!$A:$A,0),1),IF($E12="VAM",INDEX(C_Type_Volume!$L:$L,MATCH($D12,C_Type_Volume!$A:$A,0),1),"X")),"")</f>
        <v>39788</v>
      </c>
      <c r="BK12" s="19">
        <f>IFERROR(IF($E12="REC",INDEX(A_Type_Volume!M:M,MATCH($D12,A_Type_Volume!$A:$A,0),1),IF($E12="VAM",INDEX(C_Type_Volume!M:M,MATCH($D12,C_Type_Volume!$A:$A,0),1),"X")),"")</f>
        <v>25198</v>
      </c>
      <c r="BL12" s="38">
        <f>SUM(Table1[[#This Row],[Jan_AVF]:[Dec_AVF]])</f>
        <v>489116</v>
      </c>
      <c r="BM12" s="16">
        <f t="shared" si="40"/>
        <v>2228.1433037164365</v>
      </c>
      <c r="BN12" s="16">
        <f t="shared" si="41"/>
        <v>0</v>
      </c>
      <c r="BO12" s="16">
        <f t="shared" si="42"/>
        <v>1297.5098619084517</v>
      </c>
      <c r="BP12" s="16">
        <f t="shared" si="43"/>
        <v>2143.5776919011118</v>
      </c>
      <c r="BQ12" s="16">
        <f t="shared" si="44"/>
        <v>2228.1433037164365</v>
      </c>
      <c r="BR12" s="16">
        <f t="shared" si="45"/>
        <v>2162.8458059856162</v>
      </c>
      <c r="BS12" s="16">
        <f t="shared" si="46"/>
        <v>2374.7127185472818</v>
      </c>
      <c r="BT12" s="16">
        <f t="shared" si="47"/>
        <v>1995.4849432644405</v>
      </c>
      <c r="BU12" s="16">
        <f t="shared" si="48"/>
        <v>978.18615926012717</v>
      </c>
      <c r="BV12" s="16">
        <f t="shared" si="49"/>
        <v>2053.3304567018949</v>
      </c>
      <c r="BW12" s="16">
        <f t="shared" si="50"/>
        <v>1638.1190666544021</v>
      </c>
      <c r="BX12" s="16">
        <f t="shared" si="51"/>
        <v>1037.431492951584</v>
      </c>
      <c r="BY12" s="10">
        <f t="shared" si="17"/>
        <v>3525.6531656248881</v>
      </c>
      <c r="BZ12" s="10">
        <f t="shared" si="18"/>
        <v>6534.566801603165</v>
      </c>
      <c r="CA12" s="10">
        <f t="shared" si="19"/>
        <v>5348.3838210718495</v>
      </c>
      <c r="CB12" s="10">
        <f t="shared" si="20"/>
        <v>4728.8810163078815</v>
      </c>
      <c r="CC12" s="10">
        <f>IFERROR(Table1[[#This Row],[Labor
Saving]]*Table1[[#This Row],[Annual Volume]],"")</f>
        <v>14437.342126089525</v>
      </c>
      <c r="CD12" s="10">
        <f>IFERROR(Table1[[#This Row],[Annual Volume]]*Table1[[#This Row],[Yield
Saving]],"")</f>
        <v>0</v>
      </c>
      <c r="CE12" s="10">
        <f>IFERROR(Table1[[#This Row],[Annual Volume]]*Table1[[#This Row],[Material
Saving]],"")</f>
        <v>5700.1426785182603</v>
      </c>
      <c r="CF12" s="10">
        <f>IFERROR(Table1[[#This Row],[OH
Saving]]*Table1[[#This Row],[Annual Volume]],"")</f>
        <v>0</v>
      </c>
      <c r="CG12" s="10">
        <f>SUM(Table1[[#This Row],[Labor_ASV]:[OH_ASV]])</f>
        <v>20137.484804607786</v>
      </c>
    </row>
    <row r="13" spans="1:85" x14ac:dyDescent="0.3">
      <c r="A13" t="str">
        <f>Table1[[#This Row],[Project Name]]&amp;Table1[[#This Row],[Part Number]]</f>
        <v>Au Target Supplier XR51</v>
      </c>
      <c r="B13" t="str">
        <f>IFERROR(Table1[[#This Row],[Project Number]]&amp;Table1[[#This Row],[Part Number]],"")</f>
        <v>AME25-005R51</v>
      </c>
      <c r="C13" s="22" t="s">
        <v>65</v>
      </c>
      <c r="D13" s="24" t="s">
        <v>289</v>
      </c>
      <c r="E13" s="25" t="s">
        <v>58</v>
      </c>
      <c r="F13" s="6">
        <f>INDEX(Proj_Reg!G:G,MATCH($C13,Proj_Reg!$B:$B,0),1)</f>
        <v>45962</v>
      </c>
      <c r="G13" s="6">
        <f>INDEX(Proj_Reg!H:H,MATCH($C13,Proj_Reg!$B:$B,0),1)</f>
        <v>46296</v>
      </c>
      <c r="H13" s="6" t="str">
        <f>IF(INDEX(Proj_Reg!C:C,MATCH($C13,Proj_Reg!$B:$B,0),1)=0,"",INDEX(Proj_Reg!C:C,MATCH($C13,Proj_Reg!$B:$B,0),1))</f>
        <v>Sputtering</v>
      </c>
      <c r="I13" s="6" t="str">
        <f>IF(INDEX(Proj_Reg!D:D,MATCH($C13,Proj_Reg!$B:$B,0),1)=0,"",INDEX(Proj_Reg!D:D,MATCH($C13,Proj_Reg!$B:$B,0),1))</f>
        <v>XWP</v>
      </c>
      <c r="J13" s="6" t="str">
        <f>INDEX(Proj_Reg!E:E,MATCH($C13,Proj_Reg!$B:$B,0),1)</f>
        <v>Au Target Supplier X</v>
      </c>
      <c r="K13" s="21">
        <v>4.7160607E-2</v>
      </c>
      <c r="L13" s="21">
        <v>0</v>
      </c>
      <c r="M13" s="21">
        <v>1.0287864484869987E-2</v>
      </c>
      <c r="N13" s="21">
        <v>0</v>
      </c>
      <c r="O13" s="11">
        <f>SUM(Table1[[#This Row],[Labor
Saving]:[OH
Saving]])</f>
        <v>5.7448471484869985E-2</v>
      </c>
      <c r="Q13" s="40">
        <f t="shared" si="21"/>
        <v>79949</v>
      </c>
      <c r="R13" s="40">
        <f t="shared" si="0"/>
        <v>96141</v>
      </c>
      <c r="S13" s="40">
        <f t="shared" si="1"/>
        <v>143473</v>
      </c>
      <c r="T13" s="40">
        <f t="shared" si="2"/>
        <v>139148</v>
      </c>
      <c r="U13" s="40">
        <f t="shared" si="3"/>
        <v>99689</v>
      </c>
      <c r="V13" s="40">
        <f t="shared" si="4"/>
        <v>15923</v>
      </c>
      <c r="W13" s="40">
        <f t="shared" si="5"/>
        <v>111361</v>
      </c>
      <c r="X13" s="40">
        <f t="shared" si="6"/>
        <v>69623</v>
      </c>
      <c r="Y13" s="40">
        <f t="shared" si="7"/>
        <v>95604</v>
      </c>
      <c r="Z13" s="40">
        <f t="shared" si="8"/>
        <v>144822</v>
      </c>
      <c r="AA13" s="40">
        <f t="shared" si="9"/>
        <v>0</v>
      </c>
      <c r="AB13" s="40">
        <f t="shared" si="10"/>
        <v>0</v>
      </c>
      <c r="AC13" s="37">
        <f>SUM(Table1[[#This Row],[Jan]:[Dec]])</f>
        <v>995733</v>
      </c>
      <c r="AD13" s="15">
        <f t="shared" si="22"/>
        <v>4592.9478467438703</v>
      </c>
      <c r="AE13" s="15">
        <f t="shared" si="23"/>
        <v>5523.1534970268849</v>
      </c>
      <c r="AF13" s="15">
        <f t="shared" si="24"/>
        <v>8242.3045493487516</v>
      </c>
      <c r="AG13" s="15">
        <f t="shared" si="25"/>
        <v>7993.839910176689</v>
      </c>
      <c r="AH13" s="15">
        <f t="shared" si="26"/>
        <v>5726.9806738552043</v>
      </c>
      <c r="AI13" s="15">
        <f t="shared" si="27"/>
        <v>914.75201145358483</v>
      </c>
      <c r="AJ13" s="15">
        <f t="shared" si="28"/>
        <v>6397.5192330266063</v>
      </c>
      <c r="AK13" s="15">
        <f t="shared" si="29"/>
        <v>3999.7349301911031</v>
      </c>
      <c r="AL13" s="15">
        <f t="shared" si="30"/>
        <v>5492.3036678395101</v>
      </c>
      <c r="AM13" s="15">
        <f t="shared" si="31"/>
        <v>8319.8025373818418</v>
      </c>
      <c r="AN13" s="15">
        <f t="shared" si="32"/>
        <v>0</v>
      </c>
      <c r="AO13" s="15">
        <f t="shared" si="33"/>
        <v>0</v>
      </c>
      <c r="AP13" s="10">
        <f t="shared" si="34"/>
        <v>18358.405893119507</v>
      </c>
      <c r="AQ13" s="10">
        <f t="shared" si="35"/>
        <v>14635.572595485479</v>
      </c>
      <c r="AR13" s="10">
        <f t="shared" si="36"/>
        <v>15889.55783105722</v>
      </c>
      <c r="AS13" s="10">
        <f t="shared" si="37"/>
        <v>8319.8025373818418</v>
      </c>
      <c r="AT13" s="10" t="b">
        <f t="shared" si="38"/>
        <v>1</v>
      </c>
      <c r="AU13" s="10">
        <f t="shared" si="12"/>
        <v>46959.372689930999</v>
      </c>
      <c r="AV13" s="10">
        <f t="shared" si="13"/>
        <v>0</v>
      </c>
      <c r="AW13" s="10">
        <f t="shared" si="14"/>
        <v>10243.966167113047</v>
      </c>
      <c r="AX13" s="10">
        <f t="shared" si="15"/>
        <v>0</v>
      </c>
      <c r="AY13" s="10">
        <f t="shared" si="39"/>
        <v>57203.338857044044</v>
      </c>
      <c r="AZ13" s="19">
        <f>IFERROR(IF($E13="REC",INDEX(A_Type_Volume!$B:$B,MATCH($D13,A_Type_Volume!$A:$A,0),1),IF($E13="VAM",INDEX(C_Type_Volume!$B:$B,MATCH($D13,C_Type_Volume!$A:$A,0),1),"X")),"")</f>
        <v>79949</v>
      </c>
      <c r="BA13" s="19">
        <f>IFERROR(IF($E13="REC",INDEX(A_Type_Volume!$C:$C,MATCH($D13,A_Type_Volume!$A:$A,0),1),IF($E13="VAM",INDEX(C_Type_Volume!$C:$C,MATCH($D13,C_Type_Volume!$A:$A,0),1),"X")),"")</f>
        <v>96141</v>
      </c>
      <c r="BB13" s="19">
        <f>IFERROR(IF($E13="REC",INDEX(A_Type_Volume!$D:$D,MATCH($D13,A_Type_Volume!$A:$A,0),1),IF($E13="VAM",INDEX(C_Type_Volume!$D:$D,MATCH($D13,C_Type_Volume!$A:$A,0),1),"X")),"")</f>
        <v>143473</v>
      </c>
      <c r="BC13" s="19">
        <f>IFERROR(IF($E13="REC",INDEX(A_Type_Volume!$E:$E,MATCH($D13,A_Type_Volume!$A:$A,0),1),IF($E13="VAM",INDEX(C_Type_Volume!$E:$E,MATCH($D13,C_Type_Volume!$A:$A,0),1),"X")),"")</f>
        <v>139148</v>
      </c>
      <c r="BD13" s="19">
        <f>IFERROR(IF($E13="REC",INDEX(A_Type_Volume!$F:$F,MATCH($D13,A_Type_Volume!$A:$A,0),1),IF($E13="VAM",INDEX(C_Type_Volume!$F:$F,MATCH($D13,C_Type_Volume!$A:$A,0),1),"X")),"")</f>
        <v>99689</v>
      </c>
      <c r="BE13" s="19">
        <f>IFERROR(IF($E13="REC",INDEX(A_Type_Volume!$G:$G,MATCH($D13,A_Type_Volume!$A:$A,0),1),IF($E13="VAM",INDEX(C_Type_Volume!$G:$G,MATCH($D13,C_Type_Volume!$A:$A,0),1),"X")),"")</f>
        <v>15923</v>
      </c>
      <c r="BF13" s="19">
        <f>IFERROR(IF($E13="REC",INDEX(A_Type_Volume!$H:$H,MATCH($D13,A_Type_Volume!$A:$A,0),1),IF($E13="VAM",INDEX(C_Type_Volume!$H:$H,MATCH($D13,C_Type_Volume!$A:$A,0),1),"X")),"")</f>
        <v>111361</v>
      </c>
      <c r="BG13" s="19">
        <f>IFERROR(IF($E13="REC",INDEX(A_Type_Volume!$I:$I,MATCH($D13,A_Type_Volume!$A:$A,0),1),IF($E13="VAM",INDEX(C_Type_Volume!$I:$I,MATCH($D13,C_Type_Volume!$A:$A,0),1),"X")),"")</f>
        <v>69623</v>
      </c>
      <c r="BH13" s="19">
        <f>IFERROR(IF($E13="REC",INDEX(A_Type_Volume!$J:$J,MATCH($D13,A_Type_Volume!$A:$A,0),1),IF($E13="VAM",INDEX(C_Type_Volume!$J:$J,MATCH($D13,C_Type_Volume!$A:$A,0),1),"X")),"")</f>
        <v>95604</v>
      </c>
      <c r="BI13" s="19">
        <f>IFERROR(IF($E13="REC",INDEX(A_Type_Volume!$K:$K,MATCH($D13,A_Type_Volume!$A:$A,0),1),IF($E13="VAM",INDEX(C_Type_Volume!$K:$K,MATCH($D13,C_Type_Volume!$A:$A,0),1),"X")),"")</f>
        <v>144822</v>
      </c>
      <c r="BJ13" s="19">
        <f>IFERROR(IF($E13="REC",INDEX(A_Type_Volume!$L:$L,MATCH($D13,A_Type_Volume!$A:$A,0),1),IF($E13="VAM",INDEX(C_Type_Volume!$L:$L,MATCH($D13,C_Type_Volume!$A:$A,0),1),"X")),"")</f>
        <v>75226</v>
      </c>
      <c r="BK13" s="19">
        <f>IFERROR(IF($E13="REC",INDEX(A_Type_Volume!M:M,MATCH($D13,A_Type_Volume!$A:$A,0),1),IF($E13="VAM",INDEX(C_Type_Volume!M:M,MATCH($D13,C_Type_Volume!$A:$A,0),1),"X")),"")</f>
        <v>74082</v>
      </c>
      <c r="BL13" s="38">
        <f>SUM(Table1[[#This Row],[Jan_AVF]:[Dec_AVF]])</f>
        <v>1145041</v>
      </c>
      <c r="BM13" s="16">
        <f t="shared" si="40"/>
        <v>4592.9478467438703</v>
      </c>
      <c r="BN13" s="16">
        <f t="shared" si="41"/>
        <v>5523.1534970268849</v>
      </c>
      <c r="BO13" s="16">
        <f t="shared" si="42"/>
        <v>8242.3045493487516</v>
      </c>
      <c r="BP13" s="16">
        <f t="shared" si="43"/>
        <v>7993.839910176689</v>
      </c>
      <c r="BQ13" s="16">
        <f t="shared" si="44"/>
        <v>5726.9806738552043</v>
      </c>
      <c r="BR13" s="16">
        <f t="shared" si="45"/>
        <v>914.75201145358483</v>
      </c>
      <c r="BS13" s="16">
        <f t="shared" si="46"/>
        <v>6397.5192330266063</v>
      </c>
      <c r="BT13" s="16">
        <f t="shared" si="47"/>
        <v>3999.7349301911031</v>
      </c>
      <c r="BU13" s="16">
        <f t="shared" si="48"/>
        <v>5492.3036678395101</v>
      </c>
      <c r="BV13" s="16">
        <f t="shared" si="49"/>
        <v>8319.8025373818418</v>
      </c>
      <c r="BW13" s="16">
        <f t="shared" si="50"/>
        <v>4321.6187159208293</v>
      </c>
      <c r="BX13" s="16">
        <f t="shared" si="51"/>
        <v>4255.897664542138</v>
      </c>
      <c r="BY13" s="10">
        <f t="shared" si="17"/>
        <v>18358.405893119507</v>
      </c>
      <c r="BZ13" s="10">
        <f t="shared" si="18"/>
        <v>14635.572595485479</v>
      </c>
      <c r="CA13" s="10">
        <f t="shared" si="19"/>
        <v>15889.55783105722</v>
      </c>
      <c r="CB13" s="10">
        <f t="shared" si="20"/>
        <v>16897.318917844808</v>
      </c>
      <c r="CC13" s="10">
        <f>IFERROR(Table1[[#This Row],[Labor
Saving]]*Table1[[#This Row],[Annual Volume]],"")</f>
        <v>54000.828599886998</v>
      </c>
      <c r="CD13" s="10">
        <f>IFERROR(Table1[[#This Row],[Annual Volume]]*Table1[[#This Row],[Yield
Saving]],"")</f>
        <v>0</v>
      </c>
      <c r="CE13" s="10">
        <f>IFERROR(Table1[[#This Row],[Annual Volume]]*Table1[[#This Row],[Material
Saving]],"")</f>
        <v>11780.026637620014</v>
      </c>
      <c r="CF13" s="10">
        <f>IFERROR(Table1[[#This Row],[OH
Saving]]*Table1[[#This Row],[Annual Volume]],"")</f>
        <v>0</v>
      </c>
      <c r="CG13" s="10">
        <f>SUM(Table1[[#This Row],[Labor_ASV]:[OH_ASV]])</f>
        <v>65780.855237507014</v>
      </c>
    </row>
    <row r="14" spans="1:85" x14ac:dyDescent="0.3">
      <c r="A14" t="str">
        <f>Table1[[#This Row],[Project Name]]&amp;Table1[[#This Row],[Part Number]]</f>
        <v>Au Target Supplier ZR85</v>
      </c>
      <c r="B14" t="str">
        <f>IFERROR(Table1[[#This Row],[Project Number]]&amp;Table1[[#This Row],[Part Number]],"")</f>
        <v>AME25-006R85</v>
      </c>
      <c r="C14" s="22" t="s">
        <v>66</v>
      </c>
      <c r="D14" s="24" t="s">
        <v>323</v>
      </c>
      <c r="E14" s="25" t="s">
        <v>58</v>
      </c>
      <c r="F14" s="6">
        <f>INDEX(Proj_Reg!G:G,MATCH($C14,Proj_Reg!$B:$B,0),1)</f>
        <v>45962</v>
      </c>
      <c r="G14" s="6">
        <f>INDEX(Proj_Reg!H:H,MATCH($C14,Proj_Reg!$B:$B,0),1)</f>
        <v>46296</v>
      </c>
      <c r="H14" s="6" t="str">
        <f>IF(INDEX(Proj_Reg!C:C,MATCH($C14,Proj_Reg!$B:$B,0),1)=0,"",INDEX(Proj_Reg!C:C,MATCH($C14,Proj_Reg!$B:$B,0),1))</f>
        <v>Sputtering</v>
      </c>
      <c r="I14" s="6" t="str">
        <f>IF(INDEX(Proj_Reg!D:D,MATCH($C14,Proj_Reg!$B:$B,0),1)=0,"",INDEX(Proj_Reg!D:D,MATCH($C14,Proj_Reg!$B:$B,0),1))</f>
        <v>XWP</v>
      </c>
      <c r="J14" s="6" t="str">
        <f>INDEX(Proj_Reg!E:E,MATCH($C14,Proj_Reg!$B:$B,0),1)</f>
        <v>Au Target Supplier Z</v>
      </c>
      <c r="K14" s="21">
        <v>2.0521605382352946E-2</v>
      </c>
      <c r="L14" s="21">
        <v>0</v>
      </c>
      <c r="M14" s="21">
        <v>1.3578494711489997E-2</v>
      </c>
      <c r="N14" s="21">
        <v>0</v>
      </c>
      <c r="O14" s="11">
        <f>SUM(Table1[[#This Row],[Labor
Saving]:[OH
Saving]])</f>
        <v>3.4100100093842942E-2</v>
      </c>
      <c r="Q14" s="40">
        <f t="shared" si="21"/>
        <v>35861</v>
      </c>
      <c r="R14" s="40">
        <f t="shared" si="0"/>
        <v>59760</v>
      </c>
      <c r="S14" s="40">
        <f t="shared" si="1"/>
        <v>66572</v>
      </c>
      <c r="T14" s="40">
        <f t="shared" si="2"/>
        <v>55071</v>
      </c>
      <c r="U14" s="40">
        <f t="shared" si="3"/>
        <v>62383</v>
      </c>
      <c r="V14" s="40">
        <f t="shared" si="4"/>
        <v>57586</v>
      </c>
      <c r="W14" s="40">
        <f t="shared" si="5"/>
        <v>57985</v>
      </c>
      <c r="X14" s="40">
        <f t="shared" si="6"/>
        <v>45367</v>
      </c>
      <c r="Y14" s="40">
        <f t="shared" si="7"/>
        <v>52938</v>
      </c>
      <c r="Z14" s="40">
        <f t="shared" si="8"/>
        <v>38405</v>
      </c>
      <c r="AA14" s="40">
        <f t="shared" si="9"/>
        <v>0</v>
      </c>
      <c r="AB14" s="40">
        <f t="shared" si="10"/>
        <v>0</v>
      </c>
      <c r="AC14" s="37">
        <f>SUM(Table1[[#This Row],[Jan]:[Dec]])</f>
        <v>531928</v>
      </c>
      <c r="AD14" s="15">
        <f t="shared" si="22"/>
        <v>1222.8636894653018</v>
      </c>
      <c r="AE14" s="15">
        <f t="shared" si="23"/>
        <v>2037.8219816080541</v>
      </c>
      <c r="AF14" s="15">
        <f t="shared" si="24"/>
        <v>2270.1118634473123</v>
      </c>
      <c r="AG14" s="15">
        <f t="shared" si="25"/>
        <v>1877.9266122680247</v>
      </c>
      <c r="AH14" s="15">
        <f t="shared" si="26"/>
        <v>2127.2665441542044</v>
      </c>
      <c r="AI14" s="15">
        <f t="shared" si="27"/>
        <v>1963.6883640040396</v>
      </c>
      <c r="AJ14" s="15">
        <f t="shared" si="28"/>
        <v>1977.2943039414829</v>
      </c>
      <c r="AK14" s="15">
        <f t="shared" si="29"/>
        <v>1547.0192409573726</v>
      </c>
      <c r="AL14" s="15">
        <f t="shared" si="30"/>
        <v>1805.1910987678577</v>
      </c>
      <c r="AM14" s="15">
        <f t="shared" si="31"/>
        <v>1309.6143441040381</v>
      </c>
      <c r="AN14" s="15">
        <f t="shared" si="32"/>
        <v>0</v>
      </c>
      <c r="AO14" s="15">
        <f t="shared" si="33"/>
        <v>0</v>
      </c>
      <c r="AP14" s="10">
        <f t="shared" si="34"/>
        <v>5530.7975345206687</v>
      </c>
      <c r="AQ14" s="10">
        <f t="shared" si="35"/>
        <v>5968.8815204262683</v>
      </c>
      <c r="AR14" s="10">
        <f t="shared" si="36"/>
        <v>5329.5046436667135</v>
      </c>
      <c r="AS14" s="10">
        <f t="shared" si="37"/>
        <v>1309.6143441040381</v>
      </c>
      <c r="AT14" s="10" t="b">
        <f t="shared" si="38"/>
        <v>1</v>
      </c>
      <c r="AU14" s="10">
        <f t="shared" si="12"/>
        <v>10916.016507824237</v>
      </c>
      <c r="AV14" s="10">
        <f t="shared" si="13"/>
        <v>0</v>
      </c>
      <c r="AW14" s="10">
        <f t="shared" si="14"/>
        <v>7222.781534893451</v>
      </c>
      <c r="AX14" s="10">
        <f t="shared" si="15"/>
        <v>0</v>
      </c>
      <c r="AY14" s="10">
        <f t="shared" si="39"/>
        <v>18138.798042717688</v>
      </c>
      <c r="AZ14" s="19">
        <f>IFERROR(IF($E14="REC",INDEX(A_Type_Volume!$B:$B,MATCH($D14,A_Type_Volume!$A:$A,0),1),IF($E14="VAM",INDEX(C_Type_Volume!$B:$B,MATCH($D14,C_Type_Volume!$A:$A,0),1),"X")),"")</f>
        <v>35861</v>
      </c>
      <c r="BA14" s="19">
        <f>IFERROR(IF($E14="REC",INDEX(A_Type_Volume!$C:$C,MATCH($D14,A_Type_Volume!$A:$A,0),1),IF($E14="VAM",INDEX(C_Type_Volume!$C:$C,MATCH($D14,C_Type_Volume!$A:$A,0),1),"X")),"")</f>
        <v>59760</v>
      </c>
      <c r="BB14" s="19">
        <f>IFERROR(IF($E14="REC",INDEX(A_Type_Volume!$D:$D,MATCH($D14,A_Type_Volume!$A:$A,0),1),IF($E14="VAM",INDEX(C_Type_Volume!$D:$D,MATCH($D14,C_Type_Volume!$A:$A,0),1),"X")),"")</f>
        <v>66572</v>
      </c>
      <c r="BC14" s="19">
        <f>IFERROR(IF($E14="REC",INDEX(A_Type_Volume!$E:$E,MATCH($D14,A_Type_Volume!$A:$A,0),1),IF($E14="VAM",INDEX(C_Type_Volume!$E:$E,MATCH($D14,C_Type_Volume!$A:$A,0),1),"X")),"")</f>
        <v>55071</v>
      </c>
      <c r="BD14" s="19">
        <f>IFERROR(IF($E14="REC",INDEX(A_Type_Volume!$F:$F,MATCH($D14,A_Type_Volume!$A:$A,0),1),IF($E14="VAM",INDEX(C_Type_Volume!$F:$F,MATCH($D14,C_Type_Volume!$A:$A,0),1),"X")),"")</f>
        <v>62383</v>
      </c>
      <c r="BE14" s="19">
        <f>IFERROR(IF($E14="REC",INDEX(A_Type_Volume!$G:$G,MATCH($D14,A_Type_Volume!$A:$A,0),1),IF($E14="VAM",INDEX(C_Type_Volume!$G:$G,MATCH($D14,C_Type_Volume!$A:$A,0),1),"X")),"")</f>
        <v>57586</v>
      </c>
      <c r="BF14" s="19">
        <f>IFERROR(IF($E14="REC",INDEX(A_Type_Volume!$H:$H,MATCH($D14,A_Type_Volume!$A:$A,0),1),IF($E14="VAM",INDEX(C_Type_Volume!$H:$H,MATCH($D14,C_Type_Volume!$A:$A,0),1),"X")),"")</f>
        <v>57985</v>
      </c>
      <c r="BG14" s="19">
        <f>IFERROR(IF($E14="REC",INDEX(A_Type_Volume!$I:$I,MATCH($D14,A_Type_Volume!$A:$A,0),1),IF($E14="VAM",INDEX(C_Type_Volume!$I:$I,MATCH($D14,C_Type_Volume!$A:$A,0),1),"X")),"")</f>
        <v>45367</v>
      </c>
      <c r="BH14" s="19">
        <f>IFERROR(IF($E14="REC",INDEX(A_Type_Volume!$J:$J,MATCH($D14,A_Type_Volume!$A:$A,0),1),IF($E14="VAM",INDEX(C_Type_Volume!$J:$J,MATCH($D14,C_Type_Volume!$A:$A,0),1),"X")),"")</f>
        <v>52938</v>
      </c>
      <c r="BI14" s="19">
        <f>IFERROR(IF($E14="REC",INDEX(A_Type_Volume!$K:$K,MATCH($D14,A_Type_Volume!$A:$A,0),1),IF($E14="VAM",INDEX(C_Type_Volume!$K:$K,MATCH($D14,C_Type_Volume!$A:$A,0),1),"X")),"")</f>
        <v>38405</v>
      </c>
      <c r="BJ14" s="19">
        <f>IFERROR(IF($E14="REC",INDEX(A_Type_Volume!$L:$L,MATCH($D14,A_Type_Volume!$A:$A,0),1),IF($E14="VAM",INDEX(C_Type_Volume!$L:$L,MATCH($D14,C_Type_Volume!$A:$A,0),1),"X")),"")</f>
        <v>33881</v>
      </c>
      <c r="BK14" s="19">
        <f>IFERROR(IF($E14="REC",INDEX(A_Type_Volume!M:M,MATCH($D14,A_Type_Volume!$A:$A,0),1),IF($E14="VAM",INDEX(C_Type_Volume!M:M,MATCH($D14,C_Type_Volume!$A:$A,0),1),"X")),"")</f>
        <v>37969</v>
      </c>
      <c r="BL14" s="38">
        <f>SUM(Table1[[#This Row],[Jan_AVF]:[Dec_AVF]])</f>
        <v>603778</v>
      </c>
      <c r="BM14" s="16">
        <f t="shared" si="40"/>
        <v>1222.8636894653018</v>
      </c>
      <c r="BN14" s="16">
        <f t="shared" si="41"/>
        <v>2037.8219816080541</v>
      </c>
      <c r="BO14" s="16">
        <f t="shared" si="42"/>
        <v>2270.1118634473123</v>
      </c>
      <c r="BP14" s="16">
        <f t="shared" si="43"/>
        <v>1877.9266122680247</v>
      </c>
      <c r="BQ14" s="16">
        <f t="shared" si="44"/>
        <v>2127.2665441542044</v>
      </c>
      <c r="BR14" s="16">
        <f t="shared" si="45"/>
        <v>1963.6883640040396</v>
      </c>
      <c r="BS14" s="16">
        <f t="shared" si="46"/>
        <v>1977.2943039414829</v>
      </c>
      <c r="BT14" s="16">
        <f t="shared" si="47"/>
        <v>1547.0192409573726</v>
      </c>
      <c r="BU14" s="16">
        <f t="shared" si="48"/>
        <v>1805.1910987678577</v>
      </c>
      <c r="BV14" s="16">
        <f t="shared" si="49"/>
        <v>1309.6143441040381</v>
      </c>
      <c r="BW14" s="16">
        <f t="shared" si="50"/>
        <v>1155.3454912794928</v>
      </c>
      <c r="BX14" s="16">
        <f t="shared" si="51"/>
        <v>1294.7467004631226</v>
      </c>
      <c r="BY14" s="10">
        <f t="shared" si="17"/>
        <v>5530.7975345206687</v>
      </c>
      <c r="BZ14" s="10">
        <f t="shared" si="18"/>
        <v>5968.8815204262683</v>
      </c>
      <c r="CA14" s="10">
        <f t="shared" si="19"/>
        <v>5329.5046436667135</v>
      </c>
      <c r="CB14" s="10">
        <f t="shared" si="20"/>
        <v>3759.7065358466534</v>
      </c>
      <c r="CC14" s="10">
        <f>IFERROR(Table1[[#This Row],[Labor
Saving]]*Table1[[#This Row],[Annual Volume]],"")</f>
        <v>12390.493854546297</v>
      </c>
      <c r="CD14" s="10">
        <f>IFERROR(Table1[[#This Row],[Annual Volume]]*Table1[[#This Row],[Yield
Saving]],"")</f>
        <v>0</v>
      </c>
      <c r="CE14" s="10">
        <f>IFERROR(Table1[[#This Row],[Annual Volume]]*Table1[[#This Row],[Material
Saving]],"")</f>
        <v>8198.3963799140074</v>
      </c>
      <c r="CF14" s="10">
        <f>IFERROR(Table1[[#This Row],[OH
Saving]]*Table1[[#This Row],[Annual Volume]],"")</f>
        <v>0</v>
      </c>
      <c r="CG14" s="10">
        <f>SUM(Table1[[#This Row],[Labor_ASV]:[OH_ASV]])</f>
        <v>20588.890234460305</v>
      </c>
    </row>
    <row r="15" spans="1:85" x14ac:dyDescent="0.3">
      <c r="A15" t="str">
        <f>Table1[[#This Row],[Project Name]]&amp;Table1[[#This Row],[Part Number]]</f>
        <v>Au Target Supplier ZR86</v>
      </c>
      <c r="B15" t="str">
        <f>IFERROR(Table1[[#This Row],[Project Number]]&amp;Table1[[#This Row],[Part Number]],"")</f>
        <v>AME25-006R86</v>
      </c>
      <c r="C15" s="22" t="s">
        <v>66</v>
      </c>
      <c r="D15" s="24" t="s">
        <v>324</v>
      </c>
      <c r="E15" s="25" t="s">
        <v>58</v>
      </c>
      <c r="F15" s="6">
        <f>INDEX(Proj_Reg!G:G,MATCH($C15,Proj_Reg!$B:$B,0),1)</f>
        <v>45962</v>
      </c>
      <c r="G15" s="6">
        <f>INDEX(Proj_Reg!H:H,MATCH($C15,Proj_Reg!$B:$B,0),1)</f>
        <v>46296</v>
      </c>
      <c r="H15" s="6" t="str">
        <f>IF(INDEX(Proj_Reg!C:C,MATCH($C15,Proj_Reg!$B:$B,0),1)=0,"",INDEX(Proj_Reg!C:C,MATCH($C15,Proj_Reg!$B:$B,0),1))</f>
        <v>Sputtering</v>
      </c>
      <c r="I15" s="6" t="str">
        <f>IF(INDEX(Proj_Reg!D:D,MATCH($C15,Proj_Reg!$B:$B,0),1)=0,"",INDEX(Proj_Reg!D:D,MATCH($C15,Proj_Reg!$B:$B,0),1))</f>
        <v>XWP</v>
      </c>
      <c r="J15" s="6" t="str">
        <f>INDEX(Proj_Reg!E:E,MATCH($C15,Proj_Reg!$B:$B,0),1)</f>
        <v>Au Target Supplier Z</v>
      </c>
      <c r="K15" s="21">
        <v>2.0521605382352946E-2</v>
      </c>
      <c r="L15" s="21">
        <v>0</v>
      </c>
      <c r="M15" s="21">
        <v>1.3578494711489997E-2</v>
      </c>
      <c r="N15" s="21">
        <v>0</v>
      </c>
      <c r="O15" s="11">
        <f>SUM(Table1[[#This Row],[Labor
Saving]:[OH
Saving]])</f>
        <v>3.4100100093842942E-2</v>
      </c>
      <c r="Q15" s="40">
        <f t="shared" si="21"/>
        <v>35861</v>
      </c>
      <c r="R15" s="40">
        <f t="shared" si="0"/>
        <v>59760</v>
      </c>
      <c r="S15" s="40">
        <f t="shared" si="1"/>
        <v>66572</v>
      </c>
      <c r="T15" s="40">
        <f t="shared" si="2"/>
        <v>55071</v>
      </c>
      <c r="U15" s="40">
        <f t="shared" si="3"/>
        <v>62383</v>
      </c>
      <c r="V15" s="40">
        <f t="shared" si="4"/>
        <v>57586</v>
      </c>
      <c r="W15" s="40">
        <f t="shared" si="5"/>
        <v>57985</v>
      </c>
      <c r="X15" s="40">
        <f t="shared" si="6"/>
        <v>45367</v>
      </c>
      <c r="Y15" s="40">
        <f t="shared" si="7"/>
        <v>52938</v>
      </c>
      <c r="Z15" s="40">
        <f t="shared" si="8"/>
        <v>38405</v>
      </c>
      <c r="AA15" s="40">
        <f t="shared" si="9"/>
        <v>0</v>
      </c>
      <c r="AB15" s="40">
        <f t="shared" si="10"/>
        <v>0</v>
      </c>
      <c r="AC15" s="37">
        <f>SUM(Table1[[#This Row],[Jan]:[Dec]])</f>
        <v>531928</v>
      </c>
      <c r="AD15" s="15">
        <f t="shared" si="22"/>
        <v>1222.8636894653018</v>
      </c>
      <c r="AE15" s="15">
        <f t="shared" si="23"/>
        <v>2037.8219816080541</v>
      </c>
      <c r="AF15" s="15">
        <f t="shared" si="24"/>
        <v>2270.1118634473123</v>
      </c>
      <c r="AG15" s="15">
        <f t="shared" si="25"/>
        <v>1877.9266122680247</v>
      </c>
      <c r="AH15" s="15">
        <f t="shared" si="26"/>
        <v>2127.2665441542044</v>
      </c>
      <c r="AI15" s="15">
        <f t="shared" si="27"/>
        <v>1963.6883640040396</v>
      </c>
      <c r="AJ15" s="15">
        <f t="shared" si="28"/>
        <v>1977.2943039414829</v>
      </c>
      <c r="AK15" s="15">
        <f t="shared" si="29"/>
        <v>1547.0192409573726</v>
      </c>
      <c r="AL15" s="15">
        <f t="shared" si="30"/>
        <v>1805.1910987678577</v>
      </c>
      <c r="AM15" s="15">
        <f t="shared" si="31"/>
        <v>1309.6143441040381</v>
      </c>
      <c r="AN15" s="15">
        <f t="shared" si="32"/>
        <v>0</v>
      </c>
      <c r="AO15" s="15">
        <f t="shared" si="33"/>
        <v>0</v>
      </c>
      <c r="AP15" s="10">
        <f t="shared" si="34"/>
        <v>5530.7975345206687</v>
      </c>
      <c r="AQ15" s="10">
        <f t="shared" si="35"/>
        <v>5968.8815204262683</v>
      </c>
      <c r="AR15" s="10">
        <f t="shared" si="36"/>
        <v>5329.5046436667135</v>
      </c>
      <c r="AS15" s="10">
        <f t="shared" si="37"/>
        <v>1309.6143441040381</v>
      </c>
      <c r="AT15" s="10" t="b">
        <f t="shared" si="38"/>
        <v>1</v>
      </c>
      <c r="AU15" s="10">
        <f t="shared" si="12"/>
        <v>10916.016507824237</v>
      </c>
      <c r="AV15" s="10">
        <f t="shared" si="13"/>
        <v>0</v>
      </c>
      <c r="AW15" s="10">
        <f t="shared" si="14"/>
        <v>7222.781534893451</v>
      </c>
      <c r="AX15" s="10">
        <f t="shared" si="15"/>
        <v>0</v>
      </c>
      <c r="AY15" s="10">
        <f t="shared" si="39"/>
        <v>18138.798042717688</v>
      </c>
      <c r="AZ15" s="19">
        <f>IFERROR(IF($E15="REC",INDEX(A_Type_Volume!$B:$B,MATCH($D15,A_Type_Volume!$A:$A,0),1),IF($E15="VAM",INDEX(C_Type_Volume!$B:$B,MATCH($D15,C_Type_Volume!$A:$A,0),1),"X")),"")</f>
        <v>35861</v>
      </c>
      <c r="BA15" s="19">
        <f>IFERROR(IF($E15="REC",INDEX(A_Type_Volume!$C:$C,MATCH($D15,A_Type_Volume!$A:$A,0),1),IF($E15="VAM",INDEX(C_Type_Volume!$C:$C,MATCH($D15,C_Type_Volume!$A:$A,0),1),"X")),"")</f>
        <v>59760</v>
      </c>
      <c r="BB15" s="19">
        <f>IFERROR(IF($E15="REC",INDEX(A_Type_Volume!$D:$D,MATCH($D15,A_Type_Volume!$A:$A,0),1),IF($E15="VAM",INDEX(C_Type_Volume!$D:$D,MATCH($D15,C_Type_Volume!$A:$A,0),1),"X")),"")</f>
        <v>66572</v>
      </c>
      <c r="BC15" s="19">
        <f>IFERROR(IF($E15="REC",INDEX(A_Type_Volume!$E:$E,MATCH($D15,A_Type_Volume!$A:$A,0),1),IF($E15="VAM",INDEX(C_Type_Volume!$E:$E,MATCH($D15,C_Type_Volume!$A:$A,0),1),"X")),"")</f>
        <v>55071</v>
      </c>
      <c r="BD15" s="19">
        <f>IFERROR(IF($E15="REC",INDEX(A_Type_Volume!$F:$F,MATCH($D15,A_Type_Volume!$A:$A,0),1),IF($E15="VAM",INDEX(C_Type_Volume!$F:$F,MATCH($D15,C_Type_Volume!$A:$A,0),1),"X")),"")</f>
        <v>62383</v>
      </c>
      <c r="BE15" s="19">
        <f>IFERROR(IF($E15="REC",INDEX(A_Type_Volume!$G:$G,MATCH($D15,A_Type_Volume!$A:$A,0),1),IF($E15="VAM",INDEX(C_Type_Volume!$G:$G,MATCH($D15,C_Type_Volume!$A:$A,0),1),"X")),"")</f>
        <v>57586</v>
      </c>
      <c r="BF15" s="19">
        <f>IFERROR(IF($E15="REC",INDEX(A_Type_Volume!$H:$H,MATCH($D15,A_Type_Volume!$A:$A,0),1),IF($E15="VAM",INDEX(C_Type_Volume!$H:$H,MATCH($D15,C_Type_Volume!$A:$A,0),1),"X")),"")</f>
        <v>57985</v>
      </c>
      <c r="BG15" s="19">
        <f>IFERROR(IF($E15="REC",INDEX(A_Type_Volume!$I:$I,MATCH($D15,A_Type_Volume!$A:$A,0),1),IF($E15="VAM",INDEX(C_Type_Volume!$I:$I,MATCH($D15,C_Type_Volume!$A:$A,0),1),"X")),"")</f>
        <v>45367</v>
      </c>
      <c r="BH15" s="19">
        <f>IFERROR(IF($E15="REC",INDEX(A_Type_Volume!$J:$J,MATCH($D15,A_Type_Volume!$A:$A,0),1),IF($E15="VAM",INDEX(C_Type_Volume!$J:$J,MATCH($D15,C_Type_Volume!$A:$A,0),1),"X")),"")</f>
        <v>52938</v>
      </c>
      <c r="BI15" s="19">
        <f>IFERROR(IF($E15="REC",INDEX(A_Type_Volume!$K:$K,MATCH($D15,A_Type_Volume!$A:$A,0),1),IF($E15="VAM",INDEX(C_Type_Volume!$K:$K,MATCH($D15,C_Type_Volume!$A:$A,0),1),"X")),"")</f>
        <v>38405</v>
      </c>
      <c r="BJ15" s="19">
        <f>IFERROR(IF($E15="REC",INDEX(A_Type_Volume!$L:$L,MATCH($D15,A_Type_Volume!$A:$A,0),1),IF($E15="VAM",INDEX(C_Type_Volume!$L:$L,MATCH($D15,C_Type_Volume!$A:$A,0),1),"X")),"")</f>
        <v>33881</v>
      </c>
      <c r="BK15" s="19">
        <f>IFERROR(IF($E15="REC",INDEX(A_Type_Volume!M:M,MATCH($D15,A_Type_Volume!$A:$A,0),1),IF($E15="VAM",INDEX(C_Type_Volume!M:M,MATCH($D15,C_Type_Volume!$A:$A,0),1),"X")),"")</f>
        <v>37969</v>
      </c>
      <c r="BL15" s="38">
        <f>SUM(Table1[[#This Row],[Jan_AVF]:[Dec_AVF]])</f>
        <v>603778</v>
      </c>
      <c r="BM15" s="16">
        <f t="shared" si="40"/>
        <v>1222.8636894653018</v>
      </c>
      <c r="BN15" s="16">
        <f t="shared" si="41"/>
        <v>2037.8219816080541</v>
      </c>
      <c r="BO15" s="16">
        <f t="shared" si="42"/>
        <v>2270.1118634473123</v>
      </c>
      <c r="BP15" s="16">
        <f t="shared" si="43"/>
        <v>1877.9266122680247</v>
      </c>
      <c r="BQ15" s="16">
        <f t="shared" si="44"/>
        <v>2127.2665441542044</v>
      </c>
      <c r="BR15" s="16">
        <f t="shared" si="45"/>
        <v>1963.6883640040396</v>
      </c>
      <c r="BS15" s="16">
        <f t="shared" si="46"/>
        <v>1977.2943039414829</v>
      </c>
      <c r="BT15" s="16">
        <f t="shared" si="47"/>
        <v>1547.0192409573726</v>
      </c>
      <c r="BU15" s="16">
        <f t="shared" si="48"/>
        <v>1805.1910987678577</v>
      </c>
      <c r="BV15" s="16">
        <f t="shared" si="49"/>
        <v>1309.6143441040381</v>
      </c>
      <c r="BW15" s="16">
        <f t="shared" si="50"/>
        <v>1155.3454912794928</v>
      </c>
      <c r="BX15" s="16">
        <f t="shared" si="51"/>
        <v>1294.7467004631226</v>
      </c>
      <c r="BY15" s="10">
        <f t="shared" si="17"/>
        <v>5530.7975345206687</v>
      </c>
      <c r="BZ15" s="10">
        <f t="shared" si="18"/>
        <v>5968.8815204262683</v>
      </c>
      <c r="CA15" s="10">
        <f t="shared" si="19"/>
        <v>5329.5046436667135</v>
      </c>
      <c r="CB15" s="10">
        <f t="shared" si="20"/>
        <v>3759.7065358466534</v>
      </c>
      <c r="CC15" s="10">
        <f>IFERROR(Table1[[#This Row],[Labor
Saving]]*Table1[[#This Row],[Annual Volume]],"")</f>
        <v>12390.493854546297</v>
      </c>
      <c r="CD15" s="10">
        <f>IFERROR(Table1[[#This Row],[Annual Volume]]*Table1[[#This Row],[Yield
Saving]],"")</f>
        <v>0</v>
      </c>
      <c r="CE15" s="10">
        <f>IFERROR(Table1[[#This Row],[Annual Volume]]*Table1[[#This Row],[Material
Saving]],"")</f>
        <v>8198.3963799140074</v>
      </c>
      <c r="CF15" s="10">
        <f>IFERROR(Table1[[#This Row],[OH
Saving]]*Table1[[#This Row],[Annual Volume]],"")</f>
        <v>0</v>
      </c>
      <c r="CG15" s="10">
        <f>SUM(Table1[[#This Row],[Labor_ASV]:[OH_ASV]])</f>
        <v>20588.890234460305</v>
      </c>
    </row>
    <row r="16" spans="1:85" x14ac:dyDescent="0.3">
      <c r="A16" t="str">
        <f>Table1[[#This Row],[Project Name]]&amp;Table1[[#This Row],[Part Number]]</f>
        <v>Pt Target Supplier YR47</v>
      </c>
      <c r="B16" t="str">
        <f>IFERROR(Table1[[#This Row],[Project Number]]&amp;Table1[[#This Row],[Part Number]],"")</f>
        <v>AME25-007R47</v>
      </c>
      <c r="C16" s="22" t="s">
        <v>67</v>
      </c>
      <c r="D16" s="24" t="s">
        <v>285</v>
      </c>
      <c r="E16" s="25" t="s">
        <v>58</v>
      </c>
      <c r="F16" s="6">
        <f>INDEX(Proj_Reg!G:G,MATCH($C16,Proj_Reg!$B:$B,0),1)</f>
        <v>46054</v>
      </c>
      <c r="G16" s="6">
        <f>INDEX(Proj_Reg!H:H,MATCH($C16,Proj_Reg!$B:$B,0),1)</f>
        <v>46388</v>
      </c>
      <c r="H16" s="6" t="str">
        <f>IF(INDEX(Proj_Reg!C:C,MATCH($C16,Proj_Reg!$B:$B,0),1)=0,"",INDEX(Proj_Reg!C:C,MATCH($C16,Proj_Reg!$B:$B,0),1))</f>
        <v>Sputtering</v>
      </c>
      <c r="I16" s="6" t="str">
        <f>IF(INDEX(Proj_Reg!D:D,MATCH($C16,Proj_Reg!$B:$B,0),1)=0,"",INDEX(Proj_Reg!D:D,MATCH($C16,Proj_Reg!$B:$B,0),1))</f>
        <v>XWP</v>
      </c>
      <c r="J16" s="6" t="str">
        <f>INDEX(Proj_Reg!E:E,MATCH($C16,Proj_Reg!$B:$B,0),1)</f>
        <v>Pt Target Supplier Y</v>
      </c>
      <c r="K16" s="21">
        <v>3.0828064799999992E-2</v>
      </c>
      <c r="L16" s="21">
        <v>0</v>
      </c>
      <c r="M16" s="21">
        <v>1.0922303015129996E-2</v>
      </c>
      <c r="N16" s="21">
        <v>0</v>
      </c>
      <c r="O16" s="11">
        <f>SUM(Table1[[#This Row],[Labor
Saving]:[OH
Saving]])</f>
        <v>4.1750367815129988E-2</v>
      </c>
      <c r="Q16" s="40">
        <f t="shared" si="21"/>
        <v>0</v>
      </c>
      <c r="R16" s="40">
        <f t="shared" si="0"/>
        <v>0</v>
      </c>
      <c r="S16" s="40">
        <f t="shared" si="1"/>
        <v>15790</v>
      </c>
      <c r="T16" s="40">
        <f t="shared" si="2"/>
        <v>28994</v>
      </c>
      <c r="U16" s="40">
        <f t="shared" si="3"/>
        <v>18676</v>
      </c>
      <c r="V16" s="40">
        <f t="shared" si="4"/>
        <v>33095</v>
      </c>
      <c r="W16" s="40">
        <f t="shared" si="5"/>
        <v>16926</v>
      </c>
      <c r="X16" s="40">
        <f t="shared" si="6"/>
        <v>16661</v>
      </c>
      <c r="Y16" s="40">
        <f t="shared" si="7"/>
        <v>20743</v>
      </c>
      <c r="Z16" s="40">
        <f t="shared" si="8"/>
        <v>10195</v>
      </c>
      <c r="AA16" s="40">
        <f t="shared" si="9"/>
        <v>9521</v>
      </c>
      <c r="AB16" s="40">
        <f t="shared" si="10"/>
        <v>6818</v>
      </c>
      <c r="AC16" s="37">
        <f>SUM(Table1[[#This Row],[Jan]:[Dec]])</f>
        <v>177419</v>
      </c>
      <c r="AD16" s="15">
        <f t="shared" si="22"/>
        <v>0</v>
      </c>
      <c r="AE16" s="15">
        <f t="shared" si="23"/>
        <v>0</v>
      </c>
      <c r="AF16" s="15">
        <f t="shared" si="24"/>
        <v>659.23830780090248</v>
      </c>
      <c r="AG16" s="15">
        <f t="shared" si="25"/>
        <v>1210.5101644318788</v>
      </c>
      <c r="AH16" s="15">
        <f t="shared" si="26"/>
        <v>779.72986931536764</v>
      </c>
      <c r="AI16" s="15">
        <f t="shared" si="27"/>
        <v>1381.728422841727</v>
      </c>
      <c r="AJ16" s="15">
        <f t="shared" si="28"/>
        <v>706.66672563889017</v>
      </c>
      <c r="AK16" s="15">
        <f t="shared" si="29"/>
        <v>695.6028781678807</v>
      </c>
      <c r="AL16" s="15">
        <f t="shared" si="30"/>
        <v>866.02787958924137</v>
      </c>
      <c r="AM16" s="15">
        <f t="shared" si="31"/>
        <v>425.64499987525022</v>
      </c>
      <c r="AN16" s="15">
        <f t="shared" si="32"/>
        <v>397.50525196785259</v>
      </c>
      <c r="AO16" s="15">
        <f t="shared" si="33"/>
        <v>284.65400776355625</v>
      </c>
      <c r="AP16" s="10">
        <f t="shared" si="34"/>
        <v>659.23830780090248</v>
      </c>
      <c r="AQ16" s="10">
        <f t="shared" si="35"/>
        <v>3371.9684565889734</v>
      </c>
      <c r="AR16" s="10">
        <f t="shared" si="36"/>
        <v>2268.2974833960125</v>
      </c>
      <c r="AS16" s="10">
        <f t="shared" si="37"/>
        <v>1107.8042596066589</v>
      </c>
      <c r="AT16" s="10" t="b">
        <f t="shared" si="38"/>
        <v>1</v>
      </c>
      <c r="AU16" s="10">
        <f t="shared" si="12"/>
        <v>5469.4844287511987</v>
      </c>
      <c r="AV16" s="10">
        <f t="shared" si="13"/>
        <v>0</v>
      </c>
      <c r="AW16" s="10">
        <f t="shared" si="14"/>
        <v>1937.8240786413487</v>
      </c>
      <c r="AX16" s="10">
        <f t="shared" si="15"/>
        <v>0</v>
      </c>
      <c r="AY16" s="10">
        <f t="shared" si="39"/>
        <v>7407.3085073925477</v>
      </c>
      <c r="AZ16" s="19">
        <f>IFERROR(IF($E16="REC",INDEX(A_Type_Volume!$B:$B,MATCH($D16,A_Type_Volume!$A:$A,0),1),IF($E16="VAM",INDEX(C_Type_Volume!$B:$B,MATCH($D16,C_Type_Volume!$A:$A,0),1),"X")),"")</f>
        <v>60514</v>
      </c>
      <c r="BA16" s="19">
        <f>IFERROR(IF($E16="REC",INDEX(A_Type_Volume!$C:$C,MATCH($D16,A_Type_Volume!$A:$A,0),1),IF($E16="VAM",INDEX(C_Type_Volume!$C:$C,MATCH($D16,C_Type_Volume!$A:$A,0),1),"X")),"")</f>
        <v>0</v>
      </c>
      <c r="BB16" s="19">
        <f>IFERROR(IF($E16="REC",INDEX(A_Type_Volume!$D:$D,MATCH($D16,A_Type_Volume!$A:$A,0),1),IF($E16="VAM",INDEX(C_Type_Volume!$D:$D,MATCH($D16,C_Type_Volume!$A:$A,0),1),"X")),"")</f>
        <v>15790</v>
      </c>
      <c r="BC16" s="19">
        <f>IFERROR(IF($E16="REC",INDEX(A_Type_Volume!$E:$E,MATCH($D16,A_Type_Volume!$A:$A,0),1),IF($E16="VAM",INDEX(C_Type_Volume!$E:$E,MATCH($D16,C_Type_Volume!$A:$A,0),1),"X")),"")</f>
        <v>28994</v>
      </c>
      <c r="BD16" s="19">
        <f>IFERROR(IF($E16="REC",INDEX(A_Type_Volume!$F:$F,MATCH($D16,A_Type_Volume!$A:$A,0),1),IF($E16="VAM",INDEX(C_Type_Volume!$F:$F,MATCH($D16,C_Type_Volume!$A:$A,0),1),"X")),"")</f>
        <v>18676</v>
      </c>
      <c r="BE16" s="19">
        <f>IFERROR(IF($E16="REC",INDEX(A_Type_Volume!$G:$G,MATCH($D16,A_Type_Volume!$A:$A,0),1),IF($E16="VAM",INDEX(C_Type_Volume!$G:$G,MATCH($D16,C_Type_Volume!$A:$A,0),1),"X")),"")</f>
        <v>33095</v>
      </c>
      <c r="BF16" s="19">
        <f>IFERROR(IF($E16="REC",INDEX(A_Type_Volume!$H:$H,MATCH($D16,A_Type_Volume!$A:$A,0),1),IF($E16="VAM",INDEX(C_Type_Volume!$H:$H,MATCH($D16,C_Type_Volume!$A:$A,0),1),"X")),"")</f>
        <v>16926</v>
      </c>
      <c r="BG16" s="19">
        <f>IFERROR(IF($E16="REC",INDEX(A_Type_Volume!$I:$I,MATCH($D16,A_Type_Volume!$A:$A,0),1),IF($E16="VAM",INDEX(C_Type_Volume!$I:$I,MATCH($D16,C_Type_Volume!$A:$A,0),1),"X")),"")</f>
        <v>16661</v>
      </c>
      <c r="BH16" s="19">
        <f>IFERROR(IF($E16="REC",INDEX(A_Type_Volume!$J:$J,MATCH($D16,A_Type_Volume!$A:$A,0),1),IF($E16="VAM",INDEX(C_Type_Volume!$J:$J,MATCH($D16,C_Type_Volume!$A:$A,0),1),"X")),"")</f>
        <v>20743</v>
      </c>
      <c r="BI16" s="19">
        <f>IFERROR(IF($E16="REC",INDEX(A_Type_Volume!$K:$K,MATCH($D16,A_Type_Volume!$A:$A,0),1),IF($E16="VAM",INDEX(C_Type_Volume!$K:$K,MATCH($D16,C_Type_Volume!$A:$A,0),1),"X")),"")</f>
        <v>10195</v>
      </c>
      <c r="BJ16" s="19">
        <f>IFERROR(IF($E16="REC",INDEX(A_Type_Volume!$L:$L,MATCH($D16,A_Type_Volume!$A:$A,0),1),IF($E16="VAM",INDEX(C_Type_Volume!$L:$L,MATCH($D16,C_Type_Volume!$A:$A,0),1),"X")),"")</f>
        <v>9521</v>
      </c>
      <c r="BK16" s="19">
        <f>IFERROR(IF($E16="REC",INDEX(A_Type_Volume!M:M,MATCH($D16,A_Type_Volume!$A:$A,0),1),IF($E16="VAM",INDEX(C_Type_Volume!M:M,MATCH($D16,C_Type_Volume!$A:$A,0),1),"X")),"")</f>
        <v>6818</v>
      </c>
      <c r="BL16" s="38">
        <f>SUM(Table1[[#This Row],[Jan_AVF]:[Dec_AVF]])</f>
        <v>237933</v>
      </c>
      <c r="BM16" s="16">
        <f t="shared" si="40"/>
        <v>2526.4817579647761</v>
      </c>
      <c r="BN16" s="16">
        <f t="shared" si="41"/>
        <v>0</v>
      </c>
      <c r="BO16" s="16">
        <f t="shared" si="42"/>
        <v>659.23830780090248</v>
      </c>
      <c r="BP16" s="16">
        <f t="shared" si="43"/>
        <v>1210.5101644318788</v>
      </c>
      <c r="BQ16" s="16">
        <f t="shared" si="44"/>
        <v>779.72986931536764</v>
      </c>
      <c r="BR16" s="16">
        <f t="shared" si="45"/>
        <v>1381.728422841727</v>
      </c>
      <c r="BS16" s="16">
        <f t="shared" si="46"/>
        <v>706.66672563889017</v>
      </c>
      <c r="BT16" s="16">
        <f t="shared" si="47"/>
        <v>695.6028781678807</v>
      </c>
      <c r="BU16" s="16">
        <f t="shared" si="48"/>
        <v>866.02787958924137</v>
      </c>
      <c r="BV16" s="16">
        <f t="shared" si="49"/>
        <v>425.64499987525022</v>
      </c>
      <c r="BW16" s="16">
        <f t="shared" si="50"/>
        <v>397.50525196785259</v>
      </c>
      <c r="BX16" s="16">
        <f t="shared" si="51"/>
        <v>284.65400776355625</v>
      </c>
      <c r="BY16" s="10">
        <f t="shared" si="17"/>
        <v>3185.7200657656786</v>
      </c>
      <c r="BZ16" s="10">
        <f t="shared" si="18"/>
        <v>3371.9684565889734</v>
      </c>
      <c r="CA16" s="10">
        <f t="shared" si="19"/>
        <v>2268.2974833960125</v>
      </c>
      <c r="CB16" s="10">
        <f t="shared" si="20"/>
        <v>1107.8042596066589</v>
      </c>
      <c r="CC16" s="10">
        <f>IFERROR(Table1[[#This Row],[Labor
Saving]]*Table1[[#This Row],[Annual Volume]],"")</f>
        <v>7335.0139420583982</v>
      </c>
      <c r="CD16" s="10">
        <f>IFERROR(Table1[[#This Row],[Annual Volume]]*Table1[[#This Row],[Yield
Saving]],"")</f>
        <v>0</v>
      </c>
      <c r="CE16" s="10">
        <f>IFERROR(Table1[[#This Row],[Annual Volume]]*Table1[[#This Row],[Material
Saving]],"")</f>
        <v>2598.7763232989255</v>
      </c>
      <c r="CF16" s="10">
        <f>IFERROR(Table1[[#This Row],[OH
Saving]]*Table1[[#This Row],[Annual Volume]],"")</f>
        <v>0</v>
      </c>
      <c r="CG16" s="10">
        <f>SUM(Table1[[#This Row],[Labor_ASV]:[OH_ASV]])</f>
        <v>9933.7902653573237</v>
      </c>
    </row>
    <row r="17" spans="1:85" x14ac:dyDescent="0.3">
      <c r="A17" t="str">
        <f>Table1[[#This Row],[Project Name]]&amp;Table1[[#This Row],[Part Number]]</f>
        <v>Pt Target Supplier YR48</v>
      </c>
      <c r="B17" t="str">
        <f>IFERROR(Table1[[#This Row],[Project Number]]&amp;Table1[[#This Row],[Part Number]],"")</f>
        <v>AME25-007R48</v>
      </c>
      <c r="C17" s="22" t="s">
        <v>67</v>
      </c>
      <c r="D17" s="24" t="s">
        <v>286</v>
      </c>
      <c r="E17" s="25" t="s">
        <v>58</v>
      </c>
      <c r="F17" s="6">
        <f>INDEX(Proj_Reg!G:G,MATCH($C17,Proj_Reg!$B:$B,0),1)</f>
        <v>46054</v>
      </c>
      <c r="G17" s="6">
        <f>INDEX(Proj_Reg!H:H,MATCH($C17,Proj_Reg!$B:$B,0),1)</f>
        <v>46388</v>
      </c>
      <c r="H17" s="6" t="str">
        <f>IF(INDEX(Proj_Reg!C:C,MATCH($C17,Proj_Reg!$B:$B,0),1)=0,"",INDEX(Proj_Reg!C:C,MATCH($C17,Proj_Reg!$B:$B,0),1))</f>
        <v>Sputtering</v>
      </c>
      <c r="I17" s="6" t="str">
        <f>IF(INDEX(Proj_Reg!D:D,MATCH($C17,Proj_Reg!$B:$B,0),1)=0,"",INDEX(Proj_Reg!D:D,MATCH($C17,Proj_Reg!$B:$B,0),1))</f>
        <v>XWP</v>
      </c>
      <c r="J17" s="6" t="str">
        <f>INDEX(Proj_Reg!E:E,MATCH($C17,Proj_Reg!$B:$B,0),1)</f>
        <v>Pt Target Supplier Y</v>
      </c>
      <c r="K17" s="21">
        <v>2.9034926399999994E-2</v>
      </c>
      <c r="L17" s="21">
        <v>0</v>
      </c>
      <c r="M17" s="21">
        <v>1.0922303015129996E-2</v>
      </c>
      <c r="N17" s="21">
        <v>0</v>
      </c>
      <c r="O17" s="11">
        <f>SUM(Table1[[#This Row],[Labor
Saving]:[OH
Saving]])</f>
        <v>3.995722941512999E-2</v>
      </c>
      <c r="Q17" s="40">
        <f t="shared" si="21"/>
        <v>0</v>
      </c>
      <c r="R17" s="40">
        <f t="shared" si="0"/>
        <v>0</v>
      </c>
      <c r="S17" s="40">
        <f t="shared" si="1"/>
        <v>15790</v>
      </c>
      <c r="T17" s="40">
        <f t="shared" si="2"/>
        <v>28994</v>
      </c>
      <c r="U17" s="40">
        <f t="shared" si="3"/>
        <v>18676</v>
      </c>
      <c r="V17" s="40">
        <f t="shared" si="4"/>
        <v>33095</v>
      </c>
      <c r="W17" s="40">
        <f t="shared" si="5"/>
        <v>16926</v>
      </c>
      <c r="X17" s="40">
        <f t="shared" si="6"/>
        <v>16661</v>
      </c>
      <c r="Y17" s="40">
        <f t="shared" si="7"/>
        <v>20743</v>
      </c>
      <c r="Z17" s="40">
        <f t="shared" si="8"/>
        <v>10195</v>
      </c>
      <c r="AA17" s="40">
        <f t="shared" si="9"/>
        <v>9521</v>
      </c>
      <c r="AB17" s="40">
        <f t="shared" si="10"/>
        <v>6818</v>
      </c>
      <c r="AC17" s="37">
        <f>SUM(Table1[[#This Row],[Jan]:[Dec]])</f>
        <v>177419</v>
      </c>
      <c r="AD17" s="15">
        <f t="shared" si="22"/>
        <v>0</v>
      </c>
      <c r="AE17" s="15">
        <f t="shared" si="23"/>
        <v>0</v>
      </c>
      <c r="AF17" s="15">
        <f t="shared" si="24"/>
        <v>630.92465246490258</v>
      </c>
      <c r="AG17" s="15">
        <f t="shared" si="25"/>
        <v>1158.5199096622789</v>
      </c>
      <c r="AH17" s="15">
        <f t="shared" si="26"/>
        <v>746.24121655696774</v>
      </c>
      <c r="AI17" s="15">
        <f t="shared" si="27"/>
        <v>1322.3845074937269</v>
      </c>
      <c r="AJ17" s="15">
        <f t="shared" si="28"/>
        <v>676.31606508049026</v>
      </c>
      <c r="AK17" s="15">
        <f t="shared" si="29"/>
        <v>665.72739928548071</v>
      </c>
      <c r="AL17" s="15">
        <f t="shared" si="30"/>
        <v>828.83280975804132</v>
      </c>
      <c r="AM17" s="15">
        <f t="shared" si="31"/>
        <v>407.36395388725026</v>
      </c>
      <c r="AN17" s="15">
        <f t="shared" si="32"/>
        <v>380.43278126145265</v>
      </c>
      <c r="AO17" s="15">
        <f t="shared" si="33"/>
        <v>272.42839015235626</v>
      </c>
      <c r="AP17" s="10">
        <f t="shared" si="34"/>
        <v>630.92465246490258</v>
      </c>
      <c r="AQ17" s="10">
        <f t="shared" si="35"/>
        <v>3227.1456337129739</v>
      </c>
      <c r="AR17" s="10">
        <f t="shared" si="36"/>
        <v>2170.8762741240125</v>
      </c>
      <c r="AS17" s="10">
        <f t="shared" si="37"/>
        <v>1060.2251253010593</v>
      </c>
      <c r="AT17" s="10" t="b">
        <f t="shared" si="38"/>
        <v>1</v>
      </c>
      <c r="AU17" s="10">
        <f t="shared" si="12"/>
        <v>5151.347606961599</v>
      </c>
      <c r="AV17" s="10">
        <f t="shared" si="13"/>
        <v>0</v>
      </c>
      <c r="AW17" s="10">
        <f t="shared" si="14"/>
        <v>1937.8240786413487</v>
      </c>
      <c r="AX17" s="10">
        <f t="shared" si="15"/>
        <v>0</v>
      </c>
      <c r="AY17" s="10">
        <f t="shared" si="39"/>
        <v>7089.1716856029479</v>
      </c>
      <c r="AZ17" s="19">
        <f>IFERROR(IF($E17="REC",INDEX(A_Type_Volume!$B:$B,MATCH($D17,A_Type_Volume!$A:$A,0),1),IF($E17="VAM",INDEX(C_Type_Volume!$B:$B,MATCH($D17,C_Type_Volume!$A:$A,0),1),"X")),"")</f>
        <v>60514</v>
      </c>
      <c r="BA17" s="19">
        <f>IFERROR(IF($E17="REC",INDEX(A_Type_Volume!$C:$C,MATCH($D17,A_Type_Volume!$A:$A,0),1),IF($E17="VAM",INDEX(C_Type_Volume!$C:$C,MATCH($D17,C_Type_Volume!$A:$A,0),1),"X")),"")</f>
        <v>0</v>
      </c>
      <c r="BB17" s="19">
        <f>IFERROR(IF($E17="REC",INDEX(A_Type_Volume!$D:$D,MATCH($D17,A_Type_Volume!$A:$A,0),1),IF($E17="VAM",INDEX(C_Type_Volume!$D:$D,MATCH($D17,C_Type_Volume!$A:$A,0),1),"X")),"")</f>
        <v>15790</v>
      </c>
      <c r="BC17" s="19">
        <f>IFERROR(IF($E17="REC",INDEX(A_Type_Volume!$E:$E,MATCH($D17,A_Type_Volume!$A:$A,0),1),IF($E17="VAM",INDEX(C_Type_Volume!$E:$E,MATCH($D17,C_Type_Volume!$A:$A,0),1),"X")),"")</f>
        <v>28994</v>
      </c>
      <c r="BD17" s="19">
        <f>IFERROR(IF($E17="REC",INDEX(A_Type_Volume!$F:$F,MATCH($D17,A_Type_Volume!$A:$A,0),1),IF($E17="VAM",INDEX(C_Type_Volume!$F:$F,MATCH($D17,C_Type_Volume!$A:$A,0),1),"X")),"")</f>
        <v>18676</v>
      </c>
      <c r="BE17" s="19">
        <f>IFERROR(IF($E17="REC",INDEX(A_Type_Volume!$G:$G,MATCH($D17,A_Type_Volume!$A:$A,0),1),IF($E17="VAM",INDEX(C_Type_Volume!$G:$G,MATCH($D17,C_Type_Volume!$A:$A,0),1),"X")),"")</f>
        <v>33095</v>
      </c>
      <c r="BF17" s="19">
        <f>IFERROR(IF($E17="REC",INDEX(A_Type_Volume!$H:$H,MATCH($D17,A_Type_Volume!$A:$A,0),1),IF($E17="VAM",INDEX(C_Type_Volume!$H:$H,MATCH($D17,C_Type_Volume!$A:$A,0),1),"X")),"")</f>
        <v>16926</v>
      </c>
      <c r="BG17" s="19">
        <f>IFERROR(IF($E17="REC",INDEX(A_Type_Volume!$I:$I,MATCH($D17,A_Type_Volume!$A:$A,0),1),IF($E17="VAM",INDEX(C_Type_Volume!$I:$I,MATCH($D17,C_Type_Volume!$A:$A,0),1),"X")),"")</f>
        <v>16661</v>
      </c>
      <c r="BH17" s="19">
        <f>IFERROR(IF($E17="REC",INDEX(A_Type_Volume!$J:$J,MATCH($D17,A_Type_Volume!$A:$A,0),1),IF($E17="VAM",INDEX(C_Type_Volume!$J:$J,MATCH($D17,C_Type_Volume!$A:$A,0),1),"X")),"")</f>
        <v>20743</v>
      </c>
      <c r="BI17" s="19">
        <f>IFERROR(IF($E17="REC",INDEX(A_Type_Volume!$K:$K,MATCH($D17,A_Type_Volume!$A:$A,0),1),IF($E17="VAM",INDEX(C_Type_Volume!$K:$K,MATCH($D17,C_Type_Volume!$A:$A,0),1),"X")),"")</f>
        <v>10195</v>
      </c>
      <c r="BJ17" s="19">
        <f>IFERROR(IF($E17="REC",INDEX(A_Type_Volume!$L:$L,MATCH($D17,A_Type_Volume!$A:$A,0),1),IF($E17="VAM",INDEX(C_Type_Volume!$L:$L,MATCH($D17,C_Type_Volume!$A:$A,0),1),"X")),"")</f>
        <v>9521</v>
      </c>
      <c r="BK17" s="19">
        <f>IFERROR(IF($E17="REC",INDEX(A_Type_Volume!M:M,MATCH($D17,A_Type_Volume!$A:$A,0),1),IF($E17="VAM",INDEX(C_Type_Volume!M:M,MATCH($D17,C_Type_Volume!$A:$A,0),1),"X")),"")</f>
        <v>6818</v>
      </c>
      <c r="BL17" s="38">
        <f>SUM(Table1[[#This Row],[Jan_AVF]:[Dec_AVF]])</f>
        <v>237933</v>
      </c>
      <c r="BM17" s="16">
        <f t="shared" si="40"/>
        <v>2417.9717808271762</v>
      </c>
      <c r="BN17" s="16">
        <f t="shared" si="41"/>
        <v>0</v>
      </c>
      <c r="BO17" s="16">
        <f t="shared" si="42"/>
        <v>630.92465246490258</v>
      </c>
      <c r="BP17" s="16">
        <f t="shared" si="43"/>
        <v>1158.5199096622789</v>
      </c>
      <c r="BQ17" s="16">
        <f t="shared" si="44"/>
        <v>746.24121655696774</v>
      </c>
      <c r="BR17" s="16">
        <f t="shared" si="45"/>
        <v>1322.3845074937269</v>
      </c>
      <c r="BS17" s="16">
        <f t="shared" si="46"/>
        <v>676.31606508049026</v>
      </c>
      <c r="BT17" s="16">
        <f t="shared" si="47"/>
        <v>665.72739928548071</v>
      </c>
      <c r="BU17" s="16">
        <f t="shared" si="48"/>
        <v>828.83280975804132</v>
      </c>
      <c r="BV17" s="16">
        <f t="shared" si="49"/>
        <v>407.36395388725026</v>
      </c>
      <c r="BW17" s="16">
        <f t="shared" si="50"/>
        <v>380.43278126145265</v>
      </c>
      <c r="BX17" s="16">
        <f t="shared" si="51"/>
        <v>272.42839015235626</v>
      </c>
      <c r="BY17" s="10">
        <f t="shared" si="17"/>
        <v>3048.8964332920787</v>
      </c>
      <c r="BZ17" s="10">
        <f t="shared" si="18"/>
        <v>3227.1456337129739</v>
      </c>
      <c r="CA17" s="10">
        <f t="shared" si="19"/>
        <v>2170.8762741240125</v>
      </c>
      <c r="CB17" s="10">
        <f t="shared" si="20"/>
        <v>1060.2251253010593</v>
      </c>
      <c r="CC17" s="10">
        <f>IFERROR(Table1[[#This Row],[Labor
Saving]]*Table1[[#This Row],[Annual Volume]],"")</f>
        <v>6908.3671431311986</v>
      </c>
      <c r="CD17" s="10">
        <f>IFERROR(Table1[[#This Row],[Annual Volume]]*Table1[[#This Row],[Yield
Saving]],"")</f>
        <v>0</v>
      </c>
      <c r="CE17" s="10">
        <f>IFERROR(Table1[[#This Row],[Annual Volume]]*Table1[[#This Row],[Material
Saving]],"")</f>
        <v>2598.7763232989255</v>
      </c>
      <c r="CF17" s="10">
        <f>IFERROR(Table1[[#This Row],[OH
Saving]]*Table1[[#This Row],[Annual Volume]],"")</f>
        <v>0</v>
      </c>
      <c r="CG17" s="10">
        <f>SUM(Table1[[#This Row],[Labor_ASV]:[OH_ASV]])</f>
        <v>9507.1434664301232</v>
      </c>
    </row>
    <row r="18" spans="1:85" x14ac:dyDescent="0.3">
      <c r="A18" t="str">
        <f>Table1[[#This Row],[Project Name]]&amp;Table1[[#This Row],[Part Number]]</f>
        <v>Pt Target Supplier XR44</v>
      </c>
      <c r="B18" t="str">
        <f>IFERROR(Table1[[#This Row],[Project Number]]&amp;Table1[[#This Row],[Part Number]],"")</f>
        <v>AME25-008R44</v>
      </c>
      <c r="C18" s="22" t="s">
        <v>68</v>
      </c>
      <c r="D18" s="24" t="s">
        <v>282</v>
      </c>
      <c r="E18" s="25" t="s">
        <v>58</v>
      </c>
      <c r="F18" s="6">
        <f>INDEX(Proj_Reg!G:G,MATCH($C18,Proj_Reg!$B:$B,0),1)</f>
        <v>45931</v>
      </c>
      <c r="G18" s="6">
        <f>INDEX(Proj_Reg!H:H,MATCH($C18,Proj_Reg!$B:$B,0),1)</f>
        <v>46266</v>
      </c>
      <c r="H18" s="6" t="str">
        <f>IF(INDEX(Proj_Reg!C:C,MATCH($C18,Proj_Reg!$B:$B,0),1)=0,"",INDEX(Proj_Reg!C:C,MATCH($C18,Proj_Reg!$B:$B,0),1))</f>
        <v>Sputtering</v>
      </c>
      <c r="I18" s="6" t="str">
        <f>IF(INDEX(Proj_Reg!D:D,MATCH($C18,Proj_Reg!$B:$B,0),1)=0,"",INDEX(Proj_Reg!D:D,MATCH($C18,Proj_Reg!$B:$B,0),1))</f>
        <v>XWP</v>
      </c>
      <c r="J18" s="6" t="str">
        <f>INDEX(Proj_Reg!E:E,MATCH($C18,Proj_Reg!$B:$B,0),1)</f>
        <v>Pt Target Supplier X</v>
      </c>
      <c r="K18" s="21">
        <v>2.2099334705882358E-2</v>
      </c>
      <c r="L18" s="21">
        <v>0</v>
      </c>
      <c r="M18" s="21">
        <v>9.235585654860011E-3</v>
      </c>
      <c r="N18" s="21">
        <v>0</v>
      </c>
      <c r="O18" s="11">
        <f>SUM(Table1[[#This Row],[Labor
Saving]:[OH
Saving]])</f>
        <v>3.1334920360742369E-2</v>
      </c>
      <c r="Q18" s="40">
        <f t="shared" si="21"/>
        <v>539275</v>
      </c>
      <c r="R18" s="40">
        <f t="shared" si="0"/>
        <v>719052</v>
      </c>
      <c r="S18" s="40">
        <f t="shared" si="1"/>
        <v>639982</v>
      </c>
      <c r="T18" s="40">
        <f t="shared" si="2"/>
        <v>555941</v>
      </c>
      <c r="U18" s="40">
        <f t="shared" si="3"/>
        <v>616481</v>
      </c>
      <c r="V18" s="40">
        <f t="shared" si="4"/>
        <v>615736</v>
      </c>
      <c r="W18" s="40">
        <f t="shared" si="5"/>
        <v>25796</v>
      </c>
      <c r="X18" s="40">
        <f t="shared" si="6"/>
        <v>365380</v>
      </c>
      <c r="Y18" s="40">
        <f t="shared" si="7"/>
        <v>125745</v>
      </c>
      <c r="Z18" s="40">
        <f t="shared" si="8"/>
        <v>0</v>
      </c>
      <c r="AA18" s="40">
        <f t="shared" si="9"/>
        <v>0</v>
      </c>
      <c r="AB18" s="40">
        <f t="shared" si="10"/>
        <v>0</v>
      </c>
      <c r="AC18" s="37">
        <f>SUM(Table1[[#This Row],[Jan]:[Dec]])</f>
        <v>4203388</v>
      </c>
      <c r="AD18" s="15">
        <f t="shared" si="22"/>
        <v>16898.139177539342</v>
      </c>
      <c r="AE18" s="15">
        <f t="shared" si="23"/>
        <v>22531.437155232521</v>
      </c>
      <c r="AF18" s="15">
        <f t="shared" si="24"/>
        <v>20053.785002308621</v>
      </c>
      <c r="AG18" s="15">
        <f t="shared" si="25"/>
        <v>17420.366960271473</v>
      </c>
      <c r="AH18" s="15">
        <f t="shared" si="26"/>
        <v>19317.383038910815</v>
      </c>
      <c r="AI18" s="15">
        <f t="shared" si="27"/>
        <v>19294.038523242063</v>
      </c>
      <c r="AJ18" s="15">
        <f t="shared" si="28"/>
        <v>808.31560562571019</v>
      </c>
      <c r="AK18" s="15">
        <f t="shared" si="29"/>
        <v>11449.153201408046</v>
      </c>
      <c r="AL18" s="15">
        <f t="shared" si="30"/>
        <v>3940.2095607615493</v>
      </c>
      <c r="AM18" s="15">
        <f t="shared" si="31"/>
        <v>0</v>
      </c>
      <c r="AN18" s="15">
        <f t="shared" si="32"/>
        <v>0</v>
      </c>
      <c r="AO18" s="15">
        <f t="shared" si="33"/>
        <v>0</v>
      </c>
      <c r="AP18" s="10">
        <f t="shared" si="34"/>
        <v>59483.361335080481</v>
      </c>
      <c r="AQ18" s="10">
        <f t="shared" si="35"/>
        <v>56031.788522424351</v>
      </c>
      <c r="AR18" s="10">
        <f t="shared" si="36"/>
        <v>16197.678367795306</v>
      </c>
      <c r="AS18" s="10">
        <f t="shared" si="37"/>
        <v>0</v>
      </c>
      <c r="AT18" s="10" t="b">
        <f t="shared" si="38"/>
        <v>1</v>
      </c>
      <c r="AU18" s="10">
        <f t="shared" si="12"/>
        <v>92892.078310689438</v>
      </c>
      <c r="AV18" s="10">
        <f t="shared" si="13"/>
        <v>0</v>
      </c>
      <c r="AW18" s="10">
        <f t="shared" si="14"/>
        <v>38820.749914610715</v>
      </c>
      <c r="AX18" s="10">
        <f t="shared" si="15"/>
        <v>0</v>
      </c>
      <c r="AY18" s="10">
        <f t="shared" si="39"/>
        <v>131712.82822530015</v>
      </c>
      <c r="AZ18" s="19">
        <f>IFERROR(IF($E18="REC",INDEX(A_Type_Volume!$B:$B,MATCH($D18,A_Type_Volume!$A:$A,0),1),IF($E18="VAM",INDEX(C_Type_Volume!$B:$B,MATCH($D18,C_Type_Volume!$A:$A,0),1),"X")),"")</f>
        <v>539275</v>
      </c>
      <c r="BA18" s="19">
        <f>IFERROR(IF($E18="REC",INDEX(A_Type_Volume!$C:$C,MATCH($D18,A_Type_Volume!$A:$A,0),1),IF($E18="VAM",INDEX(C_Type_Volume!$C:$C,MATCH($D18,C_Type_Volume!$A:$A,0),1),"X")),"")</f>
        <v>719052</v>
      </c>
      <c r="BB18" s="19">
        <f>IFERROR(IF($E18="REC",INDEX(A_Type_Volume!$D:$D,MATCH($D18,A_Type_Volume!$A:$A,0),1),IF($E18="VAM",INDEX(C_Type_Volume!$D:$D,MATCH($D18,C_Type_Volume!$A:$A,0),1),"X")),"")</f>
        <v>639982</v>
      </c>
      <c r="BC18" s="19">
        <f>IFERROR(IF($E18="REC",INDEX(A_Type_Volume!$E:$E,MATCH($D18,A_Type_Volume!$A:$A,0),1),IF($E18="VAM",INDEX(C_Type_Volume!$E:$E,MATCH($D18,C_Type_Volume!$A:$A,0),1),"X")),"")</f>
        <v>555941</v>
      </c>
      <c r="BD18" s="19">
        <f>IFERROR(IF($E18="REC",INDEX(A_Type_Volume!$F:$F,MATCH($D18,A_Type_Volume!$A:$A,0),1),IF($E18="VAM",INDEX(C_Type_Volume!$F:$F,MATCH($D18,C_Type_Volume!$A:$A,0),1),"X")),"")</f>
        <v>616481</v>
      </c>
      <c r="BE18" s="19">
        <f>IFERROR(IF($E18="REC",INDEX(A_Type_Volume!$G:$G,MATCH($D18,A_Type_Volume!$A:$A,0),1),IF($E18="VAM",INDEX(C_Type_Volume!$G:$G,MATCH($D18,C_Type_Volume!$A:$A,0),1),"X")),"")</f>
        <v>615736</v>
      </c>
      <c r="BF18" s="19">
        <f>IFERROR(IF($E18="REC",INDEX(A_Type_Volume!$H:$H,MATCH($D18,A_Type_Volume!$A:$A,0),1),IF($E18="VAM",INDEX(C_Type_Volume!$H:$H,MATCH($D18,C_Type_Volume!$A:$A,0),1),"X")),"")</f>
        <v>25796</v>
      </c>
      <c r="BG18" s="19">
        <f>IFERROR(IF($E18="REC",INDEX(A_Type_Volume!$I:$I,MATCH($D18,A_Type_Volume!$A:$A,0),1),IF($E18="VAM",INDEX(C_Type_Volume!$I:$I,MATCH($D18,C_Type_Volume!$A:$A,0),1),"X")),"")</f>
        <v>365380</v>
      </c>
      <c r="BH18" s="19">
        <f>IFERROR(IF($E18="REC",INDEX(A_Type_Volume!$J:$J,MATCH($D18,A_Type_Volume!$A:$A,0),1),IF($E18="VAM",INDEX(C_Type_Volume!$J:$J,MATCH($D18,C_Type_Volume!$A:$A,0),1),"X")),"")</f>
        <v>125745</v>
      </c>
      <c r="BI18" s="19">
        <f>IFERROR(IF($E18="REC",INDEX(A_Type_Volume!$K:$K,MATCH($D18,A_Type_Volume!$A:$A,0),1),IF($E18="VAM",INDEX(C_Type_Volume!$K:$K,MATCH($D18,C_Type_Volume!$A:$A,0),1),"X")),"")</f>
        <v>8645</v>
      </c>
      <c r="BJ18" s="19">
        <f>IFERROR(IF($E18="REC",INDEX(A_Type_Volume!$L:$L,MATCH($D18,A_Type_Volume!$A:$A,0),1),IF($E18="VAM",INDEX(C_Type_Volume!$L:$L,MATCH($D18,C_Type_Volume!$A:$A,0),1),"X")),"")</f>
        <v>7485</v>
      </c>
      <c r="BK18" s="19">
        <f>IFERROR(IF($E18="REC",INDEX(A_Type_Volume!M:M,MATCH($D18,A_Type_Volume!$A:$A,0),1),IF($E18="VAM",INDEX(C_Type_Volume!M:M,MATCH($D18,C_Type_Volume!$A:$A,0),1),"X")),"")</f>
        <v>41465</v>
      </c>
      <c r="BL18" s="38">
        <f>SUM(Table1[[#This Row],[Jan_AVF]:[Dec_AVF]])</f>
        <v>4260983</v>
      </c>
      <c r="BM18" s="16">
        <f t="shared" si="40"/>
        <v>16898.139177539342</v>
      </c>
      <c r="BN18" s="16">
        <f t="shared" si="41"/>
        <v>22531.437155232521</v>
      </c>
      <c r="BO18" s="16">
        <f t="shared" si="42"/>
        <v>20053.785002308621</v>
      </c>
      <c r="BP18" s="16">
        <f t="shared" si="43"/>
        <v>17420.366960271473</v>
      </c>
      <c r="BQ18" s="16">
        <f t="shared" si="44"/>
        <v>19317.383038910815</v>
      </c>
      <c r="BR18" s="16">
        <f t="shared" si="45"/>
        <v>19294.038523242063</v>
      </c>
      <c r="BS18" s="16">
        <f t="shared" si="46"/>
        <v>808.31560562571019</v>
      </c>
      <c r="BT18" s="16">
        <f t="shared" si="47"/>
        <v>11449.153201408046</v>
      </c>
      <c r="BU18" s="16">
        <f t="shared" si="48"/>
        <v>3940.2095607615493</v>
      </c>
      <c r="BV18" s="16">
        <f t="shared" si="49"/>
        <v>270.89038651861779</v>
      </c>
      <c r="BW18" s="16">
        <f t="shared" si="50"/>
        <v>234.54187890015663</v>
      </c>
      <c r="BX18" s="16">
        <f t="shared" si="51"/>
        <v>1299.3024727581824</v>
      </c>
      <c r="BY18" s="10">
        <f t="shared" si="17"/>
        <v>59483.361335080481</v>
      </c>
      <c r="BZ18" s="10">
        <f t="shared" si="18"/>
        <v>56031.788522424351</v>
      </c>
      <c r="CA18" s="10">
        <f t="shared" si="19"/>
        <v>16197.678367795306</v>
      </c>
      <c r="CB18" s="10">
        <f t="shared" si="20"/>
        <v>1804.7347381769569</v>
      </c>
      <c r="CC18" s="10">
        <f>IFERROR(Table1[[#This Row],[Labor
Saving]]*Table1[[#This Row],[Annual Volume]],"")</f>
        <v>94164.889493074719</v>
      </c>
      <c r="CD18" s="10">
        <f>IFERROR(Table1[[#This Row],[Annual Volume]]*Table1[[#This Row],[Yield
Saving]],"")</f>
        <v>0</v>
      </c>
      <c r="CE18" s="10">
        <f>IFERROR(Table1[[#This Row],[Annual Volume]]*Table1[[#This Row],[Material
Saving]],"")</f>
        <v>39352.673470402377</v>
      </c>
      <c r="CF18" s="10">
        <f>IFERROR(Table1[[#This Row],[OH
Saving]]*Table1[[#This Row],[Annual Volume]],"")</f>
        <v>0</v>
      </c>
      <c r="CG18" s="10">
        <f>SUM(Table1[[#This Row],[Labor_ASV]:[OH_ASV]])</f>
        <v>133517.5629634771</v>
      </c>
    </row>
    <row r="19" spans="1:85" x14ac:dyDescent="0.3">
      <c r="A19" t="str">
        <f>Table1[[#This Row],[Project Name]]&amp;Table1[[#This Row],[Part Number]]</f>
        <v>Pt Target Supplier ZR150</v>
      </c>
      <c r="B19" t="str">
        <f>IFERROR(Table1[[#This Row],[Project Number]]&amp;Table1[[#This Row],[Part Number]],"")</f>
        <v>AME25-009R150</v>
      </c>
      <c r="C19" s="22" t="s">
        <v>69</v>
      </c>
      <c r="D19" s="24" t="s">
        <v>388</v>
      </c>
      <c r="E19" s="25" t="s">
        <v>58</v>
      </c>
      <c r="F19" s="6">
        <f>INDEX(Proj_Reg!G:G,MATCH($C19,Proj_Reg!$B:$B,0),1)</f>
        <v>46054</v>
      </c>
      <c r="G19" s="6">
        <f>INDEX(Proj_Reg!H:H,MATCH($C19,Proj_Reg!$B:$B,0),1)</f>
        <v>46388</v>
      </c>
      <c r="H19" s="6" t="str">
        <f>IF(INDEX(Proj_Reg!C:C,MATCH($C19,Proj_Reg!$B:$B,0),1)=0,"",INDEX(Proj_Reg!C:C,MATCH($C19,Proj_Reg!$B:$B,0),1))</f>
        <v>Sputtering</v>
      </c>
      <c r="I19" s="6" t="str">
        <f>IF(INDEX(Proj_Reg!D:D,MATCH($C19,Proj_Reg!$B:$B,0),1)=0,"",INDEX(Proj_Reg!D:D,MATCH($C19,Proj_Reg!$B:$B,0),1))</f>
        <v>XWP</v>
      </c>
      <c r="J19" s="6" t="str">
        <f>INDEX(Proj_Reg!E:E,MATCH($C19,Proj_Reg!$B:$B,0),1)</f>
        <v>Pt Target Supplier Z</v>
      </c>
      <c r="K19" s="21">
        <v>3.2736022399999995E-2</v>
      </c>
      <c r="L19" s="21">
        <v>0</v>
      </c>
      <c r="M19" s="21">
        <v>1.1653968953209996E-2</v>
      </c>
      <c r="N19" s="21">
        <v>0</v>
      </c>
      <c r="O19" s="11">
        <f>SUM(Table1[[#This Row],[Labor
Saving]:[OH
Saving]])</f>
        <v>4.4389991353209993E-2</v>
      </c>
      <c r="Q19" s="40">
        <f t="shared" si="21"/>
        <v>0</v>
      </c>
      <c r="R19" s="40">
        <f t="shared" si="0"/>
        <v>10544.1</v>
      </c>
      <c r="S19" s="40">
        <f t="shared" si="1"/>
        <v>163306</v>
      </c>
      <c r="T19" s="40">
        <f t="shared" si="2"/>
        <v>56425</v>
      </c>
      <c r="U19" s="40">
        <f t="shared" si="3"/>
        <v>64357</v>
      </c>
      <c r="V19" s="40">
        <f t="shared" si="4"/>
        <v>61804</v>
      </c>
      <c r="W19" s="40">
        <f t="shared" si="5"/>
        <v>67857</v>
      </c>
      <c r="X19" s="40">
        <f t="shared" si="6"/>
        <v>57021</v>
      </c>
      <c r="Y19" s="40">
        <f t="shared" si="7"/>
        <v>27952</v>
      </c>
      <c r="Z19" s="40">
        <f t="shared" si="8"/>
        <v>27430</v>
      </c>
      <c r="AA19" s="40">
        <f t="shared" si="9"/>
        <v>21883</v>
      </c>
      <c r="AB19" s="40">
        <f t="shared" si="10"/>
        <v>13859</v>
      </c>
      <c r="AC19" s="37">
        <f>SUM(Table1[[#This Row],[Jan]:[Dec]])</f>
        <v>572438.1</v>
      </c>
      <c r="AD19" s="15">
        <f t="shared" si="22"/>
        <v>0</v>
      </c>
      <c r="AE19" s="15">
        <f t="shared" si="23"/>
        <v>468.05250782738148</v>
      </c>
      <c r="AF19" s="15">
        <f t="shared" si="24"/>
        <v>7249.1519279273107</v>
      </c>
      <c r="AG19" s="15">
        <f t="shared" si="25"/>
        <v>2504.7052621048738</v>
      </c>
      <c r="AH19" s="15">
        <f t="shared" si="26"/>
        <v>2856.8066735185357</v>
      </c>
      <c r="AI19" s="15">
        <f t="shared" si="27"/>
        <v>2743.4790255937905</v>
      </c>
      <c r="AJ19" s="15">
        <f t="shared" si="28"/>
        <v>3012.1716432547705</v>
      </c>
      <c r="AK19" s="15">
        <f t="shared" si="29"/>
        <v>2531.1616969513871</v>
      </c>
      <c r="AL19" s="15">
        <f t="shared" si="30"/>
        <v>1240.7890383049257</v>
      </c>
      <c r="AM19" s="15">
        <f t="shared" si="31"/>
        <v>1217.6174628185502</v>
      </c>
      <c r="AN19" s="15">
        <f t="shared" si="32"/>
        <v>971.38618078229422</v>
      </c>
      <c r="AO19" s="15">
        <f t="shared" si="33"/>
        <v>615.20089016413726</v>
      </c>
      <c r="AP19" s="10">
        <f t="shared" si="34"/>
        <v>7717.204435754692</v>
      </c>
      <c r="AQ19" s="10">
        <f t="shared" si="35"/>
        <v>8104.9909612172005</v>
      </c>
      <c r="AR19" s="10">
        <f t="shared" si="36"/>
        <v>6784.1223785110833</v>
      </c>
      <c r="AS19" s="10">
        <f t="shared" si="37"/>
        <v>2804.2045337649815</v>
      </c>
      <c r="AT19" s="10" t="b">
        <f t="shared" si="38"/>
        <v>1</v>
      </c>
      <c r="AU19" s="10">
        <f t="shared" si="12"/>
        <v>18739.346464213435</v>
      </c>
      <c r="AV19" s="10">
        <f t="shared" si="13"/>
        <v>0</v>
      </c>
      <c r="AW19" s="10">
        <f t="shared" si="14"/>
        <v>6671.1758450345187</v>
      </c>
      <c r="AX19" s="10">
        <f t="shared" si="15"/>
        <v>0</v>
      </c>
      <c r="AY19" s="10">
        <f t="shared" si="39"/>
        <v>25410.522309247954</v>
      </c>
      <c r="AZ19" s="19">
        <f>IFERROR(IF($E19="REC",INDEX(A_Type_Volume!$B:$B,MATCH($D19,A_Type_Volume!$A:$A,0),1),IF($E19="VAM",INDEX(C_Type_Volume!$B:$B,MATCH($D19,C_Type_Volume!$A:$A,0),1),"X")),"")</f>
        <v>34275</v>
      </c>
      <c r="BA19" s="19">
        <f>IFERROR(IF($E19="REC",INDEX(A_Type_Volume!$C:$C,MATCH($D19,A_Type_Volume!$A:$A,0),1),IF($E19="VAM",INDEX(C_Type_Volume!$C:$C,MATCH($D19,C_Type_Volume!$A:$A,0),1),"X")),"")</f>
        <v>35147</v>
      </c>
      <c r="BB19" s="19">
        <f>IFERROR(IF($E19="REC",INDEX(A_Type_Volume!$D:$D,MATCH($D19,A_Type_Volume!$A:$A,0),1),IF($E19="VAM",INDEX(C_Type_Volume!$D:$D,MATCH($D19,C_Type_Volume!$A:$A,0),1),"X")),"")</f>
        <v>163306</v>
      </c>
      <c r="BC19" s="19">
        <f>IFERROR(IF($E19="REC",INDEX(A_Type_Volume!$E:$E,MATCH($D19,A_Type_Volume!$A:$A,0),1),IF($E19="VAM",INDEX(C_Type_Volume!$E:$E,MATCH($D19,C_Type_Volume!$A:$A,0),1),"X")),"")</f>
        <v>56425</v>
      </c>
      <c r="BD19" s="19">
        <f>IFERROR(IF($E19="REC",INDEX(A_Type_Volume!$F:$F,MATCH($D19,A_Type_Volume!$A:$A,0),1),IF($E19="VAM",INDEX(C_Type_Volume!$F:$F,MATCH($D19,C_Type_Volume!$A:$A,0),1),"X")),"")</f>
        <v>64357</v>
      </c>
      <c r="BE19" s="19">
        <f>IFERROR(IF($E19="REC",INDEX(A_Type_Volume!$G:$G,MATCH($D19,A_Type_Volume!$A:$A,0),1),IF($E19="VAM",INDEX(C_Type_Volume!$G:$G,MATCH($D19,C_Type_Volume!$A:$A,0),1),"X")),"")</f>
        <v>61804</v>
      </c>
      <c r="BF19" s="19">
        <f>IFERROR(IF($E19="REC",INDEX(A_Type_Volume!$H:$H,MATCH($D19,A_Type_Volume!$A:$A,0),1),IF($E19="VAM",INDEX(C_Type_Volume!$H:$H,MATCH($D19,C_Type_Volume!$A:$A,0),1),"X")),"")</f>
        <v>67857</v>
      </c>
      <c r="BG19" s="19">
        <f>IFERROR(IF($E19="REC",INDEX(A_Type_Volume!$I:$I,MATCH($D19,A_Type_Volume!$A:$A,0),1),IF($E19="VAM",INDEX(C_Type_Volume!$I:$I,MATCH($D19,C_Type_Volume!$A:$A,0),1),"X")),"")</f>
        <v>57021</v>
      </c>
      <c r="BH19" s="19">
        <f>IFERROR(IF($E19="REC",INDEX(A_Type_Volume!$J:$J,MATCH($D19,A_Type_Volume!$A:$A,0),1),IF($E19="VAM",INDEX(C_Type_Volume!$J:$J,MATCH($D19,C_Type_Volume!$A:$A,0),1),"X")),"")</f>
        <v>27952</v>
      </c>
      <c r="BI19" s="19">
        <f>IFERROR(IF($E19="REC",INDEX(A_Type_Volume!$K:$K,MATCH($D19,A_Type_Volume!$A:$A,0),1),IF($E19="VAM",INDEX(C_Type_Volume!$K:$K,MATCH($D19,C_Type_Volume!$A:$A,0),1),"X")),"")</f>
        <v>27430</v>
      </c>
      <c r="BJ19" s="19">
        <f>IFERROR(IF($E19="REC",INDEX(A_Type_Volume!$L:$L,MATCH($D19,A_Type_Volume!$A:$A,0),1),IF($E19="VAM",INDEX(C_Type_Volume!$L:$L,MATCH($D19,C_Type_Volume!$A:$A,0),1),"X")),"")</f>
        <v>21883</v>
      </c>
      <c r="BK19" s="19">
        <f>IFERROR(IF($E19="REC",INDEX(A_Type_Volume!M:M,MATCH($D19,A_Type_Volume!$A:$A,0),1),IF($E19="VAM",INDEX(C_Type_Volume!M:M,MATCH($D19,C_Type_Volume!$A:$A,0),1),"X")),"")</f>
        <v>13859</v>
      </c>
      <c r="BL19" s="38">
        <f>SUM(Table1[[#This Row],[Jan_AVF]:[Dec_AVF]])</f>
        <v>631316</v>
      </c>
      <c r="BM19" s="16">
        <f t="shared" si="40"/>
        <v>1521.4669536312724</v>
      </c>
      <c r="BN19" s="16">
        <f t="shared" si="41"/>
        <v>1560.1750260912715</v>
      </c>
      <c r="BO19" s="16">
        <f t="shared" si="42"/>
        <v>7249.1519279273107</v>
      </c>
      <c r="BP19" s="16">
        <f t="shared" si="43"/>
        <v>2504.7052621048738</v>
      </c>
      <c r="BQ19" s="16">
        <f t="shared" si="44"/>
        <v>2856.8066735185357</v>
      </c>
      <c r="BR19" s="16">
        <f t="shared" si="45"/>
        <v>2743.4790255937905</v>
      </c>
      <c r="BS19" s="16">
        <f t="shared" si="46"/>
        <v>3012.1716432547705</v>
      </c>
      <c r="BT19" s="16">
        <f t="shared" si="47"/>
        <v>2531.1616969513871</v>
      </c>
      <c r="BU19" s="16">
        <f t="shared" si="48"/>
        <v>1240.7890383049257</v>
      </c>
      <c r="BV19" s="16">
        <f t="shared" si="49"/>
        <v>1217.6174628185502</v>
      </c>
      <c r="BW19" s="16">
        <f t="shared" si="50"/>
        <v>971.38618078229422</v>
      </c>
      <c r="BX19" s="16">
        <f t="shared" si="51"/>
        <v>615.20089016413726</v>
      </c>
      <c r="BY19" s="10">
        <f t="shared" si="17"/>
        <v>10330.793907649855</v>
      </c>
      <c r="BZ19" s="10">
        <f t="shared" si="18"/>
        <v>8104.9909612172005</v>
      </c>
      <c r="CA19" s="10">
        <f t="shared" si="19"/>
        <v>6784.1223785110833</v>
      </c>
      <c r="CB19" s="10">
        <f t="shared" si="20"/>
        <v>2804.2045337649815</v>
      </c>
      <c r="CC19" s="10">
        <f>IFERROR(Table1[[#This Row],[Labor
Saving]]*Table1[[#This Row],[Annual Volume]],"")</f>
        <v>20666.774717478398</v>
      </c>
      <c r="CD19" s="10">
        <f>IFERROR(Table1[[#This Row],[Annual Volume]]*Table1[[#This Row],[Yield
Saving]],"")</f>
        <v>0</v>
      </c>
      <c r="CE19" s="10">
        <f>IFERROR(Table1[[#This Row],[Annual Volume]]*Table1[[#This Row],[Material
Saving]],"")</f>
        <v>7357.3370636647214</v>
      </c>
      <c r="CF19" s="10">
        <f>IFERROR(Table1[[#This Row],[OH
Saving]]*Table1[[#This Row],[Annual Volume]],"")</f>
        <v>0</v>
      </c>
      <c r="CG19" s="10">
        <f>SUM(Table1[[#This Row],[Labor_ASV]:[OH_ASV]])</f>
        <v>28024.111781143118</v>
      </c>
    </row>
    <row r="20" spans="1:85" x14ac:dyDescent="0.3">
      <c r="A20" t="str">
        <f>Table1[[#This Row],[Project Name]]&amp;Table1[[#This Row],[Part Number]]</f>
        <v>Pt Target Supplier ZR151</v>
      </c>
      <c r="B20" t="str">
        <f>IFERROR(Table1[[#This Row],[Project Number]]&amp;Table1[[#This Row],[Part Number]],"")</f>
        <v>AME25-009R151</v>
      </c>
      <c r="C20" s="22" t="s">
        <v>69</v>
      </c>
      <c r="D20" s="24" t="s">
        <v>389</v>
      </c>
      <c r="E20" s="25" t="s">
        <v>58</v>
      </c>
      <c r="F20" s="6">
        <f>INDEX(Proj_Reg!G:G,MATCH($C20,Proj_Reg!$B:$B,0),1)</f>
        <v>46054</v>
      </c>
      <c r="G20" s="6">
        <f>INDEX(Proj_Reg!H:H,MATCH($C20,Proj_Reg!$B:$B,0),1)</f>
        <v>46388</v>
      </c>
      <c r="H20" s="6" t="str">
        <f>IF(INDEX(Proj_Reg!C:C,MATCH($C20,Proj_Reg!$B:$B,0),1)=0,"",INDEX(Proj_Reg!C:C,MATCH($C20,Proj_Reg!$B:$B,0),1))</f>
        <v>Sputtering</v>
      </c>
      <c r="I20" s="6" t="str">
        <f>IF(INDEX(Proj_Reg!D:D,MATCH($C20,Proj_Reg!$B:$B,0),1)=0,"",INDEX(Proj_Reg!D:D,MATCH($C20,Proj_Reg!$B:$B,0),1))</f>
        <v>XWP</v>
      </c>
      <c r="J20" s="6" t="str">
        <f>INDEX(Proj_Reg!E:E,MATCH($C20,Proj_Reg!$B:$B,0),1)</f>
        <v>Pt Target Supplier Z</v>
      </c>
      <c r="K20" s="21">
        <v>3.2414969599999996E-2</v>
      </c>
      <c r="L20" s="21">
        <v>0</v>
      </c>
      <c r="M20" s="21">
        <v>1.1653968953209996E-2</v>
      </c>
      <c r="N20" s="21">
        <v>0</v>
      </c>
      <c r="O20" s="11">
        <f>SUM(Table1[[#This Row],[Labor
Saving]:[OH
Saving]])</f>
        <v>4.4068938553209994E-2</v>
      </c>
      <c r="Q20" s="40">
        <f t="shared" si="21"/>
        <v>0</v>
      </c>
      <c r="R20" s="40">
        <f t="shared" si="0"/>
        <v>10544.1</v>
      </c>
      <c r="S20" s="40">
        <f t="shared" si="1"/>
        <v>163306</v>
      </c>
      <c r="T20" s="40">
        <f t="shared" si="2"/>
        <v>56425</v>
      </c>
      <c r="U20" s="40">
        <f t="shared" si="3"/>
        <v>64357</v>
      </c>
      <c r="V20" s="40">
        <f t="shared" si="4"/>
        <v>61804</v>
      </c>
      <c r="W20" s="40">
        <f t="shared" si="5"/>
        <v>67857</v>
      </c>
      <c r="X20" s="40">
        <f t="shared" si="6"/>
        <v>57021</v>
      </c>
      <c r="Y20" s="40">
        <f t="shared" si="7"/>
        <v>27952</v>
      </c>
      <c r="Z20" s="40">
        <f t="shared" si="8"/>
        <v>27430</v>
      </c>
      <c r="AA20" s="40">
        <f t="shared" si="9"/>
        <v>21883</v>
      </c>
      <c r="AB20" s="40">
        <f t="shared" si="10"/>
        <v>13859</v>
      </c>
      <c r="AC20" s="37">
        <f>SUM(Table1[[#This Row],[Jan]:[Dec]])</f>
        <v>572438.1</v>
      </c>
      <c r="AD20" s="15">
        <f t="shared" si="22"/>
        <v>0</v>
      </c>
      <c r="AE20" s="15">
        <f t="shared" si="23"/>
        <v>464.66729499890153</v>
      </c>
      <c r="AF20" s="15">
        <f t="shared" si="24"/>
        <v>7196.722079370511</v>
      </c>
      <c r="AG20" s="15">
        <f t="shared" si="25"/>
        <v>2486.5898578648739</v>
      </c>
      <c r="AH20" s="15">
        <f t="shared" si="26"/>
        <v>2836.1446784689356</v>
      </c>
      <c r="AI20" s="15">
        <f t="shared" si="27"/>
        <v>2723.6366783425906</v>
      </c>
      <c r="AJ20" s="15">
        <f t="shared" si="28"/>
        <v>2990.3859634051705</v>
      </c>
      <c r="AK20" s="15">
        <f t="shared" si="29"/>
        <v>2512.8549452425868</v>
      </c>
      <c r="AL20" s="15">
        <f t="shared" si="30"/>
        <v>1231.8149704393256</v>
      </c>
      <c r="AM20" s="15">
        <f t="shared" si="31"/>
        <v>1208.8109845145502</v>
      </c>
      <c r="AN20" s="15">
        <f t="shared" si="32"/>
        <v>964.36058235989424</v>
      </c>
      <c r="AO20" s="15">
        <f t="shared" si="33"/>
        <v>610.75141940893729</v>
      </c>
      <c r="AP20" s="10">
        <f t="shared" si="34"/>
        <v>7661.3893743694125</v>
      </c>
      <c r="AQ20" s="10">
        <f t="shared" si="35"/>
        <v>8046.371214676401</v>
      </c>
      <c r="AR20" s="10">
        <f t="shared" si="36"/>
        <v>6735.0558790870828</v>
      </c>
      <c r="AS20" s="10">
        <f t="shared" si="37"/>
        <v>2783.9229862833818</v>
      </c>
      <c r="AT20" s="10" t="b">
        <f t="shared" si="38"/>
        <v>1</v>
      </c>
      <c r="AU20" s="10">
        <f t="shared" si="12"/>
        <v>18555.563609381756</v>
      </c>
      <c r="AV20" s="10">
        <f t="shared" si="13"/>
        <v>0</v>
      </c>
      <c r="AW20" s="10">
        <f t="shared" si="14"/>
        <v>6671.1758450345187</v>
      </c>
      <c r="AX20" s="10">
        <f t="shared" si="15"/>
        <v>0</v>
      </c>
      <c r="AY20" s="10">
        <f t="shared" si="39"/>
        <v>25226.739454416274</v>
      </c>
      <c r="AZ20" s="19">
        <f>IFERROR(IF($E20="REC",INDEX(A_Type_Volume!$B:$B,MATCH($D20,A_Type_Volume!$A:$A,0),1),IF($E20="VAM",INDEX(C_Type_Volume!$B:$B,MATCH($D20,C_Type_Volume!$A:$A,0),1),"X")),"")</f>
        <v>34275</v>
      </c>
      <c r="BA20" s="19">
        <f>IFERROR(IF($E20="REC",INDEX(A_Type_Volume!$C:$C,MATCH($D20,A_Type_Volume!$A:$A,0),1),IF($E20="VAM",INDEX(C_Type_Volume!$C:$C,MATCH($D20,C_Type_Volume!$A:$A,0),1),"X")),"")</f>
        <v>35147</v>
      </c>
      <c r="BB20" s="19">
        <f>IFERROR(IF($E20="REC",INDEX(A_Type_Volume!$D:$D,MATCH($D20,A_Type_Volume!$A:$A,0),1),IF($E20="VAM",INDEX(C_Type_Volume!$D:$D,MATCH($D20,C_Type_Volume!$A:$A,0),1),"X")),"")</f>
        <v>163306</v>
      </c>
      <c r="BC20" s="19">
        <f>IFERROR(IF($E20="REC",INDEX(A_Type_Volume!$E:$E,MATCH($D20,A_Type_Volume!$A:$A,0),1),IF($E20="VAM",INDEX(C_Type_Volume!$E:$E,MATCH($D20,C_Type_Volume!$A:$A,0),1),"X")),"")</f>
        <v>56425</v>
      </c>
      <c r="BD20" s="19">
        <f>IFERROR(IF($E20="REC",INDEX(A_Type_Volume!$F:$F,MATCH($D20,A_Type_Volume!$A:$A,0),1),IF($E20="VAM",INDEX(C_Type_Volume!$F:$F,MATCH($D20,C_Type_Volume!$A:$A,0),1),"X")),"")</f>
        <v>64357</v>
      </c>
      <c r="BE20" s="19">
        <f>IFERROR(IF($E20="REC",INDEX(A_Type_Volume!$G:$G,MATCH($D20,A_Type_Volume!$A:$A,0),1),IF($E20="VAM",INDEX(C_Type_Volume!$G:$G,MATCH($D20,C_Type_Volume!$A:$A,0),1),"X")),"")</f>
        <v>61804</v>
      </c>
      <c r="BF20" s="19">
        <f>IFERROR(IF($E20="REC",INDEX(A_Type_Volume!$H:$H,MATCH($D20,A_Type_Volume!$A:$A,0),1),IF($E20="VAM",INDEX(C_Type_Volume!$H:$H,MATCH($D20,C_Type_Volume!$A:$A,0),1),"X")),"")</f>
        <v>67857</v>
      </c>
      <c r="BG20" s="19">
        <f>IFERROR(IF($E20="REC",INDEX(A_Type_Volume!$I:$I,MATCH($D20,A_Type_Volume!$A:$A,0),1),IF($E20="VAM",INDEX(C_Type_Volume!$I:$I,MATCH($D20,C_Type_Volume!$A:$A,0),1),"X")),"")</f>
        <v>57021</v>
      </c>
      <c r="BH20" s="19">
        <f>IFERROR(IF($E20="REC",INDEX(A_Type_Volume!$J:$J,MATCH($D20,A_Type_Volume!$A:$A,0),1),IF($E20="VAM",INDEX(C_Type_Volume!$J:$J,MATCH($D20,C_Type_Volume!$A:$A,0),1),"X")),"")</f>
        <v>27952</v>
      </c>
      <c r="BI20" s="19">
        <f>IFERROR(IF($E20="REC",INDEX(A_Type_Volume!$K:$K,MATCH($D20,A_Type_Volume!$A:$A,0),1),IF($E20="VAM",INDEX(C_Type_Volume!$K:$K,MATCH($D20,C_Type_Volume!$A:$A,0),1),"X")),"")</f>
        <v>27430</v>
      </c>
      <c r="BJ20" s="19">
        <f>IFERROR(IF($E20="REC",INDEX(A_Type_Volume!$L:$L,MATCH($D20,A_Type_Volume!$A:$A,0),1),IF($E20="VAM",INDEX(C_Type_Volume!$L:$L,MATCH($D20,C_Type_Volume!$A:$A,0),1),"X")),"")</f>
        <v>21883</v>
      </c>
      <c r="BK20" s="19">
        <f>IFERROR(IF($E20="REC",INDEX(A_Type_Volume!M:M,MATCH($D20,A_Type_Volume!$A:$A,0),1),IF($E20="VAM",INDEX(C_Type_Volume!M:M,MATCH($D20,C_Type_Volume!$A:$A,0),1),"X")),"")</f>
        <v>13859</v>
      </c>
      <c r="BL20" s="38">
        <f>SUM(Table1[[#This Row],[Jan_AVF]:[Dec_AVF]])</f>
        <v>631316</v>
      </c>
      <c r="BM20" s="16">
        <f t="shared" si="40"/>
        <v>1510.4628689112726</v>
      </c>
      <c r="BN20" s="16">
        <f t="shared" si="41"/>
        <v>1548.8909833296716</v>
      </c>
      <c r="BO20" s="16">
        <f t="shared" si="42"/>
        <v>7196.722079370511</v>
      </c>
      <c r="BP20" s="16">
        <f t="shared" si="43"/>
        <v>2486.5898578648739</v>
      </c>
      <c r="BQ20" s="16">
        <f t="shared" si="44"/>
        <v>2836.1446784689356</v>
      </c>
      <c r="BR20" s="16">
        <f t="shared" si="45"/>
        <v>2723.6366783425906</v>
      </c>
      <c r="BS20" s="16">
        <f t="shared" si="46"/>
        <v>2990.3859634051705</v>
      </c>
      <c r="BT20" s="16">
        <f t="shared" si="47"/>
        <v>2512.8549452425868</v>
      </c>
      <c r="BU20" s="16">
        <f t="shared" si="48"/>
        <v>1231.8149704393256</v>
      </c>
      <c r="BV20" s="16">
        <f t="shared" si="49"/>
        <v>1208.8109845145502</v>
      </c>
      <c r="BW20" s="16">
        <f t="shared" si="50"/>
        <v>964.36058235989424</v>
      </c>
      <c r="BX20" s="16">
        <f t="shared" si="51"/>
        <v>610.75141940893729</v>
      </c>
      <c r="BY20" s="10">
        <f t="shared" si="17"/>
        <v>10256.075931611456</v>
      </c>
      <c r="BZ20" s="10">
        <f t="shared" si="18"/>
        <v>8046.371214676401</v>
      </c>
      <c r="CA20" s="10">
        <f t="shared" si="19"/>
        <v>6735.0558790870828</v>
      </c>
      <c r="CB20" s="10">
        <f t="shared" si="20"/>
        <v>2783.9229862833818</v>
      </c>
      <c r="CC20" s="10">
        <f>IFERROR(Table1[[#This Row],[Labor
Saving]]*Table1[[#This Row],[Annual Volume]],"")</f>
        <v>20464.088947993598</v>
      </c>
      <c r="CD20" s="10">
        <f>IFERROR(Table1[[#This Row],[Annual Volume]]*Table1[[#This Row],[Yield
Saving]],"")</f>
        <v>0</v>
      </c>
      <c r="CE20" s="10">
        <f>IFERROR(Table1[[#This Row],[Annual Volume]]*Table1[[#This Row],[Material
Saving]],"")</f>
        <v>7357.3370636647214</v>
      </c>
      <c r="CF20" s="10">
        <f>IFERROR(Table1[[#This Row],[OH
Saving]]*Table1[[#This Row],[Annual Volume]],"")</f>
        <v>0</v>
      </c>
      <c r="CG20" s="10">
        <f>SUM(Table1[[#This Row],[Labor_ASV]:[OH_ASV]])</f>
        <v>27821.426011658317</v>
      </c>
    </row>
    <row r="21" spans="1:85" x14ac:dyDescent="0.3">
      <c r="A21" t="str">
        <f>Table1[[#This Row],[Project Name]]&amp;Table1[[#This Row],[Part Number]]</f>
        <v>NiCr Target Supplier YR88</v>
      </c>
      <c r="B21" t="str">
        <f>IFERROR(Table1[[#This Row],[Project Number]]&amp;Table1[[#This Row],[Part Number]],"")</f>
        <v>AME25-010R88</v>
      </c>
      <c r="C21" s="22" t="s">
        <v>70</v>
      </c>
      <c r="D21" s="24" t="s">
        <v>326</v>
      </c>
      <c r="E21" s="25" t="s">
        <v>58</v>
      </c>
      <c r="F21" s="6">
        <f>INDEX(Proj_Reg!G:G,MATCH($C21,Proj_Reg!$B:$B,0),1)</f>
        <v>46082</v>
      </c>
      <c r="G21" s="6">
        <f>INDEX(Proj_Reg!H:H,MATCH($C21,Proj_Reg!$B:$B,0),1)</f>
        <v>46419</v>
      </c>
      <c r="H21" s="6" t="str">
        <f>IF(INDEX(Proj_Reg!C:C,MATCH($C21,Proj_Reg!$B:$B,0),1)=0,"",INDEX(Proj_Reg!C:C,MATCH($C21,Proj_Reg!$B:$B,0),1))</f>
        <v>Sputtering</v>
      </c>
      <c r="I21" s="6" t="str">
        <f>IF(INDEX(Proj_Reg!D:D,MATCH($C21,Proj_Reg!$B:$B,0),1)=0,"",INDEX(Proj_Reg!D:D,MATCH($C21,Proj_Reg!$B:$B,0),1))</f>
        <v>XWP</v>
      </c>
      <c r="J21" s="6" t="str">
        <f>INDEX(Proj_Reg!E:E,MATCH($C21,Proj_Reg!$B:$B,0),1)</f>
        <v>NiCr Target Supplier Y</v>
      </c>
      <c r="K21" s="21">
        <v>2.8000663200000012E-2</v>
      </c>
      <c r="L21" s="21">
        <v>0</v>
      </c>
      <c r="M21" s="21">
        <v>7.4515560460999986E-3</v>
      </c>
      <c r="N21" s="21">
        <v>0</v>
      </c>
      <c r="O21" s="11">
        <f>SUM(Table1[[#This Row],[Labor
Saving]:[OH
Saving]])</f>
        <v>3.5452219246100009E-2</v>
      </c>
      <c r="Q21" s="40">
        <f t="shared" si="21"/>
        <v>0</v>
      </c>
      <c r="R21" s="40">
        <f t="shared" si="0"/>
        <v>0</v>
      </c>
      <c r="S21" s="40">
        <f t="shared" si="1"/>
        <v>24807</v>
      </c>
      <c r="T21" s="40">
        <f t="shared" si="2"/>
        <v>53161</v>
      </c>
      <c r="U21" s="40">
        <f t="shared" si="3"/>
        <v>68487</v>
      </c>
      <c r="V21" s="40">
        <f t="shared" si="4"/>
        <v>60680</v>
      </c>
      <c r="W21" s="40">
        <f t="shared" si="5"/>
        <v>29757</v>
      </c>
      <c r="X21" s="40">
        <f t="shared" si="6"/>
        <v>20921</v>
      </c>
      <c r="Y21" s="40">
        <f t="shared" si="7"/>
        <v>18233</v>
      </c>
      <c r="Z21" s="40">
        <f t="shared" si="8"/>
        <v>56073</v>
      </c>
      <c r="AA21" s="40">
        <f t="shared" si="9"/>
        <v>52365</v>
      </c>
      <c r="AB21" s="40">
        <f t="shared" si="10"/>
        <v>37499</v>
      </c>
      <c r="AC21" s="37">
        <f>SUM(Table1[[#This Row],[Jan]:[Dec]])</f>
        <v>421983</v>
      </c>
      <c r="AD21" s="15">
        <f t="shared" si="22"/>
        <v>0</v>
      </c>
      <c r="AE21" s="15">
        <f t="shared" si="23"/>
        <v>0</v>
      </c>
      <c r="AF21" s="15">
        <f t="shared" si="24"/>
        <v>879.46320283800287</v>
      </c>
      <c r="AG21" s="15">
        <f t="shared" si="25"/>
        <v>1884.6754273419226</v>
      </c>
      <c r="AH21" s="15">
        <f t="shared" si="26"/>
        <v>2428.0161395076511</v>
      </c>
      <c r="AI21" s="15">
        <f t="shared" si="27"/>
        <v>2151.2406638533485</v>
      </c>
      <c r="AJ21" s="15">
        <f t="shared" si="28"/>
        <v>1054.9516881061979</v>
      </c>
      <c r="AK21" s="15">
        <f t="shared" si="29"/>
        <v>741.69587884765826</v>
      </c>
      <c r="AL21" s="15">
        <f t="shared" si="30"/>
        <v>646.40031351414143</v>
      </c>
      <c r="AM21" s="15">
        <f t="shared" si="31"/>
        <v>1987.9122897865657</v>
      </c>
      <c r="AN21" s="15">
        <f t="shared" si="32"/>
        <v>1856.4554608220269</v>
      </c>
      <c r="AO21" s="15">
        <f t="shared" si="33"/>
        <v>1329.4227695095042</v>
      </c>
      <c r="AP21" s="10">
        <f t="shared" si="34"/>
        <v>879.46320283800287</v>
      </c>
      <c r="AQ21" s="10">
        <f t="shared" si="35"/>
        <v>6463.9322307029224</v>
      </c>
      <c r="AR21" s="10">
        <f t="shared" si="36"/>
        <v>2443.0478804679979</v>
      </c>
      <c r="AS21" s="10">
        <f t="shared" si="37"/>
        <v>5173.7905201180965</v>
      </c>
      <c r="AT21" s="10" t="b">
        <f t="shared" si="38"/>
        <v>1</v>
      </c>
      <c r="AU21" s="10">
        <f t="shared" si="12"/>
        <v>11815.803859125605</v>
      </c>
      <c r="AV21" s="10">
        <f t="shared" si="13"/>
        <v>0</v>
      </c>
      <c r="AW21" s="10">
        <f t="shared" si="14"/>
        <v>3144.4299750014156</v>
      </c>
      <c r="AX21" s="10">
        <f t="shared" si="15"/>
        <v>0</v>
      </c>
      <c r="AY21" s="10">
        <f t="shared" si="39"/>
        <v>14960.233834127021</v>
      </c>
      <c r="AZ21" s="19">
        <f>IFERROR(IF($E21="REC",INDEX(A_Type_Volume!$B:$B,MATCH($D21,A_Type_Volume!$A:$A,0),1),IF($E21="VAM",INDEX(C_Type_Volume!$B:$B,MATCH($D21,C_Type_Volume!$A:$A,0),1),"X")),"")</f>
        <v>85829</v>
      </c>
      <c r="BA21" s="19">
        <f>IFERROR(IF($E21="REC",INDEX(A_Type_Volume!$C:$C,MATCH($D21,A_Type_Volume!$A:$A,0),1),IF($E21="VAM",INDEX(C_Type_Volume!$C:$C,MATCH($D21,C_Type_Volume!$A:$A,0),1),"X")),"")</f>
        <v>93883</v>
      </c>
      <c r="BB21" s="19">
        <f>IFERROR(IF($E21="REC",INDEX(A_Type_Volume!$D:$D,MATCH($D21,A_Type_Volume!$A:$A,0),1),IF($E21="VAM",INDEX(C_Type_Volume!$D:$D,MATCH($D21,C_Type_Volume!$A:$A,0),1),"X")),"")</f>
        <v>82690</v>
      </c>
      <c r="BC21" s="19">
        <f>IFERROR(IF($E21="REC",INDEX(A_Type_Volume!$E:$E,MATCH($D21,A_Type_Volume!$A:$A,0),1),IF($E21="VAM",INDEX(C_Type_Volume!$E:$E,MATCH($D21,C_Type_Volume!$A:$A,0),1),"X")),"")</f>
        <v>53161</v>
      </c>
      <c r="BD21" s="19">
        <f>IFERROR(IF($E21="REC",INDEX(A_Type_Volume!$F:$F,MATCH($D21,A_Type_Volume!$A:$A,0),1),IF($E21="VAM",INDEX(C_Type_Volume!$F:$F,MATCH($D21,C_Type_Volume!$A:$A,0),1),"X")),"")</f>
        <v>68487</v>
      </c>
      <c r="BE21" s="19">
        <f>IFERROR(IF($E21="REC",INDEX(A_Type_Volume!$G:$G,MATCH($D21,A_Type_Volume!$A:$A,0),1),IF($E21="VAM",INDEX(C_Type_Volume!$G:$G,MATCH($D21,C_Type_Volume!$A:$A,0),1),"X")),"")</f>
        <v>60680</v>
      </c>
      <c r="BF21" s="19">
        <f>IFERROR(IF($E21="REC",INDEX(A_Type_Volume!$H:$H,MATCH($D21,A_Type_Volume!$A:$A,0),1),IF($E21="VAM",INDEX(C_Type_Volume!$H:$H,MATCH($D21,C_Type_Volume!$A:$A,0),1),"X")),"")</f>
        <v>29757</v>
      </c>
      <c r="BG21" s="19">
        <f>IFERROR(IF($E21="REC",INDEX(A_Type_Volume!$I:$I,MATCH($D21,A_Type_Volume!$A:$A,0),1),IF($E21="VAM",INDEX(C_Type_Volume!$I:$I,MATCH($D21,C_Type_Volume!$A:$A,0),1),"X")),"")</f>
        <v>20921</v>
      </c>
      <c r="BH21" s="19">
        <f>IFERROR(IF($E21="REC",INDEX(A_Type_Volume!$J:$J,MATCH($D21,A_Type_Volume!$A:$A,0),1),IF($E21="VAM",INDEX(C_Type_Volume!$J:$J,MATCH($D21,C_Type_Volume!$A:$A,0),1),"X")),"")</f>
        <v>18233</v>
      </c>
      <c r="BI21" s="19">
        <f>IFERROR(IF($E21="REC",INDEX(A_Type_Volume!$K:$K,MATCH($D21,A_Type_Volume!$A:$A,0),1),IF($E21="VAM",INDEX(C_Type_Volume!$K:$K,MATCH($D21,C_Type_Volume!$A:$A,0),1),"X")),"")</f>
        <v>56073</v>
      </c>
      <c r="BJ21" s="19">
        <f>IFERROR(IF($E21="REC",INDEX(A_Type_Volume!$L:$L,MATCH($D21,A_Type_Volume!$A:$A,0),1),IF($E21="VAM",INDEX(C_Type_Volume!$L:$L,MATCH($D21,C_Type_Volume!$A:$A,0),1),"X")),"")</f>
        <v>52365</v>
      </c>
      <c r="BK21" s="19">
        <f>IFERROR(IF($E21="REC",INDEX(A_Type_Volume!M:M,MATCH($D21,A_Type_Volume!$A:$A,0),1),IF($E21="VAM",INDEX(C_Type_Volume!M:M,MATCH($D21,C_Type_Volume!$A:$A,0),1),"X")),"")</f>
        <v>37499</v>
      </c>
      <c r="BL21" s="38">
        <f>SUM(Table1[[#This Row],[Jan_AVF]:[Dec_AVF]])</f>
        <v>659578</v>
      </c>
      <c r="BM21" s="16">
        <f t="shared" si="40"/>
        <v>3042.8285256735176</v>
      </c>
      <c r="BN21" s="16">
        <f t="shared" si="41"/>
        <v>3328.3606994816073</v>
      </c>
      <c r="BO21" s="16">
        <f t="shared" si="42"/>
        <v>2931.5440094600099</v>
      </c>
      <c r="BP21" s="16">
        <f t="shared" si="43"/>
        <v>1884.6754273419226</v>
      </c>
      <c r="BQ21" s="16">
        <f t="shared" si="44"/>
        <v>2428.0161395076511</v>
      </c>
      <c r="BR21" s="16">
        <f t="shared" si="45"/>
        <v>2151.2406638533485</v>
      </c>
      <c r="BS21" s="16">
        <f t="shared" si="46"/>
        <v>1054.9516881061979</v>
      </c>
      <c r="BT21" s="16">
        <f t="shared" si="47"/>
        <v>741.69587884765826</v>
      </c>
      <c r="BU21" s="16">
        <f t="shared" si="48"/>
        <v>646.40031351414143</v>
      </c>
      <c r="BV21" s="16">
        <f t="shared" si="49"/>
        <v>1987.9122897865657</v>
      </c>
      <c r="BW21" s="16">
        <f t="shared" si="50"/>
        <v>1856.4554608220269</v>
      </c>
      <c r="BX21" s="16">
        <f t="shared" si="51"/>
        <v>1329.4227695095042</v>
      </c>
      <c r="BY21" s="10">
        <f t="shared" si="17"/>
        <v>9302.7332346151343</v>
      </c>
      <c r="BZ21" s="10">
        <f t="shared" si="18"/>
        <v>6463.9322307029224</v>
      </c>
      <c r="CA21" s="10">
        <f t="shared" si="19"/>
        <v>2443.0478804679979</v>
      </c>
      <c r="CB21" s="10">
        <f t="shared" si="20"/>
        <v>5173.7905201180965</v>
      </c>
      <c r="CC21" s="10">
        <f>IFERROR(Table1[[#This Row],[Labor
Saving]]*Table1[[#This Row],[Annual Volume]],"")</f>
        <v>18468.621432129607</v>
      </c>
      <c r="CD21" s="10">
        <f>IFERROR(Table1[[#This Row],[Annual Volume]]*Table1[[#This Row],[Yield
Saving]],"")</f>
        <v>0</v>
      </c>
      <c r="CE21" s="10">
        <f>IFERROR(Table1[[#This Row],[Annual Volume]]*Table1[[#This Row],[Material
Saving]],"")</f>
        <v>4914.8824337745446</v>
      </c>
      <c r="CF21" s="10">
        <f>IFERROR(Table1[[#This Row],[OH
Saving]]*Table1[[#This Row],[Annual Volume]],"")</f>
        <v>0</v>
      </c>
      <c r="CG21" s="10">
        <f>SUM(Table1[[#This Row],[Labor_ASV]:[OH_ASV]])</f>
        <v>23383.503865904153</v>
      </c>
    </row>
    <row r="22" spans="1:85" x14ac:dyDescent="0.3">
      <c r="A22" t="str">
        <f>Table1[[#This Row],[Project Name]]&amp;Table1[[#This Row],[Part Number]]</f>
        <v>NiCr Target Supplier XR93</v>
      </c>
      <c r="B22" t="str">
        <f>IFERROR(Table1[[#This Row],[Project Number]]&amp;Table1[[#This Row],[Part Number]],"")</f>
        <v>AME25-011R93</v>
      </c>
      <c r="C22" s="22" t="s">
        <v>71</v>
      </c>
      <c r="D22" s="24" t="s">
        <v>331</v>
      </c>
      <c r="E22" s="25" t="s">
        <v>58</v>
      </c>
      <c r="F22" s="6">
        <f>INDEX(Proj_Reg!G:G,MATCH($C22,Proj_Reg!$B:$B,0),1)</f>
        <v>46082</v>
      </c>
      <c r="G22" s="6">
        <f>INDEX(Proj_Reg!H:H,MATCH($C22,Proj_Reg!$B:$B,0),1)</f>
        <v>46419</v>
      </c>
      <c r="H22" s="6" t="str">
        <f>IF(INDEX(Proj_Reg!C:C,MATCH($C22,Proj_Reg!$B:$B,0),1)=0,"",INDEX(Proj_Reg!C:C,MATCH($C22,Proj_Reg!$B:$B,0),1))</f>
        <v>Sputtering</v>
      </c>
      <c r="I22" s="6" t="str">
        <f>IF(INDEX(Proj_Reg!D:D,MATCH($C22,Proj_Reg!$B:$B,0),1)=0,"",INDEX(Proj_Reg!D:D,MATCH($C22,Proj_Reg!$B:$B,0),1))</f>
        <v>XWP</v>
      </c>
      <c r="J22" s="6" t="str">
        <f>INDEX(Proj_Reg!E:E,MATCH($C22,Proj_Reg!$B:$B,0),1)</f>
        <v>NiCr Target Supplier X</v>
      </c>
      <c r="K22" s="21">
        <v>2.8755086400000004E-2</v>
      </c>
      <c r="L22" s="21">
        <v>0</v>
      </c>
      <c r="M22" s="21">
        <v>7.7815862524000003E-3</v>
      </c>
      <c r="N22" s="21">
        <v>0</v>
      </c>
      <c r="O22" s="11">
        <f>SUM(Table1[[#This Row],[Labor
Saving]:[OH
Saving]])</f>
        <v>3.6536672652400001E-2</v>
      </c>
      <c r="Q22" s="40">
        <f t="shared" si="21"/>
        <v>0</v>
      </c>
      <c r="R22" s="40">
        <f t="shared" si="0"/>
        <v>0</v>
      </c>
      <c r="S22" s="40">
        <f t="shared" si="1"/>
        <v>27010.5</v>
      </c>
      <c r="T22" s="40">
        <f t="shared" si="2"/>
        <v>74480</v>
      </c>
      <c r="U22" s="40">
        <f t="shared" si="3"/>
        <v>78343</v>
      </c>
      <c r="V22" s="40">
        <f t="shared" si="4"/>
        <v>72933</v>
      </c>
      <c r="W22" s="40">
        <f t="shared" si="5"/>
        <v>74479</v>
      </c>
      <c r="X22" s="40">
        <f t="shared" si="6"/>
        <v>58273</v>
      </c>
      <c r="Y22" s="40">
        <f t="shared" si="7"/>
        <v>67997</v>
      </c>
      <c r="Z22" s="40">
        <f t="shared" si="8"/>
        <v>85542</v>
      </c>
      <c r="AA22" s="40">
        <f t="shared" si="9"/>
        <v>75465</v>
      </c>
      <c r="AB22" s="40">
        <f t="shared" si="10"/>
        <v>84571</v>
      </c>
      <c r="AC22" s="37">
        <f>SUM(Table1[[#This Row],[Jan]:[Dec]])</f>
        <v>699093.5</v>
      </c>
      <c r="AD22" s="15">
        <f t="shared" si="22"/>
        <v>0</v>
      </c>
      <c r="AE22" s="15">
        <f t="shared" si="23"/>
        <v>0</v>
      </c>
      <c r="AF22" s="15">
        <f t="shared" si="24"/>
        <v>986.87379667765026</v>
      </c>
      <c r="AG22" s="15">
        <f t="shared" si="25"/>
        <v>2721.2513791507522</v>
      </c>
      <c r="AH22" s="15">
        <f t="shared" si="26"/>
        <v>2862.3925456069733</v>
      </c>
      <c r="AI22" s="15">
        <f t="shared" si="27"/>
        <v>2664.7291465574895</v>
      </c>
      <c r="AJ22" s="15">
        <f t="shared" si="28"/>
        <v>2721.2148424780999</v>
      </c>
      <c r="AK22" s="15">
        <f t="shared" si="29"/>
        <v>2129.1015254733052</v>
      </c>
      <c r="AL22" s="15">
        <f t="shared" si="30"/>
        <v>2484.3841303452427</v>
      </c>
      <c r="AM22" s="15">
        <f t="shared" si="31"/>
        <v>3125.4200520316008</v>
      </c>
      <c r="AN22" s="15">
        <f t="shared" si="32"/>
        <v>2757.2400017133659</v>
      </c>
      <c r="AO22" s="15">
        <f t="shared" si="33"/>
        <v>3089.9429428861204</v>
      </c>
      <c r="AP22" s="10">
        <f t="shared" si="34"/>
        <v>986.87379667765026</v>
      </c>
      <c r="AQ22" s="10">
        <f t="shared" si="35"/>
        <v>8248.3730713152145</v>
      </c>
      <c r="AR22" s="10">
        <f t="shared" si="36"/>
        <v>7334.7004982966482</v>
      </c>
      <c r="AS22" s="10">
        <f t="shared" si="37"/>
        <v>8972.6029966310871</v>
      </c>
      <c r="AT22" s="10" t="b">
        <f t="shared" si="38"/>
        <v>1</v>
      </c>
      <c r="AU22" s="10">
        <f t="shared" si="12"/>
        <v>20102.493994178403</v>
      </c>
      <c r="AV22" s="10">
        <f t="shared" si="13"/>
        <v>0</v>
      </c>
      <c r="AW22" s="10">
        <f t="shared" si="14"/>
        <v>5440.0563687422</v>
      </c>
      <c r="AX22" s="10">
        <f t="shared" si="15"/>
        <v>0</v>
      </c>
      <c r="AY22" s="10">
        <f t="shared" si="39"/>
        <v>25542.550362920603</v>
      </c>
      <c r="AZ22" s="19">
        <f>IFERROR(IF($E22="REC",INDEX(A_Type_Volume!$B:$B,MATCH($D22,A_Type_Volume!$A:$A,0),1),IF($E22="VAM",INDEX(C_Type_Volume!$B:$B,MATCH($D22,C_Type_Volume!$A:$A,0),1),"X")),"")</f>
        <v>48500</v>
      </c>
      <c r="BA22" s="19">
        <f>IFERROR(IF($E22="REC",INDEX(A_Type_Volume!$C:$C,MATCH($D22,A_Type_Volume!$A:$A,0),1),IF($E22="VAM",INDEX(C_Type_Volume!$C:$C,MATCH($D22,C_Type_Volume!$A:$A,0),1),"X")),"")</f>
        <v>80821</v>
      </c>
      <c r="BB22" s="19">
        <f>IFERROR(IF($E22="REC",INDEX(A_Type_Volume!$D:$D,MATCH($D22,A_Type_Volume!$A:$A,0),1),IF($E22="VAM",INDEX(C_Type_Volume!$D:$D,MATCH($D22,C_Type_Volume!$A:$A,0),1),"X")),"")</f>
        <v>90035</v>
      </c>
      <c r="BC22" s="19">
        <f>IFERROR(IF($E22="REC",INDEX(A_Type_Volume!$E:$E,MATCH($D22,A_Type_Volume!$A:$A,0),1),IF($E22="VAM",INDEX(C_Type_Volume!$E:$E,MATCH($D22,C_Type_Volume!$A:$A,0),1),"X")),"")</f>
        <v>74480</v>
      </c>
      <c r="BD22" s="19">
        <f>IFERROR(IF($E22="REC",INDEX(A_Type_Volume!$F:$F,MATCH($D22,A_Type_Volume!$A:$A,0),1),IF($E22="VAM",INDEX(C_Type_Volume!$F:$F,MATCH($D22,C_Type_Volume!$A:$A,0),1),"X")),"")</f>
        <v>78343</v>
      </c>
      <c r="BE22" s="19">
        <f>IFERROR(IF($E22="REC",INDEX(A_Type_Volume!$G:$G,MATCH($D22,A_Type_Volume!$A:$A,0),1),IF($E22="VAM",INDEX(C_Type_Volume!$G:$G,MATCH($D22,C_Type_Volume!$A:$A,0),1),"X")),"")</f>
        <v>72933</v>
      </c>
      <c r="BF22" s="19">
        <f>IFERROR(IF($E22="REC",INDEX(A_Type_Volume!$H:$H,MATCH($D22,A_Type_Volume!$A:$A,0),1),IF($E22="VAM",INDEX(C_Type_Volume!$H:$H,MATCH($D22,C_Type_Volume!$A:$A,0),1),"X")),"")</f>
        <v>74479</v>
      </c>
      <c r="BG22" s="19">
        <f>IFERROR(IF($E22="REC",INDEX(A_Type_Volume!$I:$I,MATCH($D22,A_Type_Volume!$A:$A,0),1),IF($E22="VAM",INDEX(C_Type_Volume!$I:$I,MATCH($D22,C_Type_Volume!$A:$A,0),1),"X")),"")</f>
        <v>58273</v>
      </c>
      <c r="BH22" s="19">
        <f>IFERROR(IF($E22="REC",INDEX(A_Type_Volume!$J:$J,MATCH($D22,A_Type_Volume!$A:$A,0),1),IF($E22="VAM",INDEX(C_Type_Volume!$J:$J,MATCH($D22,C_Type_Volume!$A:$A,0),1),"X")),"")</f>
        <v>67997</v>
      </c>
      <c r="BI22" s="19">
        <f>IFERROR(IF($E22="REC",INDEX(A_Type_Volume!$K:$K,MATCH($D22,A_Type_Volume!$A:$A,0),1),IF($E22="VAM",INDEX(C_Type_Volume!$K:$K,MATCH($D22,C_Type_Volume!$A:$A,0),1),"X")),"")</f>
        <v>85542</v>
      </c>
      <c r="BJ22" s="19">
        <f>IFERROR(IF($E22="REC",INDEX(A_Type_Volume!$L:$L,MATCH($D22,A_Type_Volume!$A:$A,0),1),IF($E22="VAM",INDEX(C_Type_Volume!$L:$L,MATCH($D22,C_Type_Volume!$A:$A,0),1),"X")),"")</f>
        <v>75465</v>
      </c>
      <c r="BK22" s="19">
        <f>IFERROR(IF($E22="REC",INDEX(A_Type_Volume!M:M,MATCH($D22,A_Type_Volume!$A:$A,0),1),IF($E22="VAM",INDEX(C_Type_Volume!M:M,MATCH($D22,C_Type_Volume!$A:$A,0),1),"X")),"")</f>
        <v>84571</v>
      </c>
      <c r="BL22" s="38">
        <f>SUM(Table1[[#This Row],[Jan_AVF]:[Dec_AVF]])</f>
        <v>891439</v>
      </c>
      <c r="BM22" s="16">
        <f t="shared" si="40"/>
        <v>1772.0286236414001</v>
      </c>
      <c r="BN22" s="16">
        <f t="shared" si="41"/>
        <v>2952.9304204396203</v>
      </c>
      <c r="BO22" s="16">
        <f t="shared" si="42"/>
        <v>3289.5793222588341</v>
      </c>
      <c r="BP22" s="16">
        <f t="shared" si="43"/>
        <v>2721.2513791507522</v>
      </c>
      <c r="BQ22" s="16">
        <f t="shared" si="44"/>
        <v>2862.3925456069733</v>
      </c>
      <c r="BR22" s="16">
        <f t="shared" si="45"/>
        <v>2664.7291465574895</v>
      </c>
      <c r="BS22" s="16">
        <f t="shared" si="46"/>
        <v>2721.2148424780999</v>
      </c>
      <c r="BT22" s="16">
        <f t="shared" si="47"/>
        <v>2129.1015254733052</v>
      </c>
      <c r="BU22" s="16">
        <f t="shared" si="48"/>
        <v>2484.3841303452427</v>
      </c>
      <c r="BV22" s="16">
        <f t="shared" si="49"/>
        <v>3125.4200520316008</v>
      </c>
      <c r="BW22" s="16">
        <f t="shared" si="50"/>
        <v>2757.2400017133659</v>
      </c>
      <c r="BX22" s="16">
        <f t="shared" si="51"/>
        <v>3089.9429428861204</v>
      </c>
      <c r="BY22" s="10">
        <f t="shared" si="17"/>
        <v>8014.5383663398552</v>
      </c>
      <c r="BZ22" s="10">
        <f t="shared" si="18"/>
        <v>8248.3730713152145</v>
      </c>
      <c r="CA22" s="10">
        <f t="shared" si="19"/>
        <v>7334.7004982966482</v>
      </c>
      <c r="CB22" s="10">
        <f t="shared" si="20"/>
        <v>8972.6029966310871</v>
      </c>
      <c r="CC22" s="10">
        <f>IFERROR(Table1[[#This Row],[Labor
Saving]]*Table1[[#This Row],[Annual Volume]],"")</f>
        <v>25633.405465329604</v>
      </c>
      <c r="CD22" s="10">
        <f>IFERROR(Table1[[#This Row],[Annual Volume]]*Table1[[#This Row],[Yield
Saving]],"")</f>
        <v>0</v>
      </c>
      <c r="CE22" s="10">
        <f>IFERROR(Table1[[#This Row],[Annual Volume]]*Table1[[#This Row],[Material
Saving]],"")</f>
        <v>6936.8094672532043</v>
      </c>
      <c r="CF22" s="10">
        <f>IFERROR(Table1[[#This Row],[OH
Saving]]*Table1[[#This Row],[Annual Volume]],"")</f>
        <v>0</v>
      </c>
      <c r="CG22" s="10">
        <f>SUM(Table1[[#This Row],[Labor_ASV]:[OH_ASV]])</f>
        <v>32570.214932582807</v>
      </c>
    </row>
    <row r="23" spans="1:85" x14ac:dyDescent="0.3">
      <c r="A23" t="str">
        <f>Table1[[#This Row],[Project Name]]&amp;Table1[[#This Row],[Part Number]]</f>
        <v>NiCr Target Supplier XR92</v>
      </c>
      <c r="B23" t="str">
        <f>IFERROR(Table1[[#This Row],[Project Number]]&amp;Table1[[#This Row],[Part Number]],"")</f>
        <v>AME25-011R92</v>
      </c>
      <c r="C23" s="22" t="s">
        <v>71</v>
      </c>
      <c r="D23" s="24" t="s">
        <v>330</v>
      </c>
      <c r="E23" s="25" t="s">
        <v>58</v>
      </c>
      <c r="F23" s="6">
        <f>INDEX(Proj_Reg!G:G,MATCH($C23,Proj_Reg!$B:$B,0),1)</f>
        <v>46082</v>
      </c>
      <c r="G23" s="6">
        <f>INDEX(Proj_Reg!H:H,MATCH($C23,Proj_Reg!$B:$B,0),1)</f>
        <v>46419</v>
      </c>
      <c r="H23" s="6" t="str">
        <f>IF(INDEX(Proj_Reg!C:C,MATCH($C23,Proj_Reg!$B:$B,0),1)=0,"",INDEX(Proj_Reg!C:C,MATCH($C23,Proj_Reg!$B:$B,0),1))</f>
        <v>Sputtering</v>
      </c>
      <c r="I23" s="6" t="str">
        <f>IF(INDEX(Proj_Reg!D:D,MATCH($C23,Proj_Reg!$B:$B,0),1)=0,"",INDEX(Proj_Reg!D:D,MATCH($C23,Proj_Reg!$B:$B,0),1))</f>
        <v>XWP</v>
      </c>
      <c r="J23" s="6" t="str">
        <f>INDEX(Proj_Reg!E:E,MATCH($C23,Proj_Reg!$B:$B,0),1)</f>
        <v>NiCr Target Supplier X</v>
      </c>
      <c r="K23" s="21">
        <v>2.8382899200000006E-2</v>
      </c>
      <c r="L23" s="21">
        <v>0</v>
      </c>
      <c r="M23" s="21">
        <v>7.7815862524000003E-3</v>
      </c>
      <c r="N23" s="21">
        <v>0</v>
      </c>
      <c r="O23" s="11">
        <f>SUM(Table1[[#This Row],[Labor
Saving]:[OH
Saving]])</f>
        <v>3.6164485452400003E-2</v>
      </c>
      <c r="Q23" s="40">
        <f t="shared" si="21"/>
        <v>0</v>
      </c>
      <c r="R23" s="40">
        <f t="shared" si="0"/>
        <v>0</v>
      </c>
      <c r="S23" s="40">
        <f t="shared" si="1"/>
        <v>27010.5</v>
      </c>
      <c r="T23" s="40">
        <f t="shared" si="2"/>
        <v>74480</v>
      </c>
      <c r="U23" s="40">
        <f t="shared" si="3"/>
        <v>78343</v>
      </c>
      <c r="V23" s="40">
        <f t="shared" si="4"/>
        <v>72933</v>
      </c>
      <c r="W23" s="40">
        <f t="shared" si="5"/>
        <v>74479</v>
      </c>
      <c r="X23" s="40">
        <f t="shared" si="6"/>
        <v>58273</v>
      </c>
      <c r="Y23" s="40">
        <f t="shared" si="7"/>
        <v>67997</v>
      </c>
      <c r="Z23" s="40">
        <f t="shared" si="8"/>
        <v>85542</v>
      </c>
      <c r="AA23" s="40">
        <f t="shared" si="9"/>
        <v>75465</v>
      </c>
      <c r="AB23" s="40">
        <f t="shared" si="10"/>
        <v>84571</v>
      </c>
      <c r="AC23" s="37">
        <f>SUM(Table1[[#This Row],[Jan]:[Dec]])</f>
        <v>699093.5</v>
      </c>
      <c r="AD23" s="15">
        <f t="shared" si="22"/>
        <v>0</v>
      </c>
      <c r="AE23" s="15">
        <f t="shared" si="23"/>
        <v>0</v>
      </c>
      <c r="AF23" s="15">
        <f t="shared" si="24"/>
        <v>976.82083431205024</v>
      </c>
      <c r="AG23" s="15">
        <f t="shared" si="25"/>
        <v>2693.5308764947522</v>
      </c>
      <c r="AH23" s="15">
        <f t="shared" si="26"/>
        <v>2833.2342837973733</v>
      </c>
      <c r="AI23" s="15">
        <f t="shared" si="27"/>
        <v>2637.5844174998892</v>
      </c>
      <c r="AJ23" s="15">
        <f t="shared" si="28"/>
        <v>2693.4947120092997</v>
      </c>
      <c r="AK23" s="15">
        <f t="shared" si="29"/>
        <v>2107.4130607677052</v>
      </c>
      <c r="AL23" s="15">
        <f t="shared" si="30"/>
        <v>2459.076517306843</v>
      </c>
      <c r="AM23" s="15">
        <f t="shared" si="31"/>
        <v>3093.5824145692009</v>
      </c>
      <c r="AN23" s="15">
        <f t="shared" si="32"/>
        <v>2729.1528946653661</v>
      </c>
      <c r="AO23" s="15">
        <f t="shared" si="33"/>
        <v>3058.4666991949207</v>
      </c>
      <c r="AP23" s="10">
        <f t="shared" si="34"/>
        <v>976.82083431205024</v>
      </c>
      <c r="AQ23" s="10">
        <f t="shared" si="35"/>
        <v>8164.3495777920143</v>
      </c>
      <c r="AR23" s="10">
        <f t="shared" si="36"/>
        <v>7259.9842900838485</v>
      </c>
      <c r="AS23" s="10">
        <f t="shared" si="37"/>
        <v>8881.2020084294891</v>
      </c>
      <c r="AT23" s="10" t="b">
        <f t="shared" si="38"/>
        <v>1</v>
      </c>
      <c r="AU23" s="10">
        <f t="shared" si="12"/>
        <v>19842.300341875205</v>
      </c>
      <c r="AV23" s="10">
        <f t="shared" si="13"/>
        <v>0</v>
      </c>
      <c r="AW23" s="10">
        <f t="shared" si="14"/>
        <v>5440.0563687422</v>
      </c>
      <c r="AX23" s="10">
        <f t="shared" si="15"/>
        <v>0</v>
      </c>
      <c r="AY23" s="10">
        <f t="shared" si="39"/>
        <v>25282.356710617405</v>
      </c>
      <c r="AZ23" s="19">
        <f>IFERROR(IF($E23="REC",INDEX(A_Type_Volume!$B:$B,MATCH($D23,A_Type_Volume!$A:$A,0),1),IF($E23="VAM",INDEX(C_Type_Volume!$B:$B,MATCH($D23,C_Type_Volume!$A:$A,0),1),"X")),"")</f>
        <v>48500</v>
      </c>
      <c r="BA23" s="19">
        <f>IFERROR(IF($E23="REC",INDEX(A_Type_Volume!$C:$C,MATCH($D23,A_Type_Volume!$A:$A,0),1),IF($E23="VAM",INDEX(C_Type_Volume!$C:$C,MATCH($D23,C_Type_Volume!$A:$A,0),1),"X")),"")</f>
        <v>80821</v>
      </c>
      <c r="BB23" s="19">
        <f>IFERROR(IF($E23="REC",INDEX(A_Type_Volume!$D:$D,MATCH($D23,A_Type_Volume!$A:$A,0),1),IF($E23="VAM",INDEX(C_Type_Volume!$D:$D,MATCH($D23,C_Type_Volume!$A:$A,0),1),"X")),"")</f>
        <v>90035</v>
      </c>
      <c r="BC23" s="19">
        <f>IFERROR(IF($E23="REC",INDEX(A_Type_Volume!$E:$E,MATCH($D23,A_Type_Volume!$A:$A,0),1),IF($E23="VAM",INDEX(C_Type_Volume!$E:$E,MATCH($D23,C_Type_Volume!$A:$A,0),1),"X")),"")</f>
        <v>74480</v>
      </c>
      <c r="BD23" s="19">
        <f>IFERROR(IF($E23="REC",INDEX(A_Type_Volume!$F:$F,MATCH($D23,A_Type_Volume!$A:$A,0),1),IF($E23="VAM",INDEX(C_Type_Volume!$F:$F,MATCH($D23,C_Type_Volume!$A:$A,0),1),"X")),"")</f>
        <v>78343</v>
      </c>
      <c r="BE23" s="19">
        <f>IFERROR(IF($E23="REC",INDEX(A_Type_Volume!$G:$G,MATCH($D23,A_Type_Volume!$A:$A,0),1),IF($E23="VAM",INDEX(C_Type_Volume!$G:$G,MATCH($D23,C_Type_Volume!$A:$A,0),1),"X")),"")</f>
        <v>72933</v>
      </c>
      <c r="BF23" s="19">
        <f>IFERROR(IF($E23="REC",INDEX(A_Type_Volume!$H:$H,MATCH($D23,A_Type_Volume!$A:$A,0),1),IF($E23="VAM",INDEX(C_Type_Volume!$H:$H,MATCH($D23,C_Type_Volume!$A:$A,0),1),"X")),"")</f>
        <v>74479</v>
      </c>
      <c r="BG23" s="19">
        <f>IFERROR(IF($E23="REC",INDEX(A_Type_Volume!$I:$I,MATCH($D23,A_Type_Volume!$A:$A,0),1),IF($E23="VAM",INDEX(C_Type_Volume!$I:$I,MATCH($D23,C_Type_Volume!$A:$A,0),1),"X")),"")</f>
        <v>58273</v>
      </c>
      <c r="BH23" s="19">
        <f>IFERROR(IF($E23="REC",INDEX(A_Type_Volume!$J:$J,MATCH($D23,A_Type_Volume!$A:$A,0),1),IF($E23="VAM",INDEX(C_Type_Volume!$J:$J,MATCH($D23,C_Type_Volume!$A:$A,0),1),"X")),"")</f>
        <v>67997</v>
      </c>
      <c r="BI23" s="19">
        <f>IFERROR(IF($E23="REC",INDEX(A_Type_Volume!$K:$K,MATCH($D23,A_Type_Volume!$A:$A,0),1),IF($E23="VAM",INDEX(C_Type_Volume!$K:$K,MATCH($D23,C_Type_Volume!$A:$A,0),1),"X")),"")</f>
        <v>85542</v>
      </c>
      <c r="BJ23" s="19">
        <f>IFERROR(IF($E23="REC",INDEX(A_Type_Volume!$L:$L,MATCH($D23,A_Type_Volume!$A:$A,0),1),IF($E23="VAM",INDEX(C_Type_Volume!$L:$L,MATCH($D23,C_Type_Volume!$A:$A,0),1),"X")),"")</f>
        <v>75465</v>
      </c>
      <c r="BK23" s="19">
        <f>IFERROR(IF($E23="REC",INDEX(A_Type_Volume!M:M,MATCH($D23,A_Type_Volume!$A:$A,0),1),IF($E23="VAM",INDEX(C_Type_Volume!M:M,MATCH($D23,C_Type_Volume!$A:$A,0),1),"X")),"")</f>
        <v>84571</v>
      </c>
      <c r="BL23" s="38">
        <f>SUM(Table1[[#This Row],[Jan_AVF]:[Dec_AVF]])</f>
        <v>891439</v>
      </c>
      <c r="BM23" s="16">
        <f t="shared" si="40"/>
        <v>1753.9775444414001</v>
      </c>
      <c r="BN23" s="16">
        <f t="shared" si="41"/>
        <v>2922.8498787484205</v>
      </c>
      <c r="BO23" s="16">
        <f t="shared" si="42"/>
        <v>3256.0694477068341</v>
      </c>
      <c r="BP23" s="16">
        <f t="shared" si="43"/>
        <v>2693.5308764947522</v>
      </c>
      <c r="BQ23" s="16">
        <f t="shared" si="44"/>
        <v>2833.2342837973733</v>
      </c>
      <c r="BR23" s="16">
        <f t="shared" si="45"/>
        <v>2637.5844174998892</v>
      </c>
      <c r="BS23" s="16">
        <f t="shared" si="46"/>
        <v>2693.4947120092997</v>
      </c>
      <c r="BT23" s="16">
        <f t="shared" si="47"/>
        <v>2107.4130607677052</v>
      </c>
      <c r="BU23" s="16">
        <f t="shared" si="48"/>
        <v>2459.076517306843</v>
      </c>
      <c r="BV23" s="16">
        <f t="shared" si="49"/>
        <v>3093.5824145692009</v>
      </c>
      <c r="BW23" s="16">
        <f t="shared" si="50"/>
        <v>2729.1528946653661</v>
      </c>
      <c r="BX23" s="16">
        <f t="shared" si="51"/>
        <v>3058.4666991949207</v>
      </c>
      <c r="BY23" s="10">
        <f t="shared" si="17"/>
        <v>7932.8968708966549</v>
      </c>
      <c r="BZ23" s="10">
        <f t="shared" si="18"/>
        <v>8164.3495777920143</v>
      </c>
      <c r="CA23" s="10">
        <f t="shared" si="19"/>
        <v>7259.9842900838485</v>
      </c>
      <c r="CB23" s="10">
        <f t="shared" si="20"/>
        <v>8881.2020084294891</v>
      </c>
      <c r="CC23" s="10">
        <f>IFERROR(Table1[[#This Row],[Labor
Saving]]*Table1[[#This Row],[Annual Volume]],"")</f>
        <v>25301.623279948806</v>
      </c>
      <c r="CD23" s="10">
        <f>IFERROR(Table1[[#This Row],[Annual Volume]]*Table1[[#This Row],[Yield
Saving]],"")</f>
        <v>0</v>
      </c>
      <c r="CE23" s="10">
        <f>IFERROR(Table1[[#This Row],[Annual Volume]]*Table1[[#This Row],[Material
Saving]],"")</f>
        <v>6936.8094672532043</v>
      </c>
      <c r="CF23" s="10">
        <f>IFERROR(Table1[[#This Row],[OH
Saving]]*Table1[[#This Row],[Annual Volume]],"")</f>
        <v>0</v>
      </c>
      <c r="CG23" s="10">
        <f>SUM(Table1[[#This Row],[Labor_ASV]:[OH_ASV]])</f>
        <v>32238.432747202009</v>
      </c>
    </row>
    <row r="24" spans="1:85" x14ac:dyDescent="0.3">
      <c r="A24" t="str">
        <f>Table1[[#This Row],[Project Name]]&amp;Table1[[#This Row],[Part Number]]</f>
        <v>Ti Target Supplier XR191</v>
      </c>
      <c r="B24" t="str">
        <f>IFERROR(Table1[[#This Row],[Project Number]]&amp;Table1[[#This Row],[Part Number]],"")</f>
        <v>AME25-014R191</v>
      </c>
      <c r="C24" s="22" t="s">
        <v>74</v>
      </c>
      <c r="D24" s="24" t="s">
        <v>429</v>
      </c>
      <c r="E24" s="25" t="s">
        <v>58</v>
      </c>
      <c r="F24" s="6">
        <f>INDEX(Proj_Reg!G:G,MATCH($C24,Proj_Reg!$B:$B,0),1)</f>
        <v>46054</v>
      </c>
      <c r="G24" s="6">
        <f>INDEX(Proj_Reg!H:H,MATCH($C24,Proj_Reg!$B:$B,0),1)</f>
        <v>46388</v>
      </c>
      <c r="H24" s="6" t="str">
        <f>IF(INDEX(Proj_Reg!C:C,MATCH($C24,Proj_Reg!$B:$B,0),1)=0,"",INDEX(Proj_Reg!C:C,MATCH($C24,Proj_Reg!$B:$B,0),1))</f>
        <v>Sputtering</v>
      </c>
      <c r="I24" s="6" t="str">
        <f>IF(INDEX(Proj_Reg!D:D,MATCH($C24,Proj_Reg!$B:$B,0),1)=0,"",INDEX(Proj_Reg!D:D,MATCH($C24,Proj_Reg!$B:$B,0),1))</f>
        <v>XWP</v>
      </c>
      <c r="J24" s="6" t="str">
        <f>INDEX(Proj_Reg!E:E,MATCH($C24,Proj_Reg!$B:$B,0),1)</f>
        <v>Ti Target Supplier X</v>
      </c>
      <c r="K24" s="21">
        <v>2.0521605382352946E-2</v>
      </c>
      <c r="L24" s="21">
        <v>0</v>
      </c>
      <c r="M24" s="21">
        <v>1.3578494711489997E-2</v>
      </c>
      <c r="N24" s="21">
        <v>0</v>
      </c>
      <c r="O24" s="11">
        <f>SUM(Table1[[#This Row],[Labor
Saving]:[OH
Saving]])</f>
        <v>3.4100100093842942E-2</v>
      </c>
      <c r="Q24" s="40">
        <f t="shared" si="21"/>
        <v>0</v>
      </c>
      <c r="R24" s="40">
        <f t="shared" si="0"/>
        <v>0</v>
      </c>
      <c r="S24" s="40">
        <f t="shared" si="1"/>
        <v>0</v>
      </c>
      <c r="T24" s="40">
        <f t="shared" si="2"/>
        <v>0</v>
      </c>
      <c r="U24" s="40">
        <f t="shared" si="3"/>
        <v>0</v>
      </c>
      <c r="V24" s="40">
        <f t="shared" si="4"/>
        <v>0</v>
      </c>
      <c r="W24" s="40">
        <f t="shared" si="5"/>
        <v>0</v>
      </c>
      <c r="X24" s="40">
        <f t="shared" si="6"/>
        <v>0</v>
      </c>
      <c r="Y24" s="40">
        <f t="shared" si="7"/>
        <v>0</v>
      </c>
      <c r="Z24" s="40">
        <f t="shared" si="8"/>
        <v>0</v>
      </c>
      <c r="AA24" s="40">
        <f t="shared" si="9"/>
        <v>0</v>
      </c>
      <c r="AB24" s="40">
        <f t="shared" si="10"/>
        <v>0</v>
      </c>
      <c r="AC24" s="37">
        <f>SUM(Table1[[#This Row],[Jan]:[Dec]])</f>
        <v>0</v>
      </c>
      <c r="AD24" s="15">
        <f t="shared" si="22"/>
        <v>0</v>
      </c>
      <c r="AE24" s="15">
        <f t="shared" si="23"/>
        <v>0</v>
      </c>
      <c r="AF24" s="15">
        <f t="shared" si="24"/>
        <v>0</v>
      </c>
      <c r="AG24" s="15">
        <f t="shared" si="25"/>
        <v>0</v>
      </c>
      <c r="AH24" s="15">
        <f t="shared" si="26"/>
        <v>0</v>
      </c>
      <c r="AI24" s="15">
        <f t="shared" si="27"/>
        <v>0</v>
      </c>
      <c r="AJ24" s="15">
        <f t="shared" si="28"/>
        <v>0</v>
      </c>
      <c r="AK24" s="15">
        <f t="shared" si="29"/>
        <v>0</v>
      </c>
      <c r="AL24" s="15">
        <f t="shared" si="30"/>
        <v>0</v>
      </c>
      <c r="AM24" s="15">
        <f t="shared" si="31"/>
        <v>0</v>
      </c>
      <c r="AN24" s="15">
        <f t="shared" si="32"/>
        <v>0</v>
      </c>
      <c r="AO24" s="15">
        <f t="shared" si="33"/>
        <v>0</v>
      </c>
      <c r="AP24" s="10">
        <f t="shared" si="34"/>
        <v>0</v>
      </c>
      <c r="AQ24" s="10">
        <f t="shared" si="35"/>
        <v>0</v>
      </c>
      <c r="AR24" s="10">
        <f t="shared" si="36"/>
        <v>0</v>
      </c>
      <c r="AS24" s="10">
        <f t="shared" si="37"/>
        <v>0</v>
      </c>
      <c r="AT24" s="10" t="b">
        <f t="shared" si="38"/>
        <v>1</v>
      </c>
      <c r="AU24" s="10">
        <f t="shared" si="12"/>
        <v>0</v>
      </c>
      <c r="AV24" s="10">
        <f t="shared" si="13"/>
        <v>0</v>
      </c>
      <c r="AW24" s="10">
        <f t="shared" si="14"/>
        <v>0</v>
      </c>
      <c r="AX24" s="10">
        <f t="shared" si="15"/>
        <v>0</v>
      </c>
      <c r="AY24" s="10">
        <f t="shared" si="39"/>
        <v>0</v>
      </c>
      <c r="AZ24" s="19">
        <f>IFERROR(IF($E24="REC",INDEX(A_Type_Volume!$B:$B,MATCH($D24,A_Type_Volume!$A:$A,0),1),IF($E24="VAM",INDEX(C_Type_Volume!$B:$B,MATCH($D24,C_Type_Volume!$A:$A,0),1),"X")),"")</f>
        <v>0</v>
      </c>
      <c r="BA24" s="19">
        <f>IFERROR(IF($E24="REC",INDEX(A_Type_Volume!$C:$C,MATCH($D24,A_Type_Volume!$A:$A,0),1),IF($E24="VAM",INDEX(C_Type_Volume!$C:$C,MATCH($D24,C_Type_Volume!$A:$A,0),1),"X")),"")</f>
        <v>0</v>
      </c>
      <c r="BB24" s="19">
        <f>IFERROR(IF($E24="REC",INDEX(A_Type_Volume!$D:$D,MATCH($D24,A_Type_Volume!$A:$A,0),1),IF($E24="VAM",INDEX(C_Type_Volume!$D:$D,MATCH($D24,C_Type_Volume!$A:$A,0),1),"X")),"")</f>
        <v>0</v>
      </c>
      <c r="BC24" s="19">
        <f>IFERROR(IF($E24="REC",INDEX(A_Type_Volume!$E:$E,MATCH($D24,A_Type_Volume!$A:$A,0),1),IF($E24="VAM",INDEX(C_Type_Volume!$E:$E,MATCH($D24,C_Type_Volume!$A:$A,0),1),"X")),"")</f>
        <v>0</v>
      </c>
      <c r="BD24" s="19">
        <f>IFERROR(IF($E24="REC",INDEX(A_Type_Volume!$F:$F,MATCH($D24,A_Type_Volume!$A:$A,0),1),IF($E24="VAM",INDEX(C_Type_Volume!$F:$F,MATCH($D24,C_Type_Volume!$A:$A,0),1),"X")),"")</f>
        <v>0</v>
      </c>
      <c r="BE24" s="19">
        <f>IFERROR(IF($E24="REC",INDEX(A_Type_Volume!$G:$G,MATCH($D24,A_Type_Volume!$A:$A,0),1),IF($E24="VAM",INDEX(C_Type_Volume!$G:$G,MATCH($D24,C_Type_Volume!$A:$A,0),1),"X")),"")</f>
        <v>0</v>
      </c>
      <c r="BF24" s="19">
        <f>IFERROR(IF($E24="REC",INDEX(A_Type_Volume!$H:$H,MATCH($D24,A_Type_Volume!$A:$A,0),1),IF($E24="VAM",INDEX(C_Type_Volume!$H:$H,MATCH($D24,C_Type_Volume!$A:$A,0),1),"X")),"")</f>
        <v>0</v>
      </c>
      <c r="BG24" s="19">
        <f>IFERROR(IF($E24="REC",INDEX(A_Type_Volume!$I:$I,MATCH($D24,A_Type_Volume!$A:$A,0),1),IF($E24="VAM",INDEX(C_Type_Volume!$I:$I,MATCH($D24,C_Type_Volume!$A:$A,0),1),"X")),"")</f>
        <v>0</v>
      </c>
      <c r="BH24" s="19">
        <f>IFERROR(IF($E24="REC",INDEX(A_Type_Volume!$J:$J,MATCH($D24,A_Type_Volume!$A:$A,0),1),IF($E24="VAM",INDEX(C_Type_Volume!$J:$J,MATCH($D24,C_Type_Volume!$A:$A,0),1),"X")),"")</f>
        <v>0</v>
      </c>
      <c r="BI24" s="19">
        <f>IFERROR(IF($E24="REC",INDEX(A_Type_Volume!$K:$K,MATCH($D24,A_Type_Volume!$A:$A,0),1),IF($E24="VAM",INDEX(C_Type_Volume!$K:$K,MATCH($D24,C_Type_Volume!$A:$A,0),1),"X")),"")</f>
        <v>0</v>
      </c>
      <c r="BJ24" s="19">
        <f>IFERROR(IF($E24="REC",INDEX(A_Type_Volume!$L:$L,MATCH($D24,A_Type_Volume!$A:$A,0),1),IF($E24="VAM",INDEX(C_Type_Volume!$L:$L,MATCH($D24,C_Type_Volume!$A:$A,0),1),"X")),"")</f>
        <v>0</v>
      </c>
      <c r="BK24" s="19">
        <f>IFERROR(IF($E24="REC",INDEX(A_Type_Volume!M:M,MATCH($D24,A_Type_Volume!$A:$A,0),1),IF($E24="VAM",INDEX(C_Type_Volume!M:M,MATCH($D24,C_Type_Volume!$A:$A,0),1),"X")),"")</f>
        <v>0</v>
      </c>
      <c r="BL24" s="38">
        <f>SUM(Table1[[#This Row],[Jan_AVF]:[Dec_AVF]])</f>
        <v>0</v>
      </c>
      <c r="BM24" s="16">
        <f t="shared" si="40"/>
        <v>0</v>
      </c>
      <c r="BN24" s="16">
        <f t="shared" si="41"/>
        <v>0</v>
      </c>
      <c r="BO24" s="16">
        <f t="shared" si="42"/>
        <v>0</v>
      </c>
      <c r="BP24" s="16">
        <f t="shared" si="43"/>
        <v>0</v>
      </c>
      <c r="BQ24" s="16">
        <f t="shared" si="44"/>
        <v>0</v>
      </c>
      <c r="BR24" s="16">
        <f t="shared" si="45"/>
        <v>0</v>
      </c>
      <c r="BS24" s="16">
        <f t="shared" si="46"/>
        <v>0</v>
      </c>
      <c r="BT24" s="16">
        <f t="shared" si="47"/>
        <v>0</v>
      </c>
      <c r="BU24" s="16">
        <f t="shared" si="48"/>
        <v>0</v>
      </c>
      <c r="BV24" s="16">
        <f t="shared" si="49"/>
        <v>0</v>
      </c>
      <c r="BW24" s="16">
        <f t="shared" si="50"/>
        <v>0</v>
      </c>
      <c r="BX24" s="16">
        <f t="shared" si="51"/>
        <v>0</v>
      </c>
      <c r="BY24" s="10">
        <f t="shared" si="17"/>
        <v>0</v>
      </c>
      <c r="BZ24" s="10">
        <f t="shared" si="18"/>
        <v>0</v>
      </c>
      <c r="CA24" s="10">
        <f t="shared" si="19"/>
        <v>0</v>
      </c>
      <c r="CB24" s="10">
        <f t="shared" si="20"/>
        <v>0</v>
      </c>
      <c r="CC24" s="10">
        <f>IFERROR(Table1[[#This Row],[Labor
Saving]]*Table1[[#This Row],[Annual Volume]],"")</f>
        <v>0</v>
      </c>
      <c r="CD24" s="10">
        <f>IFERROR(Table1[[#This Row],[Annual Volume]]*Table1[[#This Row],[Yield
Saving]],"")</f>
        <v>0</v>
      </c>
      <c r="CE24" s="10">
        <f>IFERROR(Table1[[#This Row],[Annual Volume]]*Table1[[#This Row],[Material
Saving]],"")</f>
        <v>0</v>
      </c>
      <c r="CF24" s="10">
        <f>IFERROR(Table1[[#This Row],[OH
Saving]]*Table1[[#This Row],[Annual Volume]],"")</f>
        <v>0</v>
      </c>
      <c r="CG24" s="10">
        <f>SUM(Table1[[#This Row],[Labor_ASV]:[OH_ASV]])</f>
        <v>0</v>
      </c>
    </row>
    <row r="25" spans="1:85" x14ac:dyDescent="0.3">
      <c r="A25" t="str">
        <f>Table1[[#This Row],[Project Name]]&amp;Table1[[#This Row],[Part Number]]</f>
        <v>Ti Target Supplier ZR91</v>
      </c>
      <c r="B25" t="str">
        <f>IFERROR(Table1[[#This Row],[Project Number]]&amp;Table1[[#This Row],[Part Number]],"")</f>
        <v>AME25-015R91</v>
      </c>
      <c r="C25" s="22" t="s">
        <v>75</v>
      </c>
      <c r="D25" s="24" t="s">
        <v>329</v>
      </c>
      <c r="E25" s="25" t="s">
        <v>58</v>
      </c>
      <c r="F25" s="6">
        <f>INDEX(Proj_Reg!G:G,MATCH($C25,Proj_Reg!$B:$B,0),1)</f>
        <v>46113</v>
      </c>
      <c r="G25" s="6">
        <f>INDEX(Proj_Reg!H:H,MATCH($C25,Proj_Reg!$B:$B,0),1)</f>
        <v>46447</v>
      </c>
      <c r="H25" s="6" t="str">
        <f>IF(INDEX(Proj_Reg!C:C,MATCH($C25,Proj_Reg!$B:$B,0),1)=0,"",INDEX(Proj_Reg!C:C,MATCH($C25,Proj_Reg!$B:$B,0),1))</f>
        <v>Sputtering</v>
      </c>
      <c r="I25" s="6" t="str">
        <f>IF(INDEX(Proj_Reg!D:D,MATCH($C25,Proj_Reg!$B:$B,0),1)=0,"",INDEX(Proj_Reg!D:D,MATCH($C25,Proj_Reg!$B:$B,0),1))</f>
        <v>XWP</v>
      </c>
      <c r="J25" s="6" t="str">
        <f>INDEX(Proj_Reg!E:E,MATCH($C25,Proj_Reg!$B:$B,0),1)</f>
        <v>Ti Target Supplier Z</v>
      </c>
      <c r="K25" s="21">
        <v>3.0763235200000003E-2</v>
      </c>
      <c r="L25" s="21">
        <v>0</v>
      </c>
      <c r="M25" s="21">
        <v>1.3578494711489997E-2</v>
      </c>
      <c r="N25" s="21">
        <v>0</v>
      </c>
      <c r="O25" s="11">
        <f>SUM(Table1[[#This Row],[Labor
Saving]:[OH
Saving]])</f>
        <v>4.4341729911489998E-2</v>
      </c>
      <c r="Q25" s="40">
        <f t="shared" si="21"/>
        <v>0</v>
      </c>
      <c r="R25" s="40">
        <f t="shared" si="0"/>
        <v>0</v>
      </c>
      <c r="S25" s="40">
        <f t="shared" si="1"/>
        <v>0</v>
      </c>
      <c r="T25" s="40">
        <f t="shared" si="2"/>
        <v>5118.3</v>
      </c>
      <c r="U25" s="40">
        <f t="shared" si="3"/>
        <v>21612</v>
      </c>
      <c r="V25" s="40">
        <f t="shared" si="4"/>
        <v>114329</v>
      </c>
      <c r="W25" s="40">
        <f t="shared" si="5"/>
        <v>18806</v>
      </c>
      <c r="X25" s="40">
        <f t="shared" si="6"/>
        <v>14714</v>
      </c>
      <c r="Y25" s="40">
        <f t="shared" si="7"/>
        <v>17169</v>
      </c>
      <c r="Z25" s="40">
        <f t="shared" si="8"/>
        <v>16867</v>
      </c>
      <c r="AA25" s="40">
        <f t="shared" si="9"/>
        <v>14880</v>
      </c>
      <c r="AB25" s="40">
        <f t="shared" si="10"/>
        <v>16676</v>
      </c>
      <c r="AC25" s="37">
        <f>SUM(Table1[[#This Row],[Jan]:[Dec]])</f>
        <v>240171.3</v>
      </c>
      <c r="AD25" s="15">
        <f t="shared" si="22"/>
        <v>0</v>
      </c>
      <c r="AE25" s="15">
        <f t="shared" si="23"/>
        <v>0</v>
      </c>
      <c r="AF25" s="15">
        <f t="shared" si="24"/>
        <v>0</v>
      </c>
      <c r="AG25" s="15">
        <f t="shared" si="25"/>
        <v>226.95427620597926</v>
      </c>
      <c r="AH25" s="15">
        <f t="shared" si="26"/>
        <v>958.31346684712184</v>
      </c>
      <c r="AI25" s="15">
        <f t="shared" si="27"/>
        <v>5069.5456390507397</v>
      </c>
      <c r="AJ25" s="15">
        <f t="shared" si="28"/>
        <v>833.89057271548086</v>
      </c>
      <c r="AK25" s="15">
        <f t="shared" si="29"/>
        <v>652.44421391766377</v>
      </c>
      <c r="AL25" s="15">
        <f t="shared" si="30"/>
        <v>761.3031608503718</v>
      </c>
      <c r="AM25" s="15">
        <f t="shared" si="31"/>
        <v>747.9119584171018</v>
      </c>
      <c r="AN25" s="15">
        <f t="shared" si="32"/>
        <v>659.80494108297114</v>
      </c>
      <c r="AO25" s="15">
        <f t="shared" si="33"/>
        <v>739.44268800400721</v>
      </c>
      <c r="AP25" s="10">
        <f t="shared" si="34"/>
        <v>0</v>
      </c>
      <c r="AQ25" s="10">
        <f t="shared" si="35"/>
        <v>6254.8133821038409</v>
      </c>
      <c r="AR25" s="10">
        <f t="shared" si="36"/>
        <v>2247.6379474835167</v>
      </c>
      <c r="AS25" s="10">
        <f t="shared" si="37"/>
        <v>2147.1595875040803</v>
      </c>
      <c r="AT25" s="10" t="b">
        <f t="shared" si="38"/>
        <v>1</v>
      </c>
      <c r="AU25" s="10">
        <f t="shared" si="12"/>
        <v>7388.4461901897603</v>
      </c>
      <c r="AV25" s="10">
        <f t="shared" si="13"/>
        <v>0</v>
      </c>
      <c r="AW25" s="10">
        <f t="shared" si="14"/>
        <v>3261.1647269016776</v>
      </c>
      <c r="AX25" s="10">
        <f t="shared" si="15"/>
        <v>0</v>
      </c>
      <c r="AY25" s="10">
        <f t="shared" si="39"/>
        <v>10649.610917091439</v>
      </c>
      <c r="AZ25" s="19">
        <f>IFERROR(IF($E25="REC",INDEX(A_Type_Volume!$B:$B,MATCH($D25,A_Type_Volume!$A:$A,0),1),IF($E25="VAM",INDEX(C_Type_Volume!$B:$B,MATCH($D25,C_Type_Volume!$A:$A,0),1),"X")),"")</f>
        <v>6761</v>
      </c>
      <c r="BA25" s="19">
        <f>IFERROR(IF($E25="REC",INDEX(A_Type_Volume!$C:$C,MATCH($D25,A_Type_Volume!$A:$A,0),1),IF($E25="VAM",INDEX(C_Type_Volume!$C:$C,MATCH($D25,C_Type_Volume!$A:$A,0),1),"X")),"")</f>
        <v>20544</v>
      </c>
      <c r="BB25" s="19">
        <f>IFERROR(IF($E25="REC",INDEX(A_Type_Volume!$D:$D,MATCH($D25,A_Type_Volume!$A:$A,0),1),IF($E25="VAM",INDEX(C_Type_Volume!$D:$D,MATCH($D25,C_Type_Volume!$A:$A,0),1),"X")),"")</f>
        <v>36147</v>
      </c>
      <c r="BC25" s="19">
        <f>IFERROR(IF($E25="REC",INDEX(A_Type_Volume!$E:$E,MATCH($D25,A_Type_Volume!$A:$A,0),1),IF($E25="VAM",INDEX(C_Type_Volume!$E:$E,MATCH($D25,C_Type_Volume!$A:$A,0),1),"X")),"")</f>
        <v>17061</v>
      </c>
      <c r="BD25" s="19">
        <f>IFERROR(IF($E25="REC",INDEX(A_Type_Volume!$F:$F,MATCH($D25,A_Type_Volume!$A:$A,0),1),IF($E25="VAM",INDEX(C_Type_Volume!$F:$F,MATCH($D25,C_Type_Volume!$A:$A,0),1),"X")),"")</f>
        <v>21612</v>
      </c>
      <c r="BE25" s="19">
        <f>IFERROR(IF($E25="REC",INDEX(A_Type_Volume!$G:$G,MATCH($D25,A_Type_Volume!$A:$A,0),1),IF($E25="VAM",INDEX(C_Type_Volume!$G:$G,MATCH($D25,C_Type_Volume!$A:$A,0),1),"X")),"")</f>
        <v>114329</v>
      </c>
      <c r="BF25" s="19">
        <f>IFERROR(IF($E25="REC",INDEX(A_Type_Volume!$H:$H,MATCH($D25,A_Type_Volume!$A:$A,0),1),IF($E25="VAM",INDEX(C_Type_Volume!$H:$H,MATCH($D25,C_Type_Volume!$A:$A,0),1),"X")),"")</f>
        <v>18806</v>
      </c>
      <c r="BG25" s="19">
        <f>IFERROR(IF($E25="REC",INDEX(A_Type_Volume!$I:$I,MATCH($D25,A_Type_Volume!$A:$A,0),1),IF($E25="VAM",INDEX(C_Type_Volume!$I:$I,MATCH($D25,C_Type_Volume!$A:$A,0),1),"X")),"")</f>
        <v>14714</v>
      </c>
      <c r="BH25" s="19">
        <f>IFERROR(IF($E25="REC",INDEX(A_Type_Volume!$J:$J,MATCH($D25,A_Type_Volume!$A:$A,0),1),IF($E25="VAM",INDEX(C_Type_Volume!$J:$J,MATCH($D25,C_Type_Volume!$A:$A,0),1),"X")),"")</f>
        <v>17169</v>
      </c>
      <c r="BI25" s="19">
        <f>IFERROR(IF($E25="REC",INDEX(A_Type_Volume!$K:$K,MATCH($D25,A_Type_Volume!$A:$A,0),1),IF($E25="VAM",INDEX(C_Type_Volume!$K:$K,MATCH($D25,C_Type_Volume!$A:$A,0),1),"X")),"")</f>
        <v>16867</v>
      </c>
      <c r="BJ25" s="19">
        <f>IFERROR(IF($E25="REC",INDEX(A_Type_Volume!$L:$L,MATCH($D25,A_Type_Volume!$A:$A,0),1),IF($E25="VAM",INDEX(C_Type_Volume!$L:$L,MATCH($D25,C_Type_Volume!$A:$A,0),1),"X")),"")</f>
        <v>14880</v>
      </c>
      <c r="BK25" s="19">
        <f>IFERROR(IF($E25="REC",INDEX(A_Type_Volume!M:M,MATCH($D25,A_Type_Volume!$A:$A,0),1),IF($E25="VAM",INDEX(C_Type_Volume!M:M,MATCH($D25,C_Type_Volume!$A:$A,0),1),"X")),"")</f>
        <v>16676</v>
      </c>
      <c r="BL25" s="38">
        <f>SUM(Table1[[#This Row],[Jan_AVF]:[Dec_AVF]])</f>
        <v>315566</v>
      </c>
      <c r="BM25" s="16">
        <f t="shared" si="40"/>
        <v>299.79443593158385</v>
      </c>
      <c r="BN25" s="16">
        <f t="shared" si="41"/>
        <v>910.95649930165052</v>
      </c>
      <c r="BO25" s="16">
        <f t="shared" si="42"/>
        <v>1602.820511110629</v>
      </c>
      <c r="BP25" s="16">
        <f t="shared" si="43"/>
        <v>756.51425401993083</v>
      </c>
      <c r="BQ25" s="16">
        <f t="shared" si="44"/>
        <v>958.31346684712184</v>
      </c>
      <c r="BR25" s="16">
        <f t="shared" si="45"/>
        <v>5069.5456390507397</v>
      </c>
      <c r="BS25" s="16">
        <f t="shared" si="46"/>
        <v>833.89057271548086</v>
      </c>
      <c r="BT25" s="16">
        <f t="shared" si="47"/>
        <v>652.44421391766377</v>
      </c>
      <c r="BU25" s="16">
        <f t="shared" si="48"/>
        <v>761.3031608503718</v>
      </c>
      <c r="BV25" s="16">
        <f t="shared" si="49"/>
        <v>747.9119584171018</v>
      </c>
      <c r="BW25" s="16">
        <f t="shared" si="50"/>
        <v>659.80494108297114</v>
      </c>
      <c r="BX25" s="16">
        <f t="shared" si="51"/>
        <v>739.44268800400721</v>
      </c>
      <c r="BY25" s="10">
        <f t="shared" si="17"/>
        <v>2813.5714463438635</v>
      </c>
      <c r="BZ25" s="10">
        <f t="shared" si="18"/>
        <v>6784.3733599177922</v>
      </c>
      <c r="CA25" s="10">
        <f t="shared" si="19"/>
        <v>2247.6379474835167</v>
      </c>
      <c r="CB25" s="10">
        <f t="shared" si="20"/>
        <v>2147.1595875040803</v>
      </c>
      <c r="CC25" s="10">
        <f>IFERROR(Table1[[#This Row],[Labor
Saving]]*Table1[[#This Row],[Annual Volume]],"")</f>
        <v>9707.8310791232016</v>
      </c>
      <c r="CD25" s="10">
        <f>IFERROR(Table1[[#This Row],[Annual Volume]]*Table1[[#This Row],[Yield
Saving]],"")</f>
        <v>0</v>
      </c>
      <c r="CE25" s="10">
        <f>IFERROR(Table1[[#This Row],[Annual Volume]]*Table1[[#This Row],[Material
Saving]],"")</f>
        <v>4284.9112621260529</v>
      </c>
      <c r="CF25" s="10">
        <f>IFERROR(Table1[[#This Row],[OH
Saving]]*Table1[[#This Row],[Annual Volume]],"")</f>
        <v>0</v>
      </c>
      <c r="CG25" s="10">
        <f>SUM(Table1[[#This Row],[Labor_ASV]:[OH_ASV]])</f>
        <v>13992.742341249254</v>
      </c>
    </row>
    <row r="26" spans="1:85" x14ac:dyDescent="0.3">
      <c r="A26" t="str">
        <f>Table1[[#This Row],[Project Name]]&amp;Table1[[#This Row],[Part Number]]</f>
        <v>Au Target Thickness 0.1umR192</v>
      </c>
      <c r="B26" t="str">
        <f>IFERROR(Table1[[#This Row],[Project Number]]&amp;Table1[[#This Row],[Part Number]],"")</f>
        <v>AME25-016R192</v>
      </c>
      <c r="C26" s="22" t="s">
        <v>76</v>
      </c>
      <c r="D26" s="24" t="s">
        <v>430</v>
      </c>
      <c r="E26" s="25" t="s">
        <v>58</v>
      </c>
      <c r="F26" s="6">
        <f>INDEX(Proj_Reg!G:G,MATCH($C26,Proj_Reg!$B:$B,0),1)</f>
        <v>46113</v>
      </c>
      <c r="G26" s="6">
        <f>INDEX(Proj_Reg!H:H,MATCH($C26,Proj_Reg!$B:$B,0),1)</f>
        <v>46447</v>
      </c>
      <c r="H26" s="6" t="str">
        <f>IF(INDEX(Proj_Reg!C:C,MATCH($C26,Proj_Reg!$B:$B,0),1)=0,"",INDEX(Proj_Reg!C:C,MATCH($C26,Proj_Reg!$B:$B,0),1))</f>
        <v>Sputtering</v>
      </c>
      <c r="I26" s="6" t="str">
        <f>IF(INDEX(Proj_Reg!D:D,MATCH($C26,Proj_Reg!$B:$B,0),1)=0,"",INDEX(Proj_Reg!D:D,MATCH($C26,Proj_Reg!$B:$B,0),1))</f>
        <v>XWP</v>
      </c>
      <c r="J26" s="6" t="str">
        <f>INDEX(Proj_Reg!E:E,MATCH($C26,Proj_Reg!$B:$B,0),1)</f>
        <v>Au Target Thickness 0.1um</v>
      </c>
      <c r="K26" s="21">
        <v>2.3775248800000006E-2</v>
      </c>
      <c r="L26" s="21">
        <v>0</v>
      </c>
      <c r="M26" s="21">
        <v>1.352555413341E-2</v>
      </c>
      <c r="N26" s="21">
        <v>0</v>
      </c>
      <c r="O26" s="11">
        <f>SUM(Table1[[#This Row],[Labor
Saving]:[OH
Saving]])</f>
        <v>3.730080293341001E-2</v>
      </c>
      <c r="Q26" s="40">
        <f t="shared" si="21"/>
        <v>0</v>
      </c>
      <c r="R26" s="40">
        <f t="shared" si="0"/>
        <v>0</v>
      </c>
      <c r="S26" s="40">
        <f t="shared" si="1"/>
        <v>0</v>
      </c>
      <c r="T26" s="40">
        <f t="shared" si="2"/>
        <v>0</v>
      </c>
      <c r="U26" s="40">
        <f t="shared" si="3"/>
        <v>0</v>
      </c>
      <c r="V26" s="40">
        <f t="shared" si="4"/>
        <v>0</v>
      </c>
      <c r="W26" s="40">
        <f t="shared" si="5"/>
        <v>0</v>
      </c>
      <c r="X26" s="40">
        <f t="shared" si="6"/>
        <v>0</v>
      </c>
      <c r="Y26" s="40">
        <f t="shared" si="7"/>
        <v>0</v>
      </c>
      <c r="Z26" s="40">
        <f t="shared" si="8"/>
        <v>0</v>
      </c>
      <c r="AA26" s="40">
        <f t="shared" si="9"/>
        <v>0</v>
      </c>
      <c r="AB26" s="40">
        <f t="shared" si="10"/>
        <v>0</v>
      </c>
      <c r="AC26" s="37">
        <f>SUM(Table1[[#This Row],[Jan]:[Dec]])</f>
        <v>0</v>
      </c>
      <c r="AD26" s="15">
        <f t="shared" si="22"/>
        <v>0</v>
      </c>
      <c r="AE26" s="15">
        <f t="shared" si="23"/>
        <v>0</v>
      </c>
      <c r="AF26" s="15">
        <f t="shared" si="24"/>
        <v>0</v>
      </c>
      <c r="AG26" s="15">
        <f t="shared" si="25"/>
        <v>0</v>
      </c>
      <c r="AH26" s="15">
        <f t="shared" si="26"/>
        <v>0</v>
      </c>
      <c r="AI26" s="15">
        <f t="shared" si="27"/>
        <v>0</v>
      </c>
      <c r="AJ26" s="15">
        <f t="shared" si="28"/>
        <v>0</v>
      </c>
      <c r="AK26" s="15">
        <f t="shared" si="29"/>
        <v>0</v>
      </c>
      <c r="AL26" s="15">
        <f t="shared" si="30"/>
        <v>0</v>
      </c>
      <c r="AM26" s="15">
        <f t="shared" si="31"/>
        <v>0</v>
      </c>
      <c r="AN26" s="15">
        <f t="shared" si="32"/>
        <v>0</v>
      </c>
      <c r="AO26" s="15">
        <f t="shared" si="33"/>
        <v>0</v>
      </c>
      <c r="AP26" s="10">
        <f t="shared" si="34"/>
        <v>0</v>
      </c>
      <c r="AQ26" s="10">
        <f t="shared" si="35"/>
        <v>0</v>
      </c>
      <c r="AR26" s="10">
        <f t="shared" si="36"/>
        <v>0</v>
      </c>
      <c r="AS26" s="10">
        <f t="shared" si="37"/>
        <v>0</v>
      </c>
      <c r="AT26" s="10" t="b">
        <f t="shared" si="38"/>
        <v>1</v>
      </c>
      <c r="AU26" s="10">
        <f t="shared" si="12"/>
        <v>0</v>
      </c>
      <c r="AV26" s="10">
        <f t="shared" si="13"/>
        <v>0</v>
      </c>
      <c r="AW26" s="10">
        <f t="shared" si="14"/>
        <v>0</v>
      </c>
      <c r="AX26" s="10">
        <f t="shared" si="15"/>
        <v>0</v>
      </c>
      <c r="AY26" s="10">
        <f t="shared" si="39"/>
        <v>0</v>
      </c>
      <c r="AZ26" s="19">
        <f>IFERROR(IF($E26="REC",INDEX(A_Type_Volume!$B:$B,MATCH($D26,A_Type_Volume!$A:$A,0),1),IF($E26="VAM",INDEX(C_Type_Volume!$B:$B,MATCH($D26,C_Type_Volume!$A:$A,0),1),"X")),"")</f>
        <v>0</v>
      </c>
      <c r="BA26" s="19">
        <f>IFERROR(IF($E26="REC",INDEX(A_Type_Volume!$C:$C,MATCH($D26,A_Type_Volume!$A:$A,0),1),IF($E26="VAM",INDEX(C_Type_Volume!$C:$C,MATCH($D26,C_Type_Volume!$A:$A,0),1),"X")),"")</f>
        <v>0</v>
      </c>
      <c r="BB26" s="19">
        <f>IFERROR(IF($E26="REC",INDEX(A_Type_Volume!$D:$D,MATCH($D26,A_Type_Volume!$A:$A,0),1),IF($E26="VAM",INDEX(C_Type_Volume!$D:$D,MATCH($D26,C_Type_Volume!$A:$A,0),1),"X")),"")</f>
        <v>0</v>
      </c>
      <c r="BC26" s="19">
        <f>IFERROR(IF($E26="REC",INDEX(A_Type_Volume!$E:$E,MATCH($D26,A_Type_Volume!$A:$A,0),1),IF($E26="VAM",INDEX(C_Type_Volume!$E:$E,MATCH($D26,C_Type_Volume!$A:$A,0),1),"X")),"")</f>
        <v>0</v>
      </c>
      <c r="BD26" s="19">
        <f>IFERROR(IF($E26="REC",INDEX(A_Type_Volume!$F:$F,MATCH($D26,A_Type_Volume!$A:$A,0),1),IF($E26="VAM",INDEX(C_Type_Volume!$F:$F,MATCH($D26,C_Type_Volume!$A:$A,0),1),"X")),"")</f>
        <v>0</v>
      </c>
      <c r="BE26" s="19">
        <f>IFERROR(IF($E26="REC",INDEX(A_Type_Volume!$G:$G,MATCH($D26,A_Type_Volume!$A:$A,0),1),IF($E26="VAM",INDEX(C_Type_Volume!$G:$G,MATCH($D26,C_Type_Volume!$A:$A,0),1),"X")),"")</f>
        <v>0</v>
      </c>
      <c r="BF26" s="19">
        <f>IFERROR(IF($E26="REC",INDEX(A_Type_Volume!$H:$H,MATCH($D26,A_Type_Volume!$A:$A,0),1),IF($E26="VAM",INDEX(C_Type_Volume!$H:$H,MATCH($D26,C_Type_Volume!$A:$A,0),1),"X")),"")</f>
        <v>0</v>
      </c>
      <c r="BG26" s="19">
        <f>IFERROR(IF($E26="REC",INDEX(A_Type_Volume!$I:$I,MATCH($D26,A_Type_Volume!$A:$A,0),1),IF($E26="VAM",INDEX(C_Type_Volume!$I:$I,MATCH($D26,C_Type_Volume!$A:$A,0),1),"X")),"")</f>
        <v>0</v>
      </c>
      <c r="BH26" s="19">
        <f>IFERROR(IF($E26="REC",INDEX(A_Type_Volume!$J:$J,MATCH($D26,A_Type_Volume!$A:$A,0),1),IF($E26="VAM",INDEX(C_Type_Volume!$J:$J,MATCH($D26,C_Type_Volume!$A:$A,0),1),"X")),"")</f>
        <v>0</v>
      </c>
      <c r="BI26" s="19">
        <f>IFERROR(IF($E26="REC",INDEX(A_Type_Volume!$K:$K,MATCH($D26,A_Type_Volume!$A:$A,0),1),IF($E26="VAM",INDEX(C_Type_Volume!$K:$K,MATCH($D26,C_Type_Volume!$A:$A,0),1),"X")),"")</f>
        <v>0</v>
      </c>
      <c r="BJ26" s="19">
        <f>IFERROR(IF($E26="REC",INDEX(A_Type_Volume!$L:$L,MATCH($D26,A_Type_Volume!$A:$A,0),1),IF($E26="VAM",INDEX(C_Type_Volume!$L:$L,MATCH($D26,C_Type_Volume!$A:$A,0),1),"X")),"")</f>
        <v>0</v>
      </c>
      <c r="BK26" s="19">
        <f>IFERROR(IF($E26="REC",INDEX(A_Type_Volume!M:M,MATCH($D26,A_Type_Volume!$A:$A,0),1),IF($E26="VAM",INDEX(C_Type_Volume!M:M,MATCH($D26,C_Type_Volume!$A:$A,0),1),"X")),"")</f>
        <v>0</v>
      </c>
      <c r="BL26" s="38">
        <f>SUM(Table1[[#This Row],[Jan_AVF]:[Dec_AVF]])</f>
        <v>0</v>
      </c>
      <c r="BM26" s="16">
        <f t="shared" si="40"/>
        <v>0</v>
      </c>
      <c r="BN26" s="16">
        <f t="shared" si="41"/>
        <v>0</v>
      </c>
      <c r="BO26" s="16">
        <f t="shared" si="42"/>
        <v>0</v>
      </c>
      <c r="BP26" s="16">
        <f t="shared" si="43"/>
        <v>0</v>
      </c>
      <c r="BQ26" s="16">
        <f t="shared" si="44"/>
        <v>0</v>
      </c>
      <c r="BR26" s="16">
        <f t="shared" si="45"/>
        <v>0</v>
      </c>
      <c r="BS26" s="16">
        <f t="shared" si="46"/>
        <v>0</v>
      </c>
      <c r="BT26" s="16">
        <f t="shared" si="47"/>
        <v>0</v>
      </c>
      <c r="BU26" s="16">
        <f t="shared" si="48"/>
        <v>0</v>
      </c>
      <c r="BV26" s="16">
        <f t="shared" si="49"/>
        <v>0</v>
      </c>
      <c r="BW26" s="16">
        <f t="shared" si="50"/>
        <v>0</v>
      </c>
      <c r="BX26" s="16">
        <f t="shared" si="51"/>
        <v>0</v>
      </c>
      <c r="BY26" s="10">
        <f t="shared" si="17"/>
        <v>0</v>
      </c>
      <c r="BZ26" s="10">
        <f t="shared" si="18"/>
        <v>0</v>
      </c>
      <c r="CA26" s="10">
        <f t="shared" si="19"/>
        <v>0</v>
      </c>
      <c r="CB26" s="10">
        <f t="shared" si="20"/>
        <v>0</v>
      </c>
      <c r="CC26" s="10">
        <f>IFERROR(Table1[[#This Row],[Labor
Saving]]*Table1[[#This Row],[Annual Volume]],"")</f>
        <v>0</v>
      </c>
      <c r="CD26" s="10">
        <f>IFERROR(Table1[[#This Row],[Annual Volume]]*Table1[[#This Row],[Yield
Saving]],"")</f>
        <v>0</v>
      </c>
      <c r="CE26" s="10">
        <f>IFERROR(Table1[[#This Row],[Annual Volume]]*Table1[[#This Row],[Material
Saving]],"")</f>
        <v>0</v>
      </c>
      <c r="CF26" s="10">
        <f>IFERROR(Table1[[#This Row],[OH
Saving]]*Table1[[#This Row],[Annual Volume]],"")</f>
        <v>0</v>
      </c>
      <c r="CG26" s="10">
        <f>SUM(Table1[[#This Row],[Labor_ASV]:[OH_ASV]])</f>
        <v>0</v>
      </c>
    </row>
    <row r="27" spans="1:85" x14ac:dyDescent="0.3">
      <c r="A27" t="str">
        <f>Table1[[#This Row],[Project Name]]&amp;Table1[[#This Row],[Part Number]]</f>
        <v>Au Target Thickness 0.1umR193</v>
      </c>
      <c r="B27" t="str">
        <f>IFERROR(Table1[[#This Row],[Project Number]]&amp;Table1[[#This Row],[Part Number]],"")</f>
        <v>AME25-016R193</v>
      </c>
      <c r="C27" s="22" t="s">
        <v>76</v>
      </c>
      <c r="D27" s="24" t="s">
        <v>431</v>
      </c>
      <c r="E27" s="25" t="s">
        <v>58</v>
      </c>
      <c r="F27" s="6">
        <f>INDEX(Proj_Reg!G:G,MATCH($C27,Proj_Reg!$B:$B,0),1)</f>
        <v>46113</v>
      </c>
      <c r="G27" s="6">
        <f>INDEX(Proj_Reg!H:H,MATCH($C27,Proj_Reg!$B:$B,0),1)</f>
        <v>46447</v>
      </c>
      <c r="H27" s="6" t="str">
        <f>IF(INDEX(Proj_Reg!C:C,MATCH($C27,Proj_Reg!$B:$B,0),1)=0,"",INDEX(Proj_Reg!C:C,MATCH($C27,Proj_Reg!$B:$B,0),1))</f>
        <v>Sputtering</v>
      </c>
      <c r="I27" s="6" t="str">
        <f>IF(INDEX(Proj_Reg!D:D,MATCH($C27,Proj_Reg!$B:$B,0),1)=0,"",INDEX(Proj_Reg!D:D,MATCH($C27,Proj_Reg!$B:$B,0),1))</f>
        <v>XWP</v>
      </c>
      <c r="J27" s="6" t="str">
        <f>INDEX(Proj_Reg!E:E,MATCH($C27,Proj_Reg!$B:$B,0),1)</f>
        <v>Au Target Thickness 0.1um</v>
      </c>
      <c r="K27" s="21">
        <v>1.5889315200000004E-2</v>
      </c>
      <c r="L27" s="21">
        <v>0</v>
      </c>
      <c r="M27" s="21">
        <v>1.1261750535800001E-2</v>
      </c>
      <c r="N27" s="21">
        <v>0</v>
      </c>
      <c r="O27" s="11">
        <f>SUM(Table1[[#This Row],[Labor
Saving]:[OH
Saving]])</f>
        <v>2.7151065735800006E-2</v>
      </c>
      <c r="Q27" s="40">
        <f t="shared" si="21"/>
        <v>0</v>
      </c>
      <c r="R27" s="40">
        <f t="shared" si="0"/>
        <v>0</v>
      </c>
      <c r="S27" s="40">
        <f t="shared" si="1"/>
        <v>0</v>
      </c>
      <c r="T27" s="40">
        <f t="shared" si="2"/>
        <v>0</v>
      </c>
      <c r="U27" s="40">
        <f t="shared" si="3"/>
        <v>0</v>
      </c>
      <c r="V27" s="40">
        <f t="shared" si="4"/>
        <v>0</v>
      </c>
      <c r="W27" s="40">
        <f t="shared" si="5"/>
        <v>0</v>
      </c>
      <c r="X27" s="40">
        <f t="shared" si="6"/>
        <v>0</v>
      </c>
      <c r="Y27" s="40">
        <f t="shared" si="7"/>
        <v>0</v>
      </c>
      <c r="Z27" s="40">
        <f t="shared" si="8"/>
        <v>0</v>
      </c>
      <c r="AA27" s="40">
        <f t="shared" si="9"/>
        <v>0</v>
      </c>
      <c r="AB27" s="40">
        <f t="shared" si="10"/>
        <v>0</v>
      </c>
      <c r="AC27" s="37">
        <f>SUM(Table1[[#This Row],[Jan]:[Dec]])</f>
        <v>0</v>
      </c>
      <c r="AD27" s="15">
        <f t="shared" si="22"/>
        <v>0</v>
      </c>
      <c r="AE27" s="15">
        <f t="shared" si="23"/>
        <v>0</v>
      </c>
      <c r="AF27" s="15">
        <f t="shared" si="24"/>
        <v>0</v>
      </c>
      <c r="AG27" s="15">
        <f t="shared" si="25"/>
        <v>0</v>
      </c>
      <c r="AH27" s="15">
        <f t="shared" si="26"/>
        <v>0</v>
      </c>
      <c r="AI27" s="15">
        <f t="shared" si="27"/>
        <v>0</v>
      </c>
      <c r="AJ27" s="15">
        <f t="shared" si="28"/>
        <v>0</v>
      </c>
      <c r="AK27" s="15">
        <f t="shared" si="29"/>
        <v>0</v>
      </c>
      <c r="AL27" s="15">
        <f t="shared" si="30"/>
        <v>0</v>
      </c>
      <c r="AM27" s="15">
        <f t="shared" si="31"/>
        <v>0</v>
      </c>
      <c r="AN27" s="15">
        <f t="shared" si="32"/>
        <v>0</v>
      </c>
      <c r="AO27" s="15">
        <f t="shared" si="33"/>
        <v>0</v>
      </c>
      <c r="AP27" s="10">
        <f t="shared" si="34"/>
        <v>0</v>
      </c>
      <c r="AQ27" s="10">
        <f t="shared" si="35"/>
        <v>0</v>
      </c>
      <c r="AR27" s="10">
        <f t="shared" si="36"/>
        <v>0</v>
      </c>
      <c r="AS27" s="10">
        <f t="shared" si="37"/>
        <v>0</v>
      </c>
      <c r="AT27" s="10" t="b">
        <f t="shared" si="38"/>
        <v>1</v>
      </c>
      <c r="AU27" s="10">
        <f t="shared" si="12"/>
        <v>0</v>
      </c>
      <c r="AV27" s="10">
        <f t="shared" si="13"/>
        <v>0</v>
      </c>
      <c r="AW27" s="10">
        <f t="shared" si="14"/>
        <v>0</v>
      </c>
      <c r="AX27" s="10">
        <f t="shared" si="15"/>
        <v>0</v>
      </c>
      <c r="AY27" s="10">
        <f t="shared" si="39"/>
        <v>0</v>
      </c>
      <c r="AZ27" s="19">
        <f>IFERROR(IF($E27="REC",INDEX(A_Type_Volume!$B:$B,MATCH($D27,A_Type_Volume!$A:$A,0),1),IF($E27="VAM",INDEX(C_Type_Volume!$B:$B,MATCH($D27,C_Type_Volume!$A:$A,0),1),"X")),"")</f>
        <v>0</v>
      </c>
      <c r="BA27" s="19">
        <f>IFERROR(IF($E27="REC",INDEX(A_Type_Volume!$C:$C,MATCH($D27,A_Type_Volume!$A:$A,0),1),IF($E27="VAM",INDEX(C_Type_Volume!$C:$C,MATCH($D27,C_Type_Volume!$A:$A,0),1),"X")),"")</f>
        <v>0</v>
      </c>
      <c r="BB27" s="19">
        <f>IFERROR(IF($E27="REC",INDEX(A_Type_Volume!$D:$D,MATCH($D27,A_Type_Volume!$A:$A,0),1),IF($E27="VAM",INDEX(C_Type_Volume!$D:$D,MATCH($D27,C_Type_Volume!$A:$A,0),1),"X")),"")</f>
        <v>0</v>
      </c>
      <c r="BC27" s="19">
        <f>IFERROR(IF($E27="REC",INDEX(A_Type_Volume!$E:$E,MATCH($D27,A_Type_Volume!$A:$A,0),1),IF($E27="VAM",INDEX(C_Type_Volume!$E:$E,MATCH($D27,C_Type_Volume!$A:$A,0),1),"X")),"")</f>
        <v>0</v>
      </c>
      <c r="BD27" s="19">
        <f>IFERROR(IF($E27="REC",INDEX(A_Type_Volume!$F:$F,MATCH($D27,A_Type_Volume!$A:$A,0),1),IF($E27="VAM",INDEX(C_Type_Volume!$F:$F,MATCH($D27,C_Type_Volume!$A:$A,0),1),"X")),"")</f>
        <v>0</v>
      </c>
      <c r="BE27" s="19">
        <f>IFERROR(IF($E27="REC",INDEX(A_Type_Volume!$G:$G,MATCH($D27,A_Type_Volume!$A:$A,0),1),IF($E27="VAM",INDEX(C_Type_Volume!$G:$G,MATCH($D27,C_Type_Volume!$A:$A,0),1),"X")),"")</f>
        <v>0</v>
      </c>
      <c r="BF27" s="19">
        <f>IFERROR(IF($E27="REC",INDEX(A_Type_Volume!$H:$H,MATCH($D27,A_Type_Volume!$A:$A,0),1),IF($E27="VAM",INDEX(C_Type_Volume!$H:$H,MATCH($D27,C_Type_Volume!$A:$A,0),1),"X")),"")</f>
        <v>0</v>
      </c>
      <c r="BG27" s="19">
        <f>IFERROR(IF($E27="REC",INDEX(A_Type_Volume!$I:$I,MATCH($D27,A_Type_Volume!$A:$A,0),1),IF($E27="VAM",INDEX(C_Type_Volume!$I:$I,MATCH($D27,C_Type_Volume!$A:$A,0),1),"X")),"")</f>
        <v>0</v>
      </c>
      <c r="BH27" s="19">
        <f>IFERROR(IF($E27="REC",INDEX(A_Type_Volume!$J:$J,MATCH($D27,A_Type_Volume!$A:$A,0),1),IF($E27="VAM",INDEX(C_Type_Volume!$J:$J,MATCH($D27,C_Type_Volume!$A:$A,0),1),"X")),"")</f>
        <v>0</v>
      </c>
      <c r="BI27" s="19">
        <f>IFERROR(IF($E27="REC",INDEX(A_Type_Volume!$K:$K,MATCH($D27,A_Type_Volume!$A:$A,0),1),IF($E27="VAM",INDEX(C_Type_Volume!$K:$K,MATCH($D27,C_Type_Volume!$A:$A,0),1),"X")),"")</f>
        <v>0</v>
      </c>
      <c r="BJ27" s="19">
        <f>IFERROR(IF($E27="REC",INDEX(A_Type_Volume!$L:$L,MATCH($D27,A_Type_Volume!$A:$A,0),1),IF($E27="VAM",INDEX(C_Type_Volume!$L:$L,MATCH($D27,C_Type_Volume!$A:$A,0),1),"X")),"")</f>
        <v>0</v>
      </c>
      <c r="BK27" s="19">
        <f>IFERROR(IF($E27="REC",INDEX(A_Type_Volume!M:M,MATCH($D27,A_Type_Volume!$A:$A,0),1),IF($E27="VAM",INDEX(C_Type_Volume!M:M,MATCH($D27,C_Type_Volume!$A:$A,0),1),"X")),"")</f>
        <v>0</v>
      </c>
      <c r="BL27" s="38">
        <f>SUM(Table1[[#This Row],[Jan_AVF]:[Dec_AVF]])</f>
        <v>0</v>
      </c>
      <c r="BM27" s="16">
        <f t="shared" si="40"/>
        <v>0</v>
      </c>
      <c r="BN27" s="16">
        <f t="shared" si="41"/>
        <v>0</v>
      </c>
      <c r="BO27" s="16">
        <f t="shared" si="42"/>
        <v>0</v>
      </c>
      <c r="BP27" s="16">
        <f t="shared" si="43"/>
        <v>0</v>
      </c>
      <c r="BQ27" s="16">
        <f t="shared" si="44"/>
        <v>0</v>
      </c>
      <c r="BR27" s="16">
        <f t="shared" si="45"/>
        <v>0</v>
      </c>
      <c r="BS27" s="16">
        <f t="shared" si="46"/>
        <v>0</v>
      </c>
      <c r="BT27" s="16">
        <f t="shared" si="47"/>
        <v>0</v>
      </c>
      <c r="BU27" s="16">
        <f t="shared" si="48"/>
        <v>0</v>
      </c>
      <c r="BV27" s="16">
        <f t="shared" si="49"/>
        <v>0</v>
      </c>
      <c r="BW27" s="16">
        <f t="shared" si="50"/>
        <v>0</v>
      </c>
      <c r="BX27" s="16">
        <f t="shared" si="51"/>
        <v>0</v>
      </c>
      <c r="BY27" s="10">
        <f t="shared" si="17"/>
        <v>0</v>
      </c>
      <c r="BZ27" s="10">
        <f t="shared" si="18"/>
        <v>0</v>
      </c>
      <c r="CA27" s="10">
        <f t="shared" si="19"/>
        <v>0</v>
      </c>
      <c r="CB27" s="10">
        <f t="shared" si="20"/>
        <v>0</v>
      </c>
      <c r="CC27" s="10">
        <f>IFERROR(Table1[[#This Row],[Labor
Saving]]*Table1[[#This Row],[Annual Volume]],"")</f>
        <v>0</v>
      </c>
      <c r="CD27" s="10">
        <f>IFERROR(Table1[[#This Row],[Annual Volume]]*Table1[[#This Row],[Yield
Saving]],"")</f>
        <v>0</v>
      </c>
      <c r="CE27" s="10">
        <f>IFERROR(Table1[[#This Row],[Annual Volume]]*Table1[[#This Row],[Material
Saving]],"")</f>
        <v>0</v>
      </c>
      <c r="CF27" s="10">
        <f>IFERROR(Table1[[#This Row],[OH
Saving]]*Table1[[#This Row],[Annual Volume]],"")</f>
        <v>0</v>
      </c>
      <c r="CG27" s="10">
        <f>SUM(Table1[[#This Row],[Labor_ASV]:[OH_ASV]])</f>
        <v>0</v>
      </c>
    </row>
    <row r="28" spans="1:85" x14ac:dyDescent="0.3">
      <c r="A28" t="str">
        <f>Table1[[#This Row],[Project Name]]&amp;Table1[[#This Row],[Part Number]]</f>
        <v>Au Target Thickness 0.5umR49</v>
      </c>
      <c r="B28" t="str">
        <f>IFERROR(Table1[[#This Row],[Project Number]]&amp;Table1[[#This Row],[Part Number]],"")</f>
        <v>AME25-017R49</v>
      </c>
      <c r="C28" s="22" t="s">
        <v>77</v>
      </c>
      <c r="D28" s="24" t="s">
        <v>287</v>
      </c>
      <c r="E28" s="25" t="s">
        <v>58</v>
      </c>
      <c r="F28" s="6">
        <f>INDEX(Proj_Reg!G:G,MATCH($C28,Proj_Reg!$B:$B,0),1)</f>
        <v>46054</v>
      </c>
      <c r="G28" s="6">
        <f>INDEX(Proj_Reg!H:H,MATCH($C28,Proj_Reg!$B:$B,0),1)</f>
        <v>46388</v>
      </c>
      <c r="H28" s="6" t="str">
        <f>IF(INDEX(Proj_Reg!C:C,MATCH($C28,Proj_Reg!$B:$B,0),1)=0,"",INDEX(Proj_Reg!C:C,MATCH($C28,Proj_Reg!$B:$B,0),1))</f>
        <v>Sputtering</v>
      </c>
      <c r="I28" s="6" t="str">
        <f>IF(INDEX(Proj_Reg!D:D,MATCH($C28,Proj_Reg!$B:$B,0),1)=0,"",INDEX(Proj_Reg!D:D,MATCH($C28,Proj_Reg!$B:$B,0),1))</f>
        <v>XWP</v>
      </c>
      <c r="J28" s="6" t="str">
        <f>INDEX(Proj_Reg!E:E,MATCH($C28,Proj_Reg!$B:$B,0),1)</f>
        <v>Au Target Thickness 0.5um</v>
      </c>
      <c r="K28" s="21">
        <v>1.5528830400000004E-2</v>
      </c>
      <c r="L28" s="21">
        <v>0</v>
      </c>
      <c r="M28" s="21">
        <v>1.1261750535800001E-2</v>
      </c>
      <c r="N28" s="21">
        <v>0</v>
      </c>
      <c r="O28" s="11">
        <f>SUM(Table1[[#This Row],[Labor
Saving]:[OH
Saving]])</f>
        <v>2.6790580935800005E-2</v>
      </c>
      <c r="Q28" s="40">
        <f t="shared" si="21"/>
        <v>0</v>
      </c>
      <c r="R28" s="40">
        <f t="shared" si="0"/>
        <v>4807.5</v>
      </c>
      <c r="S28" s="40">
        <f t="shared" si="1"/>
        <v>11842</v>
      </c>
      <c r="T28" s="40">
        <f t="shared" si="2"/>
        <v>10873</v>
      </c>
      <c r="U28" s="40">
        <f t="shared" si="3"/>
        <v>14007</v>
      </c>
      <c r="V28" s="40">
        <f t="shared" si="4"/>
        <v>12411</v>
      </c>
      <c r="W28" s="40">
        <f t="shared" si="5"/>
        <v>11848</v>
      </c>
      <c r="X28" s="40">
        <f t="shared" si="6"/>
        <v>8331</v>
      </c>
      <c r="Y28" s="40">
        <f t="shared" si="7"/>
        <v>7260</v>
      </c>
      <c r="Z28" s="40">
        <f t="shared" si="8"/>
        <v>7137</v>
      </c>
      <c r="AA28" s="40">
        <f t="shared" si="9"/>
        <v>6665</v>
      </c>
      <c r="AB28" s="40">
        <f t="shared" si="10"/>
        <v>4773</v>
      </c>
      <c r="AC28" s="37">
        <f>SUM(Table1[[#This Row],[Jan]:[Dec]])</f>
        <v>99954.5</v>
      </c>
      <c r="AD28" s="15">
        <f t="shared" si="22"/>
        <v>0</v>
      </c>
      <c r="AE28" s="15">
        <f t="shared" si="23"/>
        <v>128.79571784885852</v>
      </c>
      <c r="AF28" s="15">
        <f t="shared" si="24"/>
        <v>317.25405944174366</v>
      </c>
      <c r="AG28" s="15">
        <f t="shared" si="25"/>
        <v>291.29398651495347</v>
      </c>
      <c r="AH28" s="15">
        <f t="shared" si="26"/>
        <v>375.25566716775069</v>
      </c>
      <c r="AI28" s="15">
        <f t="shared" si="27"/>
        <v>332.49789999421387</v>
      </c>
      <c r="AJ28" s="15">
        <f t="shared" si="28"/>
        <v>317.41480292735844</v>
      </c>
      <c r="AK28" s="15">
        <f t="shared" si="29"/>
        <v>223.19232977614985</v>
      </c>
      <c r="AL28" s="15">
        <f t="shared" si="30"/>
        <v>194.49961759390803</v>
      </c>
      <c r="AM28" s="15">
        <f t="shared" si="31"/>
        <v>191.20437613880463</v>
      </c>
      <c r="AN28" s="15">
        <f t="shared" si="32"/>
        <v>178.55922193710703</v>
      </c>
      <c r="AO28" s="15">
        <f t="shared" si="33"/>
        <v>127.87144280657343</v>
      </c>
      <c r="AP28" s="10">
        <f t="shared" si="34"/>
        <v>446.04977729060215</v>
      </c>
      <c r="AQ28" s="10">
        <f t="shared" si="35"/>
        <v>999.04755367691803</v>
      </c>
      <c r="AR28" s="10">
        <f t="shared" si="36"/>
        <v>735.1067502974164</v>
      </c>
      <c r="AS28" s="10">
        <f t="shared" si="37"/>
        <v>497.6350408824851</v>
      </c>
      <c r="AT28" s="10" t="b">
        <f t="shared" si="38"/>
        <v>1</v>
      </c>
      <c r="AU28" s="10">
        <f t="shared" si="12"/>
        <v>1552.1764782168004</v>
      </c>
      <c r="AV28" s="10">
        <f t="shared" si="13"/>
        <v>0</v>
      </c>
      <c r="AW28" s="10">
        <f t="shared" si="14"/>
        <v>1125.6626439306212</v>
      </c>
      <c r="AX28" s="10">
        <f t="shared" si="15"/>
        <v>0</v>
      </c>
      <c r="AY28" s="10">
        <f t="shared" si="39"/>
        <v>2677.8391221474217</v>
      </c>
      <c r="AZ28" s="19">
        <f>IFERROR(IF($E28="REC",INDEX(A_Type_Volume!$B:$B,MATCH($D28,A_Type_Volume!$A:$A,0),1),IF($E28="VAM",INDEX(C_Type_Volume!$B:$B,MATCH($D28,C_Type_Volume!$A:$A,0),1),"X")),"")</f>
        <v>15129</v>
      </c>
      <c r="BA28" s="19">
        <f>IFERROR(IF($E28="REC",INDEX(A_Type_Volume!$C:$C,MATCH($D28,A_Type_Volume!$A:$A,0),1),IF($E28="VAM",INDEX(C_Type_Volume!$C:$C,MATCH($D28,C_Type_Volume!$A:$A,0),1),"X")),"")</f>
        <v>16025</v>
      </c>
      <c r="BB28" s="19">
        <f>IFERROR(IF($E28="REC",INDEX(A_Type_Volume!$D:$D,MATCH($D28,A_Type_Volume!$A:$A,0),1),IF($E28="VAM",INDEX(C_Type_Volume!$D:$D,MATCH($D28,C_Type_Volume!$A:$A,0),1),"X")),"")</f>
        <v>11842</v>
      </c>
      <c r="BC28" s="19">
        <f>IFERROR(IF($E28="REC",INDEX(A_Type_Volume!$E:$E,MATCH($D28,A_Type_Volume!$A:$A,0),1),IF($E28="VAM",INDEX(C_Type_Volume!$E:$E,MATCH($D28,C_Type_Volume!$A:$A,0),1),"X")),"")</f>
        <v>10873</v>
      </c>
      <c r="BD28" s="19">
        <f>IFERROR(IF($E28="REC",INDEX(A_Type_Volume!$F:$F,MATCH($D28,A_Type_Volume!$A:$A,0),1),IF($E28="VAM",INDEX(C_Type_Volume!$F:$F,MATCH($D28,C_Type_Volume!$A:$A,0),1),"X")),"")</f>
        <v>14007</v>
      </c>
      <c r="BE28" s="19">
        <f>IFERROR(IF($E28="REC",INDEX(A_Type_Volume!$G:$G,MATCH($D28,A_Type_Volume!$A:$A,0),1),IF($E28="VAM",INDEX(C_Type_Volume!$G:$G,MATCH($D28,C_Type_Volume!$A:$A,0),1),"X")),"")</f>
        <v>12411</v>
      </c>
      <c r="BF28" s="19">
        <f>IFERROR(IF($E28="REC",INDEX(A_Type_Volume!$H:$H,MATCH($D28,A_Type_Volume!$A:$A,0),1),IF($E28="VAM",INDEX(C_Type_Volume!$H:$H,MATCH($D28,C_Type_Volume!$A:$A,0),1),"X")),"")</f>
        <v>11848</v>
      </c>
      <c r="BG28" s="19">
        <f>IFERROR(IF($E28="REC",INDEX(A_Type_Volume!$I:$I,MATCH($D28,A_Type_Volume!$A:$A,0),1),IF($E28="VAM",INDEX(C_Type_Volume!$I:$I,MATCH($D28,C_Type_Volume!$A:$A,0),1),"X")),"")</f>
        <v>8331</v>
      </c>
      <c r="BH28" s="19">
        <f>IFERROR(IF($E28="REC",INDEX(A_Type_Volume!$J:$J,MATCH($D28,A_Type_Volume!$A:$A,0),1),IF($E28="VAM",INDEX(C_Type_Volume!$J:$J,MATCH($D28,C_Type_Volume!$A:$A,0),1),"X")),"")</f>
        <v>7260</v>
      </c>
      <c r="BI28" s="19">
        <f>IFERROR(IF($E28="REC",INDEX(A_Type_Volume!$K:$K,MATCH($D28,A_Type_Volume!$A:$A,0),1),IF($E28="VAM",INDEX(C_Type_Volume!$K:$K,MATCH($D28,C_Type_Volume!$A:$A,0),1),"X")),"")</f>
        <v>7137</v>
      </c>
      <c r="BJ28" s="19">
        <f>IFERROR(IF($E28="REC",INDEX(A_Type_Volume!$L:$L,MATCH($D28,A_Type_Volume!$A:$A,0),1),IF($E28="VAM",INDEX(C_Type_Volume!$L:$L,MATCH($D28,C_Type_Volume!$A:$A,0),1),"X")),"")</f>
        <v>6665</v>
      </c>
      <c r="BK28" s="19">
        <f>IFERROR(IF($E28="REC",INDEX(A_Type_Volume!M:M,MATCH($D28,A_Type_Volume!$A:$A,0),1),IF($E28="VAM",INDEX(C_Type_Volume!M:M,MATCH($D28,C_Type_Volume!$A:$A,0),1),"X")),"")</f>
        <v>4773</v>
      </c>
      <c r="BL28" s="38">
        <f>SUM(Table1[[#This Row],[Jan_AVF]:[Dec_AVF]])</f>
        <v>126301</v>
      </c>
      <c r="BM28" s="16">
        <f t="shared" si="40"/>
        <v>405.31469897771825</v>
      </c>
      <c r="BN28" s="16">
        <f t="shared" si="41"/>
        <v>429.31905949619505</v>
      </c>
      <c r="BO28" s="16">
        <f t="shared" si="42"/>
        <v>317.25405944174366</v>
      </c>
      <c r="BP28" s="16">
        <f t="shared" si="43"/>
        <v>291.29398651495347</v>
      </c>
      <c r="BQ28" s="16">
        <f t="shared" si="44"/>
        <v>375.25566716775069</v>
      </c>
      <c r="BR28" s="16">
        <f t="shared" si="45"/>
        <v>332.49789999421387</v>
      </c>
      <c r="BS28" s="16">
        <f t="shared" si="46"/>
        <v>317.41480292735844</v>
      </c>
      <c r="BT28" s="16">
        <f t="shared" si="47"/>
        <v>223.19232977614985</v>
      </c>
      <c r="BU28" s="16">
        <f t="shared" si="48"/>
        <v>194.49961759390803</v>
      </c>
      <c r="BV28" s="16">
        <f t="shared" si="49"/>
        <v>191.20437613880463</v>
      </c>
      <c r="BW28" s="16">
        <f t="shared" si="50"/>
        <v>178.55922193710703</v>
      </c>
      <c r="BX28" s="16">
        <f t="shared" si="51"/>
        <v>127.87144280657343</v>
      </c>
      <c r="BY28" s="10">
        <f t="shared" si="17"/>
        <v>1151.887817915657</v>
      </c>
      <c r="BZ28" s="10">
        <f t="shared" si="18"/>
        <v>999.04755367691803</v>
      </c>
      <c r="CA28" s="10">
        <f t="shared" si="19"/>
        <v>735.1067502974164</v>
      </c>
      <c r="CB28" s="10">
        <f t="shared" si="20"/>
        <v>497.6350408824851</v>
      </c>
      <c r="CC28" s="10">
        <f>IFERROR(Table1[[#This Row],[Labor
Saving]]*Table1[[#This Row],[Annual Volume]],"")</f>
        <v>1961.3068083504006</v>
      </c>
      <c r="CD28" s="10">
        <f>IFERROR(Table1[[#This Row],[Annual Volume]]*Table1[[#This Row],[Yield
Saving]],"")</f>
        <v>0</v>
      </c>
      <c r="CE28" s="10">
        <f>IFERROR(Table1[[#This Row],[Annual Volume]]*Table1[[#This Row],[Material
Saving]],"")</f>
        <v>1422.3703544220759</v>
      </c>
      <c r="CF28" s="10">
        <f>IFERROR(Table1[[#This Row],[OH
Saving]]*Table1[[#This Row],[Annual Volume]],"")</f>
        <v>0</v>
      </c>
      <c r="CG28" s="10">
        <f>SUM(Table1[[#This Row],[Labor_ASV]:[OH_ASV]])</f>
        <v>3383.6771627724765</v>
      </c>
    </row>
    <row r="29" spans="1:85" x14ac:dyDescent="0.3">
      <c r="A29" t="str">
        <f>Table1[[#This Row],[Project Name]]&amp;Table1[[#This Row],[Part Number]]</f>
        <v>Au Target Thickness 0.5umR50</v>
      </c>
      <c r="B29" t="str">
        <f>IFERROR(Table1[[#This Row],[Project Number]]&amp;Table1[[#This Row],[Part Number]],"")</f>
        <v>AME25-017R50</v>
      </c>
      <c r="C29" s="22" t="s">
        <v>77</v>
      </c>
      <c r="D29" s="24" t="s">
        <v>288</v>
      </c>
      <c r="E29" s="25" t="s">
        <v>58</v>
      </c>
      <c r="F29" s="6">
        <f>INDEX(Proj_Reg!G:G,MATCH($C29,Proj_Reg!$B:$B,0),1)</f>
        <v>46054</v>
      </c>
      <c r="G29" s="6">
        <f>INDEX(Proj_Reg!H:H,MATCH($C29,Proj_Reg!$B:$B,0),1)</f>
        <v>46388</v>
      </c>
      <c r="H29" s="6" t="str">
        <f>IF(INDEX(Proj_Reg!C:C,MATCH($C29,Proj_Reg!$B:$B,0),1)=0,"",INDEX(Proj_Reg!C:C,MATCH($C29,Proj_Reg!$B:$B,0),1))</f>
        <v>Sputtering</v>
      </c>
      <c r="I29" s="6" t="str">
        <f>IF(INDEX(Proj_Reg!D:D,MATCH($C29,Proj_Reg!$B:$B,0),1)=0,"",INDEX(Proj_Reg!D:D,MATCH($C29,Proj_Reg!$B:$B,0),1))</f>
        <v>XWP</v>
      </c>
      <c r="J29" s="6" t="str">
        <f>INDEX(Proj_Reg!E:E,MATCH($C29,Proj_Reg!$B:$B,0),1)</f>
        <v>Au Target Thickness 0.5um</v>
      </c>
      <c r="K29" s="21">
        <v>3.1014540000000011E-2</v>
      </c>
      <c r="L29" s="21">
        <v>0</v>
      </c>
      <c r="M29" s="21">
        <v>1.0535344719260001E-2</v>
      </c>
      <c r="N29" s="21">
        <v>0</v>
      </c>
      <c r="O29" s="11">
        <f>SUM(Table1[[#This Row],[Labor
Saving]:[OH
Saving]])</f>
        <v>4.1549884719260008E-2</v>
      </c>
      <c r="Q29" s="40">
        <f t="shared" si="21"/>
        <v>0</v>
      </c>
      <c r="R29" s="40">
        <f t="shared" si="0"/>
        <v>4807.5</v>
      </c>
      <c r="S29" s="40">
        <f t="shared" si="1"/>
        <v>11842</v>
      </c>
      <c r="T29" s="40">
        <f t="shared" si="2"/>
        <v>10873</v>
      </c>
      <c r="U29" s="40">
        <f t="shared" si="3"/>
        <v>14007</v>
      </c>
      <c r="V29" s="40">
        <f t="shared" si="4"/>
        <v>12411</v>
      </c>
      <c r="W29" s="40">
        <f t="shared" si="5"/>
        <v>11848</v>
      </c>
      <c r="X29" s="40">
        <f t="shared" si="6"/>
        <v>8331</v>
      </c>
      <c r="Y29" s="40">
        <f t="shared" si="7"/>
        <v>7260</v>
      </c>
      <c r="Z29" s="40">
        <f t="shared" si="8"/>
        <v>7137</v>
      </c>
      <c r="AA29" s="40">
        <f t="shared" si="9"/>
        <v>6665</v>
      </c>
      <c r="AB29" s="40">
        <f t="shared" si="10"/>
        <v>4773</v>
      </c>
      <c r="AC29" s="37">
        <f>SUM(Table1[[#This Row],[Jan]:[Dec]])</f>
        <v>99954.5</v>
      </c>
      <c r="AD29" s="15">
        <f t="shared" si="22"/>
        <v>0</v>
      </c>
      <c r="AE29" s="15">
        <f t="shared" si="23"/>
        <v>199.75107078784248</v>
      </c>
      <c r="AF29" s="15">
        <f t="shared" si="24"/>
        <v>492.033734845477</v>
      </c>
      <c r="AG29" s="15">
        <f t="shared" si="25"/>
        <v>451.77189655251408</v>
      </c>
      <c r="AH29" s="15">
        <f t="shared" si="26"/>
        <v>581.98923526267492</v>
      </c>
      <c r="AI29" s="15">
        <f t="shared" si="27"/>
        <v>515.67561925073596</v>
      </c>
      <c r="AJ29" s="15">
        <f t="shared" si="28"/>
        <v>492.28303415379258</v>
      </c>
      <c r="AK29" s="15">
        <f t="shared" si="29"/>
        <v>346.15208959615512</v>
      </c>
      <c r="AL29" s="15">
        <f t="shared" si="30"/>
        <v>301.65216306182765</v>
      </c>
      <c r="AM29" s="15">
        <f t="shared" si="31"/>
        <v>296.54152724135866</v>
      </c>
      <c r="AN29" s="15">
        <f t="shared" si="32"/>
        <v>276.92998165386797</v>
      </c>
      <c r="AO29" s="15">
        <f t="shared" si="33"/>
        <v>198.31759976502801</v>
      </c>
      <c r="AP29" s="10">
        <f t="shared" si="34"/>
        <v>691.78480563331948</v>
      </c>
      <c r="AQ29" s="10">
        <f t="shared" si="35"/>
        <v>1549.4367510659249</v>
      </c>
      <c r="AR29" s="10">
        <f t="shared" si="36"/>
        <v>1140.0872868117754</v>
      </c>
      <c r="AS29" s="10">
        <f t="shared" si="37"/>
        <v>771.78910866025467</v>
      </c>
      <c r="AT29" s="10" t="b">
        <f t="shared" si="38"/>
        <v>1</v>
      </c>
      <c r="AU29" s="10">
        <f t="shared" si="12"/>
        <v>3100.0428384300012</v>
      </c>
      <c r="AV29" s="10">
        <f t="shared" si="13"/>
        <v>0</v>
      </c>
      <c r="AW29" s="10">
        <f t="shared" si="14"/>
        <v>1053.0551137412738</v>
      </c>
      <c r="AX29" s="10">
        <f t="shared" si="15"/>
        <v>0</v>
      </c>
      <c r="AY29" s="10">
        <f t="shared" si="39"/>
        <v>4153.0979521712752</v>
      </c>
      <c r="AZ29" s="19">
        <f>IFERROR(IF($E29="REC",INDEX(A_Type_Volume!$B:$B,MATCH($D29,A_Type_Volume!$A:$A,0),1),IF($E29="VAM",INDEX(C_Type_Volume!$B:$B,MATCH($D29,C_Type_Volume!$A:$A,0),1),"X")),"")</f>
        <v>15129</v>
      </c>
      <c r="BA29" s="19">
        <f>IFERROR(IF($E29="REC",INDEX(A_Type_Volume!$C:$C,MATCH($D29,A_Type_Volume!$A:$A,0),1),IF($E29="VAM",INDEX(C_Type_Volume!$C:$C,MATCH($D29,C_Type_Volume!$A:$A,0),1),"X")),"")</f>
        <v>16025</v>
      </c>
      <c r="BB29" s="19">
        <f>IFERROR(IF($E29="REC",INDEX(A_Type_Volume!$D:$D,MATCH($D29,A_Type_Volume!$A:$A,0),1),IF($E29="VAM",INDEX(C_Type_Volume!$D:$D,MATCH($D29,C_Type_Volume!$A:$A,0),1),"X")),"")</f>
        <v>11842</v>
      </c>
      <c r="BC29" s="19">
        <f>IFERROR(IF($E29="REC",INDEX(A_Type_Volume!$E:$E,MATCH($D29,A_Type_Volume!$A:$A,0),1),IF($E29="VAM",INDEX(C_Type_Volume!$E:$E,MATCH($D29,C_Type_Volume!$A:$A,0),1),"X")),"")</f>
        <v>10873</v>
      </c>
      <c r="BD29" s="19">
        <f>IFERROR(IF($E29="REC",INDEX(A_Type_Volume!$F:$F,MATCH($D29,A_Type_Volume!$A:$A,0),1),IF($E29="VAM",INDEX(C_Type_Volume!$F:$F,MATCH($D29,C_Type_Volume!$A:$A,0),1),"X")),"")</f>
        <v>14007</v>
      </c>
      <c r="BE29" s="19">
        <f>IFERROR(IF($E29="REC",INDEX(A_Type_Volume!$G:$G,MATCH($D29,A_Type_Volume!$A:$A,0),1),IF($E29="VAM",INDEX(C_Type_Volume!$G:$G,MATCH($D29,C_Type_Volume!$A:$A,0),1),"X")),"")</f>
        <v>12411</v>
      </c>
      <c r="BF29" s="19">
        <f>IFERROR(IF($E29="REC",INDEX(A_Type_Volume!$H:$H,MATCH($D29,A_Type_Volume!$A:$A,0),1),IF($E29="VAM",INDEX(C_Type_Volume!$H:$H,MATCH($D29,C_Type_Volume!$A:$A,0),1),"X")),"")</f>
        <v>11848</v>
      </c>
      <c r="BG29" s="19">
        <f>IFERROR(IF($E29="REC",INDEX(A_Type_Volume!$I:$I,MATCH($D29,A_Type_Volume!$A:$A,0),1),IF($E29="VAM",INDEX(C_Type_Volume!$I:$I,MATCH($D29,C_Type_Volume!$A:$A,0),1),"X")),"")</f>
        <v>8331</v>
      </c>
      <c r="BH29" s="19">
        <f>IFERROR(IF($E29="REC",INDEX(A_Type_Volume!$J:$J,MATCH($D29,A_Type_Volume!$A:$A,0),1),IF($E29="VAM",INDEX(C_Type_Volume!$J:$J,MATCH($D29,C_Type_Volume!$A:$A,0),1),"X")),"")</f>
        <v>7260</v>
      </c>
      <c r="BI29" s="19">
        <f>IFERROR(IF($E29="REC",INDEX(A_Type_Volume!$K:$K,MATCH($D29,A_Type_Volume!$A:$A,0),1),IF($E29="VAM",INDEX(C_Type_Volume!$K:$K,MATCH($D29,C_Type_Volume!$A:$A,0),1),"X")),"")</f>
        <v>7137</v>
      </c>
      <c r="BJ29" s="19">
        <f>IFERROR(IF($E29="REC",INDEX(A_Type_Volume!$L:$L,MATCH($D29,A_Type_Volume!$A:$A,0),1),IF($E29="VAM",INDEX(C_Type_Volume!$L:$L,MATCH($D29,C_Type_Volume!$A:$A,0),1),"X")),"")</f>
        <v>6665</v>
      </c>
      <c r="BK29" s="19">
        <f>IFERROR(IF($E29="REC",INDEX(A_Type_Volume!M:M,MATCH($D29,A_Type_Volume!$A:$A,0),1),IF($E29="VAM",INDEX(C_Type_Volume!M:M,MATCH($D29,C_Type_Volume!$A:$A,0),1),"X")),"")</f>
        <v>4773</v>
      </c>
      <c r="BL29" s="38">
        <f>SUM(Table1[[#This Row],[Jan_AVF]:[Dec_AVF]])</f>
        <v>126301</v>
      </c>
      <c r="BM29" s="16">
        <f t="shared" si="40"/>
        <v>628.6082059176847</v>
      </c>
      <c r="BN29" s="16">
        <f t="shared" si="41"/>
        <v>665.83690262614164</v>
      </c>
      <c r="BO29" s="16">
        <f t="shared" si="42"/>
        <v>492.033734845477</v>
      </c>
      <c r="BP29" s="16">
        <f t="shared" si="43"/>
        <v>451.77189655251408</v>
      </c>
      <c r="BQ29" s="16">
        <f t="shared" si="44"/>
        <v>581.98923526267492</v>
      </c>
      <c r="BR29" s="16">
        <f t="shared" si="45"/>
        <v>515.67561925073596</v>
      </c>
      <c r="BS29" s="16">
        <f t="shared" si="46"/>
        <v>492.28303415379258</v>
      </c>
      <c r="BT29" s="16">
        <f t="shared" si="47"/>
        <v>346.15208959615512</v>
      </c>
      <c r="BU29" s="16">
        <f t="shared" si="48"/>
        <v>301.65216306182765</v>
      </c>
      <c r="BV29" s="16">
        <f t="shared" si="49"/>
        <v>296.54152724135866</v>
      </c>
      <c r="BW29" s="16">
        <f t="shared" si="50"/>
        <v>276.92998165386797</v>
      </c>
      <c r="BX29" s="16">
        <f t="shared" si="51"/>
        <v>198.31759976502801</v>
      </c>
      <c r="BY29" s="10">
        <f t="shared" si="17"/>
        <v>1786.4788433893034</v>
      </c>
      <c r="BZ29" s="10">
        <f t="shared" si="18"/>
        <v>1549.4367510659249</v>
      </c>
      <c r="CA29" s="10">
        <f t="shared" si="19"/>
        <v>1140.0872868117754</v>
      </c>
      <c r="CB29" s="10">
        <f t="shared" si="20"/>
        <v>771.78910866025467</v>
      </c>
      <c r="CC29" s="10">
        <f>IFERROR(Table1[[#This Row],[Labor
Saving]]*Table1[[#This Row],[Annual Volume]],"")</f>
        <v>3917.1674165400013</v>
      </c>
      <c r="CD29" s="10">
        <f>IFERROR(Table1[[#This Row],[Annual Volume]]*Table1[[#This Row],[Yield
Saving]],"")</f>
        <v>0</v>
      </c>
      <c r="CE29" s="10">
        <f>IFERROR(Table1[[#This Row],[Annual Volume]]*Table1[[#This Row],[Material
Saving]],"")</f>
        <v>1330.6245733872574</v>
      </c>
      <c r="CF29" s="10">
        <f>IFERROR(Table1[[#This Row],[OH
Saving]]*Table1[[#This Row],[Annual Volume]],"")</f>
        <v>0</v>
      </c>
      <c r="CG29" s="10">
        <f>SUM(Table1[[#This Row],[Labor_ASV]:[OH_ASV]])</f>
        <v>5247.7919899272583</v>
      </c>
    </row>
    <row r="30" spans="1:85" x14ac:dyDescent="0.3">
      <c r="A30" t="str">
        <f>Table1[[#This Row],[Project Name]]&amp;Table1[[#This Row],[Part Number]]</f>
        <v>Au Target Thickness 3.5umR81</v>
      </c>
      <c r="B30" t="str">
        <f>IFERROR(Table1[[#This Row],[Project Number]]&amp;Table1[[#This Row],[Part Number]],"")</f>
        <v>AME25-021R81</v>
      </c>
      <c r="C30" s="22" t="s">
        <v>81</v>
      </c>
      <c r="D30" s="24" t="s">
        <v>319</v>
      </c>
      <c r="E30" s="25" t="s">
        <v>58</v>
      </c>
      <c r="F30" s="6">
        <f>INDEX(Proj_Reg!G:G,MATCH($C30,Proj_Reg!$B:$B,0),1)</f>
        <v>46113</v>
      </c>
      <c r="G30" s="6">
        <f>INDEX(Proj_Reg!H:H,MATCH($C30,Proj_Reg!$B:$B,0),1)</f>
        <v>46447</v>
      </c>
      <c r="H30" s="6" t="str">
        <f>IF(INDEX(Proj_Reg!C:C,MATCH($C30,Proj_Reg!$B:$B,0),1)=0,"",INDEX(Proj_Reg!C:C,MATCH($C30,Proj_Reg!$B:$B,0),1))</f>
        <v>Sputtering</v>
      </c>
      <c r="I30" s="6" t="str">
        <f>IF(INDEX(Proj_Reg!D:D,MATCH($C30,Proj_Reg!$B:$B,0),1)=0,"",INDEX(Proj_Reg!D:D,MATCH($C30,Proj_Reg!$B:$B,0),1))</f>
        <v>XWP</v>
      </c>
      <c r="J30" s="6" t="str">
        <f>INDEX(Proj_Reg!E:E,MATCH($C30,Proj_Reg!$B:$B,0),1)</f>
        <v>Au Target Thickness 3.5um</v>
      </c>
      <c r="K30" s="21">
        <v>3.1014540000000011E-2</v>
      </c>
      <c r="L30" s="21">
        <v>0</v>
      </c>
      <c r="M30" s="21">
        <v>1.0535344719260001E-2</v>
      </c>
      <c r="N30" s="21">
        <v>0</v>
      </c>
      <c r="O30" s="11">
        <f>SUM(Table1[[#This Row],[Labor
Saving]:[OH
Saving]])</f>
        <v>4.1549884719260008E-2</v>
      </c>
      <c r="Q30" s="40">
        <f t="shared" si="21"/>
        <v>0</v>
      </c>
      <c r="R30" s="40">
        <f t="shared" si="0"/>
        <v>0</v>
      </c>
      <c r="S30" s="40">
        <f t="shared" si="1"/>
        <v>0</v>
      </c>
      <c r="T30" s="40">
        <f t="shared" si="2"/>
        <v>81400.5</v>
      </c>
      <c r="U30" s="40">
        <f t="shared" si="3"/>
        <v>161181</v>
      </c>
      <c r="V30" s="40">
        <f t="shared" si="4"/>
        <v>0</v>
      </c>
      <c r="W30" s="40">
        <f t="shared" si="5"/>
        <v>309606</v>
      </c>
      <c r="X30" s="40">
        <f t="shared" si="6"/>
        <v>241230</v>
      </c>
      <c r="Y30" s="40">
        <f t="shared" si="7"/>
        <v>234130</v>
      </c>
      <c r="Z30" s="40">
        <f t="shared" si="8"/>
        <v>208152</v>
      </c>
      <c r="AA30" s="40">
        <f t="shared" si="9"/>
        <v>230519</v>
      </c>
      <c r="AB30" s="40">
        <f t="shared" si="10"/>
        <v>178094</v>
      </c>
      <c r="AC30" s="37">
        <f>SUM(Table1[[#This Row],[Jan]:[Dec]])</f>
        <v>1644312.5</v>
      </c>
      <c r="AD30" s="15">
        <f t="shared" si="22"/>
        <v>0</v>
      </c>
      <c r="AE30" s="15">
        <f t="shared" si="23"/>
        <v>0</v>
      </c>
      <c r="AF30" s="15">
        <f t="shared" si="24"/>
        <v>0</v>
      </c>
      <c r="AG30" s="15">
        <f t="shared" si="25"/>
        <v>3382.1813910901242</v>
      </c>
      <c r="AH30" s="15">
        <f t="shared" si="26"/>
        <v>6697.0519689350476</v>
      </c>
      <c r="AI30" s="15">
        <f t="shared" si="27"/>
        <v>0</v>
      </c>
      <c r="AJ30" s="15">
        <f t="shared" si="28"/>
        <v>12864.093608391215</v>
      </c>
      <c r="AK30" s="15">
        <f t="shared" si="29"/>
        <v>10023.078690827091</v>
      </c>
      <c r="AL30" s="15">
        <f t="shared" si="30"/>
        <v>9728.0745093203459</v>
      </c>
      <c r="AM30" s="15">
        <f t="shared" si="31"/>
        <v>8648.6916040834094</v>
      </c>
      <c r="AN30" s="15">
        <f t="shared" si="32"/>
        <v>9578.0378755990969</v>
      </c>
      <c r="AO30" s="15">
        <f t="shared" si="33"/>
        <v>7399.7851691918922</v>
      </c>
      <c r="AP30" s="10">
        <f t="shared" si="34"/>
        <v>0</v>
      </c>
      <c r="AQ30" s="10">
        <f t="shared" si="35"/>
        <v>10079.233360025171</v>
      </c>
      <c r="AR30" s="10">
        <f t="shared" si="36"/>
        <v>32615.24680853865</v>
      </c>
      <c r="AS30" s="10">
        <f t="shared" si="37"/>
        <v>25626.514648874399</v>
      </c>
      <c r="AT30" s="10" t="b">
        <f t="shared" si="38"/>
        <v>1</v>
      </c>
      <c r="AU30" s="10">
        <f t="shared" si="12"/>
        <v>50997.595803750017</v>
      </c>
      <c r="AV30" s="10">
        <f t="shared" si="13"/>
        <v>0</v>
      </c>
      <c r="AW30" s="10">
        <f t="shared" si="14"/>
        <v>17323.399013688209</v>
      </c>
      <c r="AX30" s="10">
        <f t="shared" si="15"/>
        <v>0</v>
      </c>
      <c r="AY30" s="10">
        <f t="shared" si="39"/>
        <v>68320.99481743823</v>
      </c>
      <c r="AZ30" s="19">
        <f>IFERROR(IF($E30="REC",INDEX(A_Type_Volume!$B:$B,MATCH($D30,A_Type_Volume!$A:$A,0),1),IF($E30="VAM",INDEX(C_Type_Volume!$B:$B,MATCH($D30,C_Type_Volume!$A:$A,0),1),"X")),"")</f>
        <v>324387</v>
      </c>
      <c r="BA30" s="19">
        <f>IFERROR(IF($E30="REC",INDEX(A_Type_Volume!$C:$C,MATCH($D30,A_Type_Volume!$A:$A,0),1),IF($E30="VAM",INDEX(C_Type_Volume!$C:$C,MATCH($D30,C_Type_Volume!$A:$A,0),1),"X")),"")</f>
        <v>290516</v>
      </c>
      <c r="BB30" s="19">
        <f>IFERROR(IF($E30="REC",INDEX(A_Type_Volume!$D:$D,MATCH($D30,A_Type_Volume!$A:$A,0),1),IF($E30="VAM",INDEX(C_Type_Volume!$D:$D,MATCH($D30,C_Type_Volume!$A:$A,0),1),"X")),"")</f>
        <v>0</v>
      </c>
      <c r="BC30" s="19">
        <f>IFERROR(IF($E30="REC",INDEX(A_Type_Volume!$E:$E,MATCH($D30,A_Type_Volume!$A:$A,0),1),IF($E30="VAM",INDEX(C_Type_Volume!$E:$E,MATCH($D30,C_Type_Volume!$A:$A,0),1),"X")),"")</f>
        <v>271335</v>
      </c>
      <c r="BD30" s="19">
        <f>IFERROR(IF($E30="REC",INDEX(A_Type_Volume!$F:$F,MATCH($D30,A_Type_Volume!$A:$A,0),1),IF($E30="VAM",INDEX(C_Type_Volume!$F:$F,MATCH($D30,C_Type_Volume!$A:$A,0),1),"X")),"")</f>
        <v>161181</v>
      </c>
      <c r="BE30" s="19">
        <f>IFERROR(IF($E30="REC",INDEX(A_Type_Volume!$G:$G,MATCH($D30,A_Type_Volume!$A:$A,0),1),IF($E30="VAM",INDEX(C_Type_Volume!$G:$G,MATCH($D30,C_Type_Volume!$A:$A,0),1),"X")),"")</f>
        <v>0</v>
      </c>
      <c r="BF30" s="19">
        <f>IFERROR(IF($E30="REC",INDEX(A_Type_Volume!$H:$H,MATCH($D30,A_Type_Volume!$A:$A,0),1),IF($E30="VAM",INDEX(C_Type_Volume!$H:$H,MATCH($D30,C_Type_Volume!$A:$A,0),1),"X")),"")</f>
        <v>309606</v>
      </c>
      <c r="BG30" s="19">
        <f>IFERROR(IF($E30="REC",INDEX(A_Type_Volume!$I:$I,MATCH($D30,A_Type_Volume!$A:$A,0),1),IF($E30="VAM",INDEX(C_Type_Volume!$I:$I,MATCH($D30,C_Type_Volume!$A:$A,0),1),"X")),"")</f>
        <v>241230</v>
      </c>
      <c r="BH30" s="19">
        <f>IFERROR(IF($E30="REC",INDEX(A_Type_Volume!$J:$J,MATCH($D30,A_Type_Volume!$A:$A,0),1),IF($E30="VAM",INDEX(C_Type_Volume!$J:$J,MATCH($D30,C_Type_Volume!$A:$A,0),1),"X")),"")</f>
        <v>234130</v>
      </c>
      <c r="BI30" s="19">
        <f>IFERROR(IF($E30="REC",INDEX(A_Type_Volume!$K:$K,MATCH($D30,A_Type_Volume!$A:$A,0),1),IF($E30="VAM",INDEX(C_Type_Volume!$K:$K,MATCH($D30,C_Type_Volume!$A:$A,0),1),"X")),"")</f>
        <v>208152</v>
      </c>
      <c r="BJ30" s="19">
        <f>IFERROR(IF($E30="REC",INDEX(A_Type_Volume!$L:$L,MATCH($D30,A_Type_Volume!$A:$A,0),1),IF($E30="VAM",INDEX(C_Type_Volume!$L:$L,MATCH($D30,C_Type_Volume!$A:$A,0),1),"X")),"")</f>
        <v>230519</v>
      </c>
      <c r="BK30" s="19">
        <f>IFERROR(IF($E30="REC",INDEX(A_Type_Volume!M:M,MATCH($D30,A_Type_Volume!$A:$A,0),1),IF($E30="VAM",INDEX(C_Type_Volume!M:M,MATCH($D30,C_Type_Volume!$A:$A,0),1),"X")),"")</f>
        <v>178094</v>
      </c>
      <c r="BL30" s="38">
        <f>SUM(Table1[[#This Row],[Jan_AVF]:[Dec_AVF]])</f>
        <v>2449150</v>
      </c>
      <c r="BM30" s="16">
        <f t="shared" si="40"/>
        <v>13478.242454426596</v>
      </c>
      <c r="BN30" s="16">
        <f t="shared" si="41"/>
        <v>12070.906309100541</v>
      </c>
      <c r="BO30" s="16">
        <f t="shared" si="42"/>
        <v>0</v>
      </c>
      <c r="BP30" s="16">
        <f t="shared" si="43"/>
        <v>11273.937970300414</v>
      </c>
      <c r="BQ30" s="16">
        <f t="shared" si="44"/>
        <v>6697.0519689350476</v>
      </c>
      <c r="BR30" s="16">
        <f t="shared" si="45"/>
        <v>0</v>
      </c>
      <c r="BS30" s="16">
        <f t="shared" si="46"/>
        <v>12864.093608391215</v>
      </c>
      <c r="BT30" s="16">
        <f t="shared" si="47"/>
        <v>10023.078690827091</v>
      </c>
      <c r="BU30" s="16">
        <f t="shared" si="48"/>
        <v>9728.0745093203459</v>
      </c>
      <c r="BV30" s="16">
        <f t="shared" si="49"/>
        <v>8648.6916040834094</v>
      </c>
      <c r="BW30" s="16">
        <f t="shared" si="50"/>
        <v>9578.0378755990969</v>
      </c>
      <c r="BX30" s="16">
        <f t="shared" si="51"/>
        <v>7399.7851691918922</v>
      </c>
      <c r="BY30" s="10">
        <f t="shared" si="17"/>
        <v>25549.148763527137</v>
      </c>
      <c r="BZ30" s="10">
        <f t="shared" si="18"/>
        <v>17970.989939235464</v>
      </c>
      <c r="CA30" s="10">
        <f t="shared" si="19"/>
        <v>32615.24680853865</v>
      </c>
      <c r="CB30" s="10">
        <f t="shared" si="20"/>
        <v>25626.514648874399</v>
      </c>
      <c r="CC30" s="10">
        <f>IFERROR(Table1[[#This Row],[Labor
Saving]]*Table1[[#This Row],[Annual Volume]],"")</f>
        <v>75959.26064100003</v>
      </c>
      <c r="CD30" s="10">
        <f>IFERROR(Table1[[#This Row],[Annual Volume]]*Table1[[#This Row],[Yield
Saving]],"")</f>
        <v>0</v>
      </c>
      <c r="CE30" s="10">
        <f>IFERROR(Table1[[#This Row],[Annual Volume]]*Table1[[#This Row],[Material
Saving]],"")</f>
        <v>25802.639519175631</v>
      </c>
      <c r="CF30" s="10">
        <f>IFERROR(Table1[[#This Row],[OH
Saving]]*Table1[[#This Row],[Annual Volume]],"")</f>
        <v>0</v>
      </c>
      <c r="CG30" s="10">
        <f>SUM(Table1[[#This Row],[Labor_ASV]:[OH_ASV]])</f>
        <v>101761.90016017566</v>
      </c>
    </row>
    <row r="31" spans="1:85" x14ac:dyDescent="0.3">
      <c r="A31" t="str">
        <f>Table1[[#This Row],[Project Name]]&amp;Table1[[#This Row],[Part Number]]</f>
        <v>Diamond blade Supplier BR74</v>
      </c>
      <c r="B31" t="str">
        <f>IFERROR(Table1[[#This Row],[Project Number]]&amp;Table1[[#This Row],[Part Number]],"")</f>
        <v>AME25-031R74</v>
      </c>
      <c r="C31" s="22" t="s">
        <v>83</v>
      </c>
      <c r="D31" s="24" t="s">
        <v>312</v>
      </c>
      <c r="E31" s="25" t="s">
        <v>58</v>
      </c>
      <c r="F31" s="6">
        <f>INDEX(Proj_Reg!G:G,MATCH($C31,Proj_Reg!$B:$B,0),1)</f>
        <v>46113</v>
      </c>
      <c r="G31" s="6">
        <f>INDEX(Proj_Reg!H:H,MATCH($C31,Proj_Reg!$B:$B,0),1)</f>
        <v>46447</v>
      </c>
      <c r="H31" s="6" t="str">
        <f>IF(INDEX(Proj_Reg!C:C,MATCH($C31,Proj_Reg!$B:$B,0),1)=0,"",INDEX(Proj_Reg!C:C,MATCH($C31,Proj_Reg!$B:$B,0),1))</f>
        <v>Wafer Saw Dicing</v>
      </c>
      <c r="I31" s="6" t="str">
        <f>IF(INDEX(Proj_Reg!D:D,MATCH($C31,Proj_Reg!$B:$B,0),1)=0,"",INDEX(Proj_Reg!D:D,MATCH($C31,Proj_Reg!$B:$B,0),1))</f>
        <v>XCD</v>
      </c>
      <c r="J31" s="6" t="str">
        <f>INDEX(Proj_Reg!E:E,MATCH($C31,Proj_Reg!$B:$B,0),1)</f>
        <v>Diamond blade Supplier B</v>
      </c>
      <c r="K31" s="21">
        <v>1.2005687200000007E-2</v>
      </c>
      <c r="L31" s="21">
        <v>0</v>
      </c>
      <c r="M31" s="21">
        <v>1.2579665503579994E-2</v>
      </c>
      <c r="N31" s="21">
        <v>0</v>
      </c>
      <c r="O31" s="11">
        <f>SUM(Table1[[#This Row],[Labor
Saving]:[OH
Saving]])</f>
        <v>2.4585352703580001E-2</v>
      </c>
      <c r="Q31" s="40">
        <f t="shared" si="21"/>
        <v>0</v>
      </c>
      <c r="R31" s="40">
        <f t="shared" si="0"/>
        <v>0</v>
      </c>
      <c r="S31" s="40">
        <f t="shared" si="1"/>
        <v>0</v>
      </c>
      <c r="T31" s="40">
        <f t="shared" si="2"/>
        <v>23181</v>
      </c>
      <c r="U31" s="40">
        <f t="shared" si="3"/>
        <v>98313</v>
      </c>
      <c r="V31" s="40">
        <f t="shared" si="4"/>
        <v>87106</v>
      </c>
      <c r="W31" s="40">
        <f t="shared" si="5"/>
        <v>75559</v>
      </c>
      <c r="X31" s="40">
        <f t="shared" si="6"/>
        <v>53125</v>
      </c>
      <c r="Y31" s="40">
        <f t="shared" si="7"/>
        <v>41113</v>
      </c>
      <c r="Z31" s="40">
        <f t="shared" si="8"/>
        <v>50976</v>
      </c>
      <c r="AA31" s="40">
        <f t="shared" si="9"/>
        <v>47605</v>
      </c>
      <c r="AB31" s="40">
        <f t="shared" si="10"/>
        <v>34090</v>
      </c>
      <c r="AC31" s="37">
        <f>SUM(Table1[[#This Row],[Jan]:[Dec]])</f>
        <v>511068</v>
      </c>
      <c r="AD31" s="15">
        <f t="shared" si="22"/>
        <v>0</v>
      </c>
      <c r="AE31" s="15">
        <f t="shared" si="23"/>
        <v>0</v>
      </c>
      <c r="AF31" s="15">
        <f t="shared" si="24"/>
        <v>0</v>
      </c>
      <c r="AG31" s="15">
        <f t="shared" si="25"/>
        <v>569.91306102168801</v>
      </c>
      <c r="AH31" s="15">
        <f t="shared" si="26"/>
        <v>2417.0597803470605</v>
      </c>
      <c r="AI31" s="15">
        <f t="shared" si="27"/>
        <v>2141.5317325980395</v>
      </c>
      <c r="AJ31" s="15">
        <f t="shared" si="28"/>
        <v>1857.6446649298014</v>
      </c>
      <c r="AK31" s="15">
        <f t="shared" si="29"/>
        <v>1306.0968623776876</v>
      </c>
      <c r="AL31" s="15">
        <f t="shared" si="30"/>
        <v>1010.7776057022846</v>
      </c>
      <c r="AM31" s="15">
        <f t="shared" si="31"/>
        <v>1253.262939417694</v>
      </c>
      <c r="AN31" s="15">
        <f t="shared" si="32"/>
        <v>1170.385715453926</v>
      </c>
      <c r="AO31" s="15">
        <f t="shared" si="33"/>
        <v>838.11467366504223</v>
      </c>
      <c r="AP31" s="10">
        <f t="shared" si="34"/>
        <v>0</v>
      </c>
      <c r="AQ31" s="10">
        <f t="shared" si="35"/>
        <v>5128.5045739667876</v>
      </c>
      <c r="AR31" s="10">
        <f t="shared" si="36"/>
        <v>4174.5191330097732</v>
      </c>
      <c r="AS31" s="10">
        <f t="shared" si="37"/>
        <v>3261.7633285366624</v>
      </c>
      <c r="AT31" s="10" t="b">
        <f t="shared" si="38"/>
        <v>1</v>
      </c>
      <c r="AU31" s="10">
        <f t="shared" si="12"/>
        <v>6135.7225459296033</v>
      </c>
      <c r="AV31" s="10">
        <f t="shared" si="13"/>
        <v>0</v>
      </c>
      <c r="AW31" s="10">
        <f t="shared" si="14"/>
        <v>6429.0644895836203</v>
      </c>
      <c r="AX31" s="10">
        <f t="shared" si="15"/>
        <v>0</v>
      </c>
      <c r="AY31" s="10">
        <f t="shared" si="39"/>
        <v>12564.787035513224</v>
      </c>
      <c r="AZ31" s="19">
        <f>IFERROR(IF($E31="REC",INDEX(A_Type_Volume!$B:$B,MATCH($D31,A_Type_Volume!$A:$A,0),1),IF($E31="VAM",INDEX(C_Type_Volume!$B:$B,MATCH($D31,C_Type_Volume!$A:$A,0),1),"X")),"")</f>
        <v>113162</v>
      </c>
      <c r="BA31" s="19">
        <f>IFERROR(IF($E31="REC",INDEX(A_Type_Volume!$C:$C,MATCH($D31,A_Type_Volume!$A:$A,0),1),IF($E31="VAM",INDEX(C_Type_Volume!$C:$C,MATCH($D31,C_Type_Volume!$A:$A,0),1),"X")),"")</f>
        <v>116018</v>
      </c>
      <c r="BB31" s="19">
        <f>IFERROR(IF($E31="REC",INDEX(A_Type_Volume!$D:$D,MATCH($D31,A_Type_Volume!$A:$A,0),1),IF($E31="VAM",INDEX(C_Type_Volume!$D:$D,MATCH($D31,C_Type_Volume!$A:$A,0),1),"X")),"")</f>
        <v>84158</v>
      </c>
      <c r="BC31" s="19">
        <f>IFERROR(IF($E31="REC",INDEX(A_Type_Volume!$E:$E,MATCH($D31,A_Type_Volume!$A:$A,0),1),IF($E31="VAM",INDEX(C_Type_Volume!$E:$E,MATCH($D31,C_Type_Volume!$A:$A,0),1),"X")),"")</f>
        <v>77270</v>
      </c>
      <c r="BD31" s="19">
        <f>IFERROR(IF($E31="REC",INDEX(A_Type_Volume!$F:$F,MATCH($D31,A_Type_Volume!$A:$A,0),1),IF($E31="VAM",INDEX(C_Type_Volume!$F:$F,MATCH($D31,C_Type_Volume!$A:$A,0),1),"X")),"")</f>
        <v>98313</v>
      </c>
      <c r="BE31" s="19">
        <f>IFERROR(IF($E31="REC",INDEX(A_Type_Volume!$G:$G,MATCH($D31,A_Type_Volume!$A:$A,0),1),IF($E31="VAM",INDEX(C_Type_Volume!$G:$G,MATCH($D31,C_Type_Volume!$A:$A,0),1),"X")),"")</f>
        <v>87106</v>
      </c>
      <c r="BF31" s="19">
        <f>IFERROR(IF($E31="REC",INDEX(A_Type_Volume!$H:$H,MATCH($D31,A_Type_Volume!$A:$A,0),1),IF($E31="VAM",INDEX(C_Type_Volume!$H:$H,MATCH($D31,C_Type_Volume!$A:$A,0),1),"X")),"")</f>
        <v>75559</v>
      </c>
      <c r="BG31" s="19">
        <f>IFERROR(IF($E31="REC",INDEX(A_Type_Volume!$I:$I,MATCH($D31,A_Type_Volume!$A:$A,0),1),IF($E31="VAM",INDEX(C_Type_Volume!$I:$I,MATCH($D31,C_Type_Volume!$A:$A,0),1),"X")),"")</f>
        <v>53125</v>
      </c>
      <c r="BH31" s="19">
        <f>IFERROR(IF($E31="REC",INDEX(A_Type_Volume!$J:$J,MATCH($D31,A_Type_Volume!$A:$A,0),1),IF($E31="VAM",INDEX(C_Type_Volume!$J:$J,MATCH($D31,C_Type_Volume!$A:$A,0),1),"X")),"")</f>
        <v>41113</v>
      </c>
      <c r="BI31" s="19">
        <f>IFERROR(IF($E31="REC",INDEX(A_Type_Volume!$K:$K,MATCH($D31,A_Type_Volume!$A:$A,0),1),IF($E31="VAM",INDEX(C_Type_Volume!$K:$K,MATCH($D31,C_Type_Volume!$A:$A,0),1),"X")),"")</f>
        <v>50976</v>
      </c>
      <c r="BJ31" s="19">
        <f>IFERROR(IF($E31="REC",INDEX(A_Type_Volume!$L:$L,MATCH($D31,A_Type_Volume!$A:$A,0),1),IF($E31="VAM",INDEX(C_Type_Volume!$L:$L,MATCH($D31,C_Type_Volume!$A:$A,0),1),"X")),"")</f>
        <v>47605</v>
      </c>
      <c r="BK31" s="19">
        <f>IFERROR(IF($E31="REC",INDEX(A_Type_Volume!M:M,MATCH($D31,A_Type_Volume!$A:$A,0),1),IF($E31="VAM",INDEX(C_Type_Volume!M:M,MATCH($D31,C_Type_Volume!$A:$A,0),1),"X")),"")</f>
        <v>34090</v>
      </c>
      <c r="BL31" s="38">
        <f>SUM(Table1[[#This Row],[Jan_AVF]:[Dec_AVF]])</f>
        <v>878495</v>
      </c>
      <c r="BM31" s="16">
        <f t="shared" si="40"/>
        <v>2782.1276826425201</v>
      </c>
      <c r="BN31" s="16">
        <f t="shared" si="41"/>
        <v>2852.3434499639447</v>
      </c>
      <c r="BO31" s="16">
        <f t="shared" si="42"/>
        <v>2069.0541128278855</v>
      </c>
      <c r="BP31" s="16">
        <f t="shared" si="43"/>
        <v>1899.7102034056268</v>
      </c>
      <c r="BQ31" s="16">
        <f t="shared" si="44"/>
        <v>2417.0597803470605</v>
      </c>
      <c r="BR31" s="16">
        <f t="shared" si="45"/>
        <v>2141.5317325980395</v>
      </c>
      <c r="BS31" s="16">
        <f t="shared" si="46"/>
        <v>1857.6446649298014</v>
      </c>
      <c r="BT31" s="16">
        <f t="shared" si="47"/>
        <v>1306.0968623776876</v>
      </c>
      <c r="BU31" s="16">
        <f t="shared" si="48"/>
        <v>1010.7776057022846</v>
      </c>
      <c r="BV31" s="16">
        <f t="shared" si="49"/>
        <v>1253.262939417694</v>
      </c>
      <c r="BW31" s="16">
        <f t="shared" si="50"/>
        <v>1170.385715453926</v>
      </c>
      <c r="BX31" s="16">
        <f t="shared" si="51"/>
        <v>838.11467366504223</v>
      </c>
      <c r="BY31" s="10">
        <f t="shared" si="17"/>
        <v>7703.5252454343499</v>
      </c>
      <c r="BZ31" s="10">
        <f t="shared" si="18"/>
        <v>6458.3017163507266</v>
      </c>
      <c r="CA31" s="10">
        <f t="shared" si="19"/>
        <v>4174.5191330097732</v>
      </c>
      <c r="CB31" s="10">
        <f t="shared" si="20"/>
        <v>3261.7633285366624</v>
      </c>
      <c r="CC31" s="10">
        <f>IFERROR(Table1[[#This Row],[Labor
Saving]]*Table1[[#This Row],[Annual Volume]],"")</f>
        <v>10546.936176764006</v>
      </c>
      <c r="CD31" s="10">
        <f>IFERROR(Table1[[#This Row],[Annual Volume]]*Table1[[#This Row],[Yield
Saving]],"")</f>
        <v>0</v>
      </c>
      <c r="CE31" s="10">
        <f>IFERROR(Table1[[#This Row],[Annual Volume]]*Table1[[#This Row],[Material
Saving]],"")</f>
        <v>11051.173246567507</v>
      </c>
      <c r="CF31" s="10">
        <f>IFERROR(Table1[[#This Row],[OH
Saving]]*Table1[[#This Row],[Annual Volume]],"")</f>
        <v>0</v>
      </c>
      <c r="CG31" s="10">
        <f>SUM(Table1[[#This Row],[Labor_ASV]:[OH_ASV]])</f>
        <v>21598.109423331513</v>
      </c>
    </row>
    <row r="32" spans="1:85" x14ac:dyDescent="0.3">
      <c r="A32" t="str">
        <f>Table1[[#This Row],[Project Name]]&amp;Table1[[#This Row],[Part Number]]</f>
        <v>Diamond blade Supplier BR75</v>
      </c>
      <c r="B32" t="str">
        <f>IFERROR(Table1[[#This Row],[Project Number]]&amp;Table1[[#This Row],[Part Number]],"")</f>
        <v>AME25-031R75</v>
      </c>
      <c r="C32" s="22" t="s">
        <v>83</v>
      </c>
      <c r="D32" s="24" t="s">
        <v>313</v>
      </c>
      <c r="E32" s="25" t="s">
        <v>58</v>
      </c>
      <c r="F32" s="6">
        <f>INDEX(Proj_Reg!G:G,MATCH($C32,Proj_Reg!$B:$B,0),1)</f>
        <v>46113</v>
      </c>
      <c r="G32" s="6">
        <f>INDEX(Proj_Reg!H:H,MATCH($C32,Proj_Reg!$B:$B,0),1)</f>
        <v>46447</v>
      </c>
      <c r="H32" s="6" t="str">
        <f>IF(INDEX(Proj_Reg!C:C,MATCH($C32,Proj_Reg!$B:$B,0),1)=0,"",INDEX(Proj_Reg!C:C,MATCH($C32,Proj_Reg!$B:$B,0),1))</f>
        <v>Wafer Saw Dicing</v>
      </c>
      <c r="I32" s="6" t="str">
        <f>IF(INDEX(Proj_Reg!D:D,MATCH($C32,Proj_Reg!$B:$B,0),1)=0,"",INDEX(Proj_Reg!D:D,MATCH($C32,Proj_Reg!$B:$B,0),1))</f>
        <v>XCD</v>
      </c>
      <c r="J32" s="6" t="str">
        <f>INDEX(Proj_Reg!E:E,MATCH($C32,Proj_Reg!$B:$B,0),1)</f>
        <v>Diamond blade Supplier B</v>
      </c>
      <c r="K32" s="21">
        <v>5.912256000000002E-3</v>
      </c>
      <c r="L32" s="21">
        <v>0</v>
      </c>
      <c r="M32" s="21">
        <v>-5.8302508424000661E-4</v>
      </c>
      <c r="N32" s="21">
        <v>0</v>
      </c>
      <c r="O32" s="11">
        <f>SUM(Table1[[#This Row],[Labor
Saving]:[OH
Saving]])</f>
        <v>5.3292309157599955E-3</v>
      </c>
      <c r="Q32" s="40">
        <f t="shared" si="21"/>
        <v>0</v>
      </c>
      <c r="R32" s="40">
        <f t="shared" si="0"/>
        <v>0</v>
      </c>
      <c r="S32" s="40">
        <f t="shared" si="1"/>
        <v>0</v>
      </c>
      <c r="T32" s="40">
        <f t="shared" si="2"/>
        <v>23181</v>
      </c>
      <c r="U32" s="40">
        <f t="shared" si="3"/>
        <v>98313</v>
      </c>
      <c r="V32" s="40">
        <f t="shared" si="4"/>
        <v>87106</v>
      </c>
      <c r="W32" s="40">
        <f t="shared" si="5"/>
        <v>75559</v>
      </c>
      <c r="X32" s="40">
        <f t="shared" si="6"/>
        <v>53125</v>
      </c>
      <c r="Y32" s="40">
        <f t="shared" si="7"/>
        <v>41113</v>
      </c>
      <c r="Z32" s="40">
        <f t="shared" si="8"/>
        <v>50976</v>
      </c>
      <c r="AA32" s="40">
        <f t="shared" si="9"/>
        <v>47605</v>
      </c>
      <c r="AB32" s="40">
        <f t="shared" si="10"/>
        <v>34090</v>
      </c>
      <c r="AC32" s="37">
        <f>SUM(Table1[[#This Row],[Jan]:[Dec]])</f>
        <v>511068</v>
      </c>
      <c r="AD32" s="15">
        <f t="shared" si="22"/>
        <v>0</v>
      </c>
      <c r="AE32" s="15">
        <f t="shared" si="23"/>
        <v>0</v>
      </c>
      <c r="AF32" s="15">
        <f t="shared" si="24"/>
        <v>0</v>
      </c>
      <c r="AG32" s="15">
        <f t="shared" si="25"/>
        <v>123.53690185823245</v>
      </c>
      <c r="AH32" s="15">
        <f t="shared" si="26"/>
        <v>523.93267902111245</v>
      </c>
      <c r="AI32" s="15">
        <f t="shared" si="27"/>
        <v>464.20798814819017</v>
      </c>
      <c r="AJ32" s="15">
        <f t="shared" si="28"/>
        <v>402.6713587639095</v>
      </c>
      <c r="AK32" s="15">
        <f t="shared" si="29"/>
        <v>283.11539239974974</v>
      </c>
      <c r="AL32" s="15">
        <f t="shared" si="30"/>
        <v>219.1006706396407</v>
      </c>
      <c r="AM32" s="15">
        <f t="shared" si="31"/>
        <v>271.66287516178153</v>
      </c>
      <c r="AN32" s="15">
        <f t="shared" si="32"/>
        <v>253.6980377447546</v>
      </c>
      <c r="AO32" s="15">
        <f t="shared" si="33"/>
        <v>181.67348191825826</v>
      </c>
      <c r="AP32" s="10">
        <f t="shared" si="34"/>
        <v>0</v>
      </c>
      <c r="AQ32" s="10">
        <f t="shared" si="35"/>
        <v>1111.6775690275351</v>
      </c>
      <c r="AR32" s="10">
        <f t="shared" si="36"/>
        <v>904.88742180329996</v>
      </c>
      <c r="AS32" s="10">
        <f t="shared" si="37"/>
        <v>707.03439482479439</v>
      </c>
      <c r="AT32" s="10" t="b">
        <f t="shared" si="38"/>
        <v>1</v>
      </c>
      <c r="AU32" s="10">
        <f t="shared" si="12"/>
        <v>3021.564849408001</v>
      </c>
      <c r="AV32" s="10">
        <f t="shared" si="13"/>
        <v>0</v>
      </c>
      <c r="AW32" s="10">
        <f t="shared" si="14"/>
        <v>-297.9654637523717</v>
      </c>
      <c r="AX32" s="10">
        <f t="shared" si="15"/>
        <v>0</v>
      </c>
      <c r="AY32" s="10">
        <f t="shared" si="39"/>
        <v>2723.5993856556292</v>
      </c>
      <c r="AZ32" s="19">
        <f>IFERROR(IF($E32="REC",INDEX(A_Type_Volume!$B:$B,MATCH($D32,A_Type_Volume!$A:$A,0),1),IF($E32="VAM",INDEX(C_Type_Volume!$B:$B,MATCH($D32,C_Type_Volume!$A:$A,0),1),"X")),"")</f>
        <v>113162</v>
      </c>
      <c r="BA32" s="19">
        <f>IFERROR(IF($E32="REC",INDEX(A_Type_Volume!$C:$C,MATCH($D32,A_Type_Volume!$A:$A,0),1),IF($E32="VAM",INDEX(C_Type_Volume!$C:$C,MATCH($D32,C_Type_Volume!$A:$A,0),1),"X")),"")</f>
        <v>116018</v>
      </c>
      <c r="BB32" s="19">
        <f>IFERROR(IF($E32="REC",INDEX(A_Type_Volume!$D:$D,MATCH($D32,A_Type_Volume!$A:$A,0),1),IF($E32="VAM",INDEX(C_Type_Volume!$D:$D,MATCH($D32,C_Type_Volume!$A:$A,0),1),"X")),"")</f>
        <v>84158</v>
      </c>
      <c r="BC32" s="19">
        <f>IFERROR(IF($E32="REC",INDEX(A_Type_Volume!$E:$E,MATCH($D32,A_Type_Volume!$A:$A,0),1),IF($E32="VAM",INDEX(C_Type_Volume!$E:$E,MATCH($D32,C_Type_Volume!$A:$A,0),1),"X")),"")</f>
        <v>77270</v>
      </c>
      <c r="BD32" s="19">
        <f>IFERROR(IF($E32="REC",INDEX(A_Type_Volume!$F:$F,MATCH($D32,A_Type_Volume!$A:$A,0),1),IF($E32="VAM",INDEX(C_Type_Volume!$F:$F,MATCH($D32,C_Type_Volume!$A:$A,0),1),"X")),"")</f>
        <v>98313</v>
      </c>
      <c r="BE32" s="19">
        <f>IFERROR(IF($E32="REC",INDEX(A_Type_Volume!$G:$G,MATCH($D32,A_Type_Volume!$A:$A,0),1),IF($E32="VAM",INDEX(C_Type_Volume!$G:$G,MATCH($D32,C_Type_Volume!$A:$A,0),1),"X")),"")</f>
        <v>87106</v>
      </c>
      <c r="BF32" s="19">
        <f>IFERROR(IF($E32="REC",INDEX(A_Type_Volume!$H:$H,MATCH($D32,A_Type_Volume!$A:$A,0),1),IF($E32="VAM",INDEX(C_Type_Volume!$H:$H,MATCH($D32,C_Type_Volume!$A:$A,0),1),"X")),"")</f>
        <v>75559</v>
      </c>
      <c r="BG32" s="19">
        <f>IFERROR(IF($E32="REC",INDEX(A_Type_Volume!$I:$I,MATCH($D32,A_Type_Volume!$A:$A,0),1),IF($E32="VAM",INDEX(C_Type_Volume!$I:$I,MATCH($D32,C_Type_Volume!$A:$A,0),1),"X")),"")</f>
        <v>53125</v>
      </c>
      <c r="BH32" s="19">
        <f>IFERROR(IF($E32="REC",INDEX(A_Type_Volume!$J:$J,MATCH($D32,A_Type_Volume!$A:$A,0),1),IF($E32="VAM",INDEX(C_Type_Volume!$J:$J,MATCH($D32,C_Type_Volume!$A:$A,0),1),"X")),"")</f>
        <v>41113</v>
      </c>
      <c r="BI32" s="19">
        <f>IFERROR(IF($E32="REC",INDEX(A_Type_Volume!$K:$K,MATCH($D32,A_Type_Volume!$A:$A,0),1),IF($E32="VAM",INDEX(C_Type_Volume!$K:$K,MATCH($D32,C_Type_Volume!$A:$A,0),1),"X")),"")</f>
        <v>50976</v>
      </c>
      <c r="BJ32" s="19">
        <f>IFERROR(IF($E32="REC",INDEX(A_Type_Volume!$L:$L,MATCH($D32,A_Type_Volume!$A:$A,0),1),IF($E32="VAM",INDEX(C_Type_Volume!$L:$L,MATCH($D32,C_Type_Volume!$A:$A,0),1),"X")),"")</f>
        <v>47605</v>
      </c>
      <c r="BK32" s="19">
        <f>IFERROR(IF($E32="REC",INDEX(A_Type_Volume!M:M,MATCH($D32,A_Type_Volume!$A:$A,0),1),IF($E32="VAM",INDEX(C_Type_Volume!M:M,MATCH($D32,C_Type_Volume!$A:$A,0),1),"X")),"")</f>
        <v>34090</v>
      </c>
      <c r="BL32" s="38">
        <f>SUM(Table1[[#This Row],[Jan_AVF]:[Dec_AVF]])</f>
        <v>878495</v>
      </c>
      <c r="BM32" s="16">
        <f t="shared" si="40"/>
        <v>603.06642888923261</v>
      </c>
      <c r="BN32" s="16">
        <f t="shared" si="41"/>
        <v>618.28671238464312</v>
      </c>
      <c r="BO32" s="16">
        <f t="shared" si="42"/>
        <v>448.49741540852972</v>
      </c>
      <c r="BP32" s="16">
        <f t="shared" si="43"/>
        <v>411.78967286077483</v>
      </c>
      <c r="BQ32" s="16">
        <f t="shared" si="44"/>
        <v>523.93267902111245</v>
      </c>
      <c r="BR32" s="16">
        <f t="shared" si="45"/>
        <v>464.20798814819017</v>
      </c>
      <c r="BS32" s="16">
        <f t="shared" si="46"/>
        <v>402.6713587639095</v>
      </c>
      <c r="BT32" s="16">
        <f t="shared" si="47"/>
        <v>283.11539239974974</v>
      </c>
      <c r="BU32" s="16">
        <f t="shared" si="48"/>
        <v>219.1006706396407</v>
      </c>
      <c r="BV32" s="16">
        <f t="shared" si="49"/>
        <v>271.66287516178153</v>
      </c>
      <c r="BW32" s="16">
        <f t="shared" si="50"/>
        <v>253.6980377447546</v>
      </c>
      <c r="BX32" s="16">
        <f t="shared" si="51"/>
        <v>181.67348191825826</v>
      </c>
      <c r="BY32" s="10">
        <f t="shared" si="17"/>
        <v>1669.8505566824056</v>
      </c>
      <c r="BZ32" s="10">
        <f t="shared" si="18"/>
        <v>1399.9303400300776</v>
      </c>
      <c r="CA32" s="10">
        <f t="shared" si="19"/>
        <v>904.88742180329996</v>
      </c>
      <c r="CB32" s="10">
        <f t="shared" si="20"/>
        <v>707.03439482479439</v>
      </c>
      <c r="CC32" s="10">
        <f>IFERROR(Table1[[#This Row],[Labor
Saving]]*Table1[[#This Row],[Annual Volume]],"")</f>
        <v>5193.8873347200015</v>
      </c>
      <c r="CD32" s="10">
        <f>IFERROR(Table1[[#This Row],[Annual Volume]]*Table1[[#This Row],[Yield
Saving]],"")</f>
        <v>0</v>
      </c>
      <c r="CE32" s="10">
        <f>IFERROR(Table1[[#This Row],[Annual Volume]]*Table1[[#This Row],[Material
Saving]],"")</f>
        <v>-512.18462137942458</v>
      </c>
      <c r="CF32" s="10">
        <f>IFERROR(Table1[[#This Row],[OH
Saving]]*Table1[[#This Row],[Annual Volume]],"")</f>
        <v>0</v>
      </c>
      <c r="CG32" s="10">
        <f>SUM(Table1[[#This Row],[Labor_ASV]:[OH_ASV]])</f>
        <v>4681.7027133405772</v>
      </c>
    </row>
    <row r="33" spans="1:85" x14ac:dyDescent="0.3">
      <c r="A33" t="str">
        <f>Table1[[#This Row],[Project Name]]&amp;Table1[[#This Row],[Part Number]]</f>
        <v>Diamond blade Supplier DR149</v>
      </c>
      <c r="B33" t="str">
        <f>IFERROR(Table1[[#This Row],[Project Number]]&amp;Table1[[#This Row],[Part Number]],"")</f>
        <v>AME25-033R149</v>
      </c>
      <c r="C33" s="22" t="s">
        <v>85</v>
      </c>
      <c r="D33" s="24" t="s">
        <v>387</v>
      </c>
      <c r="E33" s="25" t="s">
        <v>58</v>
      </c>
      <c r="F33" s="6">
        <f>INDEX(Proj_Reg!G:G,MATCH($C33,Proj_Reg!$B:$B,0),1)</f>
        <v>46054</v>
      </c>
      <c r="G33" s="6">
        <f>INDEX(Proj_Reg!H:H,MATCH($C33,Proj_Reg!$B:$B,0),1)</f>
        <v>46388</v>
      </c>
      <c r="H33" s="6" t="str">
        <f>IF(INDEX(Proj_Reg!C:C,MATCH($C33,Proj_Reg!$B:$B,0),1)=0,"",INDEX(Proj_Reg!C:C,MATCH($C33,Proj_Reg!$B:$B,0),1))</f>
        <v>Wafer Saw Dicing</v>
      </c>
      <c r="I33" s="6" t="str">
        <f>IF(INDEX(Proj_Reg!D:D,MATCH($C33,Proj_Reg!$B:$B,0),1)=0,"",INDEX(Proj_Reg!D:D,MATCH($C33,Proj_Reg!$B:$B,0),1))</f>
        <v>XCD</v>
      </c>
      <c r="J33" s="6" t="str">
        <f>INDEX(Proj_Reg!E:E,MATCH($C33,Proj_Reg!$B:$B,0),1)</f>
        <v>Diamond blade Supplier D</v>
      </c>
      <c r="K33" s="21">
        <v>5.912256000000002E-3</v>
      </c>
      <c r="L33" s="21">
        <v>0</v>
      </c>
      <c r="M33" s="21">
        <v>-5.8302508424000661E-4</v>
      </c>
      <c r="N33" s="21">
        <v>0</v>
      </c>
      <c r="O33" s="11">
        <f>SUM(Table1[[#This Row],[Labor
Saving]:[OH
Saving]])</f>
        <v>5.3292309157599955E-3</v>
      </c>
      <c r="Q33" s="40">
        <f t="shared" si="21"/>
        <v>0</v>
      </c>
      <c r="R33" s="40">
        <f t="shared" si="0"/>
        <v>216000</v>
      </c>
      <c r="S33" s="40">
        <f t="shared" si="1"/>
        <v>810000</v>
      </c>
      <c r="T33" s="40">
        <f t="shared" si="2"/>
        <v>690000</v>
      </c>
      <c r="U33" s="40">
        <f t="shared" si="3"/>
        <v>780000</v>
      </c>
      <c r="V33" s="40">
        <f t="shared" si="4"/>
        <v>780000</v>
      </c>
      <c r="W33" s="40">
        <f t="shared" si="5"/>
        <v>570000</v>
      </c>
      <c r="X33" s="40">
        <f t="shared" si="6"/>
        <v>390000</v>
      </c>
      <c r="Y33" s="40">
        <f t="shared" si="7"/>
        <v>450000</v>
      </c>
      <c r="Z33" s="40">
        <f t="shared" si="8"/>
        <v>367500</v>
      </c>
      <c r="AA33" s="40">
        <f t="shared" si="9"/>
        <v>393750</v>
      </c>
      <c r="AB33" s="40">
        <f t="shared" si="10"/>
        <v>367830</v>
      </c>
      <c r="AC33" s="37">
        <f>SUM(Table1[[#This Row],[Jan]:[Dec]])</f>
        <v>5815080</v>
      </c>
      <c r="AD33" s="15">
        <f t="shared" si="22"/>
        <v>0</v>
      </c>
      <c r="AE33" s="15">
        <f t="shared" si="23"/>
        <v>1151.1138778041591</v>
      </c>
      <c r="AF33" s="15">
        <f t="shared" si="24"/>
        <v>4316.6770417655962</v>
      </c>
      <c r="AG33" s="15">
        <f t="shared" si="25"/>
        <v>3677.1693318743969</v>
      </c>
      <c r="AH33" s="15">
        <f t="shared" si="26"/>
        <v>4156.8001142927969</v>
      </c>
      <c r="AI33" s="15">
        <f t="shared" si="27"/>
        <v>4156.8001142927969</v>
      </c>
      <c r="AJ33" s="15">
        <f t="shared" si="28"/>
        <v>3037.6616219831976</v>
      </c>
      <c r="AK33" s="15">
        <f t="shared" si="29"/>
        <v>2078.4000571463985</v>
      </c>
      <c r="AL33" s="15">
        <f t="shared" si="30"/>
        <v>2398.1539120919979</v>
      </c>
      <c r="AM33" s="15">
        <f t="shared" si="31"/>
        <v>1958.4923615417983</v>
      </c>
      <c r="AN33" s="15">
        <f t="shared" si="32"/>
        <v>2098.384673080498</v>
      </c>
      <c r="AO33" s="15">
        <f t="shared" si="33"/>
        <v>1960.2510077439993</v>
      </c>
      <c r="AP33" s="10">
        <f t="shared" si="34"/>
        <v>5467.7909195697557</v>
      </c>
      <c r="AQ33" s="10">
        <f t="shared" si="35"/>
        <v>11990.76956045999</v>
      </c>
      <c r="AR33" s="10">
        <f t="shared" si="36"/>
        <v>7514.215591221594</v>
      </c>
      <c r="AS33" s="10">
        <f t="shared" si="37"/>
        <v>6017.1280423662956</v>
      </c>
      <c r="AT33" s="10" t="b">
        <f t="shared" si="38"/>
        <v>1</v>
      </c>
      <c r="AU33" s="10">
        <f t="shared" si="12"/>
        <v>34380.24162048001</v>
      </c>
      <c r="AV33" s="10">
        <f t="shared" si="13"/>
        <v>0</v>
      </c>
      <c r="AW33" s="10">
        <f t="shared" si="14"/>
        <v>-3390.3375068623777</v>
      </c>
      <c r="AX33" s="10">
        <f t="shared" si="15"/>
        <v>0</v>
      </c>
      <c r="AY33" s="10">
        <f t="shared" si="39"/>
        <v>30989.904113617631</v>
      </c>
      <c r="AZ33" s="19">
        <f>IFERROR(IF($E33="REC",INDEX(A_Type_Volume!$B:$B,MATCH($D33,A_Type_Volume!$A:$A,0),1),IF($E33="VAM",INDEX(C_Type_Volume!$B:$B,MATCH($D33,C_Type_Volume!$A:$A,0),1),"X")),"")</f>
        <v>690000</v>
      </c>
      <c r="BA33" s="19">
        <f>IFERROR(IF($E33="REC",INDEX(A_Type_Volume!$C:$C,MATCH($D33,A_Type_Volume!$A:$A,0),1),IF($E33="VAM",INDEX(C_Type_Volume!$C:$C,MATCH($D33,C_Type_Volume!$A:$A,0),1),"X")),"")</f>
        <v>720000</v>
      </c>
      <c r="BB33" s="19">
        <f>IFERROR(IF($E33="REC",INDEX(A_Type_Volume!$D:$D,MATCH($D33,A_Type_Volume!$A:$A,0),1),IF($E33="VAM",INDEX(C_Type_Volume!$D:$D,MATCH($D33,C_Type_Volume!$A:$A,0),1),"X")),"")</f>
        <v>810000</v>
      </c>
      <c r="BC33" s="19">
        <f>IFERROR(IF($E33="REC",INDEX(A_Type_Volume!$E:$E,MATCH($D33,A_Type_Volume!$A:$A,0),1),IF($E33="VAM",INDEX(C_Type_Volume!$E:$E,MATCH($D33,C_Type_Volume!$A:$A,0),1),"X")),"")</f>
        <v>690000</v>
      </c>
      <c r="BD33" s="19">
        <f>IFERROR(IF($E33="REC",INDEX(A_Type_Volume!$F:$F,MATCH($D33,A_Type_Volume!$A:$A,0),1),IF($E33="VAM",INDEX(C_Type_Volume!$F:$F,MATCH($D33,C_Type_Volume!$A:$A,0),1),"X")),"")</f>
        <v>780000</v>
      </c>
      <c r="BE33" s="19">
        <f>IFERROR(IF($E33="REC",INDEX(A_Type_Volume!$G:$G,MATCH($D33,A_Type_Volume!$A:$A,0),1),IF($E33="VAM",INDEX(C_Type_Volume!$G:$G,MATCH($D33,C_Type_Volume!$A:$A,0),1),"X")),"")</f>
        <v>780000</v>
      </c>
      <c r="BF33" s="19">
        <f>IFERROR(IF($E33="REC",INDEX(A_Type_Volume!$H:$H,MATCH($D33,A_Type_Volume!$A:$A,0),1),IF($E33="VAM",INDEX(C_Type_Volume!$H:$H,MATCH($D33,C_Type_Volume!$A:$A,0),1),"X")),"")</f>
        <v>570000</v>
      </c>
      <c r="BG33" s="19">
        <f>IFERROR(IF($E33="REC",INDEX(A_Type_Volume!$I:$I,MATCH($D33,A_Type_Volume!$A:$A,0),1),IF($E33="VAM",INDEX(C_Type_Volume!$I:$I,MATCH($D33,C_Type_Volume!$A:$A,0),1),"X")),"")</f>
        <v>390000</v>
      </c>
      <c r="BH33" s="19">
        <f>IFERROR(IF($E33="REC",INDEX(A_Type_Volume!$J:$J,MATCH($D33,A_Type_Volume!$A:$A,0),1),IF($E33="VAM",INDEX(C_Type_Volume!$J:$J,MATCH($D33,C_Type_Volume!$A:$A,0),1),"X")),"")</f>
        <v>450000</v>
      </c>
      <c r="BI33" s="19">
        <f>IFERROR(IF($E33="REC",INDEX(A_Type_Volume!$K:$K,MATCH($D33,A_Type_Volume!$A:$A,0),1),IF($E33="VAM",INDEX(C_Type_Volume!$K:$K,MATCH($D33,C_Type_Volume!$A:$A,0),1),"X")),"")</f>
        <v>367500</v>
      </c>
      <c r="BJ33" s="19">
        <f>IFERROR(IF($E33="REC",INDEX(A_Type_Volume!$L:$L,MATCH($D33,A_Type_Volume!$A:$A,0),1),IF($E33="VAM",INDEX(C_Type_Volume!$L:$L,MATCH($D33,C_Type_Volume!$A:$A,0),1),"X")),"")</f>
        <v>393750</v>
      </c>
      <c r="BK33" s="19">
        <f>IFERROR(IF($E33="REC",INDEX(A_Type_Volume!M:M,MATCH($D33,A_Type_Volume!$A:$A,0),1),IF($E33="VAM",INDEX(C_Type_Volume!M:M,MATCH($D33,C_Type_Volume!$A:$A,0),1),"X")),"")</f>
        <v>367830</v>
      </c>
      <c r="BL33" s="38">
        <f>SUM(Table1[[#This Row],[Jan_AVF]:[Dec_AVF]])</f>
        <v>7009080</v>
      </c>
      <c r="BM33" s="16">
        <f t="shared" si="40"/>
        <v>3677.1693318743969</v>
      </c>
      <c r="BN33" s="16">
        <f t="shared" si="41"/>
        <v>3837.0462593471966</v>
      </c>
      <c r="BO33" s="16">
        <f t="shared" si="42"/>
        <v>4316.6770417655962</v>
      </c>
      <c r="BP33" s="16">
        <f t="shared" si="43"/>
        <v>3677.1693318743969</v>
      </c>
      <c r="BQ33" s="16">
        <f t="shared" si="44"/>
        <v>4156.8001142927969</v>
      </c>
      <c r="BR33" s="16">
        <f t="shared" si="45"/>
        <v>4156.8001142927969</v>
      </c>
      <c r="BS33" s="16">
        <f t="shared" si="46"/>
        <v>3037.6616219831976</v>
      </c>
      <c r="BT33" s="16">
        <f t="shared" si="47"/>
        <v>2078.4000571463985</v>
      </c>
      <c r="BU33" s="16">
        <f t="shared" si="48"/>
        <v>2398.1539120919979</v>
      </c>
      <c r="BV33" s="16">
        <f t="shared" si="49"/>
        <v>1958.4923615417983</v>
      </c>
      <c r="BW33" s="16">
        <f t="shared" si="50"/>
        <v>2098.384673080498</v>
      </c>
      <c r="BX33" s="16">
        <f t="shared" si="51"/>
        <v>1960.2510077439993</v>
      </c>
      <c r="BY33" s="10">
        <f t="shared" si="17"/>
        <v>11830.89263298719</v>
      </c>
      <c r="BZ33" s="10">
        <f t="shared" si="18"/>
        <v>11990.76956045999</v>
      </c>
      <c r="CA33" s="10">
        <f t="shared" si="19"/>
        <v>7514.215591221594</v>
      </c>
      <c r="CB33" s="10">
        <f t="shared" si="20"/>
        <v>6017.1280423662956</v>
      </c>
      <c r="CC33" s="10">
        <f>IFERROR(Table1[[#This Row],[Labor
Saving]]*Table1[[#This Row],[Annual Volume]],"")</f>
        <v>41439.475284480017</v>
      </c>
      <c r="CD33" s="10">
        <f>IFERROR(Table1[[#This Row],[Annual Volume]]*Table1[[#This Row],[Yield
Saving]],"")</f>
        <v>0</v>
      </c>
      <c r="CE33" s="10">
        <f>IFERROR(Table1[[#This Row],[Annual Volume]]*Table1[[#This Row],[Material
Saving]],"")</f>
        <v>-4086.4694574449454</v>
      </c>
      <c r="CF33" s="10">
        <f>IFERROR(Table1[[#This Row],[OH
Saving]]*Table1[[#This Row],[Annual Volume]],"")</f>
        <v>0</v>
      </c>
      <c r="CG33" s="10">
        <f>SUM(Table1[[#This Row],[Labor_ASV]:[OH_ASV]])</f>
        <v>37353.005827035071</v>
      </c>
    </row>
    <row r="34" spans="1:85" x14ac:dyDescent="0.3">
      <c r="A34" t="str">
        <f>Table1[[#This Row],[Project Name]]&amp;Table1[[#This Row],[Part Number]]</f>
        <v>Diamond blade Supplier DR148</v>
      </c>
      <c r="B34" t="str">
        <f>IFERROR(Table1[[#This Row],[Project Number]]&amp;Table1[[#This Row],[Part Number]],"")</f>
        <v>AME25-033R148</v>
      </c>
      <c r="C34" s="22" t="s">
        <v>85</v>
      </c>
      <c r="D34" s="24" t="s">
        <v>386</v>
      </c>
      <c r="E34" s="25" t="s">
        <v>58</v>
      </c>
      <c r="F34" s="6">
        <f>INDEX(Proj_Reg!G:G,MATCH($C34,Proj_Reg!$B:$B,0),1)</f>
        <v>46054</v>
      </c>
      <c r="G34" s="6">
        <f>INDEX(Proj_Reg!H:H,MATCH($C34,Proj_Reg!$B:$B,0),1)</f>
        <v>46388</v>
      </c>
      <c r="H34" s="6" t="str">
        <f>IF(INDEX(Proj_Reg!C:C,MATCH($C34,Proj_Reg!$B:$B,0),1)=0,"",INDEX(Proj_Reg!C:C,MATCH($C34,Proj_Reg!$B:$B,0),1))</f>
        <v>Wafer Saw Dicing</v>
      </c>
      <c r="I34" s="6" t="str">
        <f>IF(INDEX(Proj_Reg!D:D,MATCH($C34,Proj_Reg!$B:$B,0),1)=0,"",INDEX(Proj_Reg!D:D,MATCH($C34,Proj_Reg!$B:$B,0),1))</f>
        <v>XCD</v>
      </c>
      <c r="J34" s="6" t="str">
        <f>INDEX(Proj_Reg!E:E,MATCH($C34,Proj_Reg!$B:$B,0),1)</f>
        <v>Diamond blade Supplier D</v>
      </c>
      <c r="K34" s="21">
        <v>1.3526448E-2</v>
      </c>
      <c r="L34" s="21">
        <v>0</v>
      </c>
      <c r="M34" s="21">
        <v>0</v>
      </c>
      <c r="N34" s="21">
        <v>0</v>
      </c>
      <c r="O34" s="11">
        <f>SUM(Table1[[#This Row],[Labor
Saving]:[OH
Saving]])</f>
        <v>1.3526448E-2</v>
      </c>
      <c r="Q34" s="40">
        <f t="shared" si="21"/>
        <v>0</v>
      </c>
      <c r="R34" s="40">
        <f t="shared" si="0"/>
        <v>216000</v>
      </c>
      <c r="S34" s="40">
        <f t="shared" si="1"/>
        <v>810000</v>
      </c>
      <c r="T34" s="40">
        <f t="shared" si="2"/>
        <v>690000</v>
      </c>
      <c r="U34" s="40">
        <f t="shared" si="3"/>
        <v>780000</v>
      </c>
      <c r="V34" s="40">
        <f t="shared" si="4"/>
        <v>780000</v>
      </c>
      <c r="W34" s="40">
        <f t="shared" si="5"/>
        <v>570000</v>
      </c>
      <c r="X34" s="40">
        <f t="shared" si="6"/>
        <v>390000</v>
      </c>
      <c r="Y34" s="40">
        <f t="shared" si="7"/>
        <v>450000</v>
      </c>
      <c r="Z34" s="40">
        <f t="shared" si="8"/>
        <v>367500</v>
      </c>
      <c r="AA34" s="40">
        <f t="shared" si="9"/>
        <v>393750</v>
      </c>
      <c r="AB34" s="40">
        <f t="shared" si="10"/>
        <v>367830</v>
      </c>
      <c r="AC34" s="37">
        <f>SUM(Table1[[#This Row],[Jan]:[Dec]])</f>
        <v>5815080</v>
      </c>
      <c r="AD34" s="15">
        <f t="shared" si="22"/>
        <v>0</v>
      </c>
      <c r="AE34" s="15">
        <f t="shared" si="23"/>
        <v>2921.7127679999999</v>
      </c>
      <c r="AF34" s="15">
        <f t="shared" si="24"/>
        <v>10956.42288</v>
      </c>
      <c r="AG34" s="15">
        <f t="shared" si="25"/>
        <v>9333.2491200000004</v>
      </c>
      <c r="AH34" s="15">
        <f t="shared" si="26"/>
        <v>10550.629440000001</v>
      </c>
      <c r="AI34" s="15">
        <f t="shared" si="27"/>
        <v>10550.629440000001</v>
      </c>
      <c r="AJ34" s="15">
        <f t="shared" si="28"/>
        <v>7710.0753599999998</v>
      </c>
      <c r="AK34" s="15">
        <f t="shared" si="29"/>
        <v>5275.3147200000003</v>
      </c>
      <c r="AL34" s="15">
        <f t="shared" si="30"/>
        <v>6086.9016000000001</v>
      </c>
      <c r="AM34" s="15">
        <f t="shared" si="31"/>
        <v>4970.9696400000003</v>
      </c>
      <c r="AN34" s="15">
        <f t="shared" si="32"/>
        <v>5326.0388999999996</v>
      </c>
      <c r="AO34" s="15">
        <f t="shared" si="33"/>
        <v>4975.4333678399998</v>
      </c>
      <c r="AP34" s="10">
        <f t="shared" si="34"/>
        <v>13878.135647999999</v>
      </c>
      <c r="AQ34" s="10">
        <f t="shared" si="35"/>
        <v>30434.508000000002</v>
      </c>
      <c r="AR34" s="10">
        <f t="shared" si="36"/>
        <v>19072.291680000002</v>
      </c>
      <c r="AS34" s="10">
        <f t="shared" si="37"/>
        <v>15272.441907839999</v>
      </c>
      <c r="AT34" s="10" t="b">
        <f t="shared" si="38"/>
        <v>1</v>
      </c>
      <c r="AU34" s="10">
        <f t="shared" si="12"/>
        <v>78657.377235840002</v>
      </c>
      <c r="AV34" s="10">
        <f t="shared" si="13"/>
        <v>0</v>
      </c>
      <c r="AW34" s="10">
        <f t="shared" si="14"/>
        <v>0</v>
      </c>
      <c r="AX34" s="10">
        <f t="shared" si="15"/>
        <v>0</v>
      </c>
      <c r="AY34" s="10">
        <f t="shared" si="39"/>
        <v>78657.377235840002</v>
      </c>
      <c r="AZ34" s="19">
        <f>IFERROR(IF($E34="REC",INDEX(A_Type_Volume!$B:$B,MATCH($D34,A_Type_Volume!$A:$A,0),1),IF($E34="VAM",INDEX(C_Type_Volume!$B:$B,MATCH($D34,C_Type_Volume!$A:$A,0),1),"X")),"")</f>
        <v>690000</v>
      </c>
      <c r="BA34" s="19">
        <f>IFERROR(IF($E34="REC",INDEX(A_Type_Volume!$C:$C,MATCH($D34,A_Type_Volume!$A:$A,0),1),IF($E34="VAM",INDEX(C_Type_Volume!$C:$C,MATCH($D34,C_Type_Volume!$A:$A,0),1),"X")),"")</f>
        <v>720000</v>
      </c>
      <c r="BB34" s="19">
        <f>IFERROR(IF($E34="REC",INDEX(A_Type_Volume!$D:$D,MATCH($D34,A_Type_Volume!$A:$A,0),1),IF($E34="VAM",INDEX(C_Type_Volume!$D:$D,MATCH($D34,C_Type_Volume!$A:$A,0),1),"X")),"")</f>
        <v>810000</v>
      </c>
      <c r="BC34" s="19">
        <f>IFERROR(IF($E34="REC",INDEX(A_Type_Volume!$E:$E,MATCH($D34,A_Type_Volume!$A:$A,0),1),IF($E34="VAM",INDEX(C_Type_Volume!$E:$E,MATCH($D34,C_Type_Volume!$A:$A,0),1),"X")),"")</f>
        <v>690000</v>
      </c>
      <c r="BD34" s="19">
        <f>IFERROR(IF($E34="REC",INDEX(A_Type_Volume!$F:$F,MATCH($D34,A_Type_Volume!$A:$A,0),1),IF($E34="VAM",INDEX(C_Type_Volume!$F:$F,MATCH($D34,C_Type_Volume!$A:$A,0),1),"X")),"")</f>
        <v>780000</v>
      </c>
      <c r="BE34" s="19">
        <f>IFERROR(IF($E34="REC",INDEX(A_Type_Volume!$G:$G,MATCH($D34,A_Type_Volume!$A:$A,0),1),IF($E34="VAM",INDEX(C_Type_Volume!$G:$G,MATCH($D34,C_Type_Volume!$A:$A,0),1),"X")),"")</f>
        <v>780000</v>
      </c>
      <c r="BF34" s="19">
        <f>IFERROR(IF($E34="REC",INDEX(A_Type_Volume!$H:$H,MATCH($D34,A_Type_Volume!$A:$A,0),1),IF($E34="VAM",INDEX(C_Type_Volume!$H:$H,MATCH($D34,C_Type_Volume!$A:$A,0),1),"X")),"")</f>
        <v>570000</v>
      </c>
      <c r="BG34" s="19">
        <f>IFERROR(IF($E34="REC",INDEX(A_Type_Volume!$I:$I,MATCH($D34,A_Type_Volume!$A:$A,0),1),IF($E34="VAM",INDEX(C_Type_Volume!$I:$I,MATCH($D34,C_Type_Volume!$A:$A,0),1),"X")),"")</f>
        <v>390000</v>
      </c>
      <c r="BH34" s="19">
        <f>IFERROR(IF($E34="REC",INDEX(A_Type_Volume!$J:$J,MATCH($D34,A_Type_Volume!$A:$A,0),1),IF($E34="VAM",INDEX(C_Type_Volume!$J:$J,MATCH($D34,C_Type_Volume!$A:$A,0),1),"X")),"")</f>
        <v>450000</v>
      </c>
      <c r="BI34" s="19">
        <f>IFERROR(IF($E34="REC",INDEX(A_Type_Volume!$K:$K,MATCH($D34,A_Type_Volume!$A:$A,0),1),IF($E34="VAM",INDEX(C_Type_Volume!$K:$K,MATCH($D34,C_Type_Volume!$A:$A,0),1),"X")),"")</f>
        <v>367500</v>
      </c>
      <c r="BJ34" s="19">
        <f>IFERROR(IF($E34="REC",INDEX(A_Type_Volume!$L:$L,MATCH($D34,A_Type_Volume!$A:$A,0),1),IF($E34="VAM",INDEX(C_Type_Volume!$L:$L,MATCH($D34,C_Type_Volume!$A:$A,0),1),"X")),"")</f>
        <v>393750</v>
      </c>
      <c r="BK34" s="19">
        <f>IFERROR(IF($E34="REC",INDEX(A_Type_Volume!M:M,MATCH($D34,A_Type_Volume!$A:$A,0),1),IF($E34="VAM",INDEX(C_Type_Volume!M:M,MATCH($D34,C_Type_Volume!$A:$A,0),1),"X")),"")</f>
        <v>367830</v>
      </c>
      <c r="BL34" s="38">
        <f>SUM(Table1[[#This Row],[Jan_AVF]:[Dec_AVF]])</f>
        <v>7009080</v>
      </c>
      <c r="BM34" s="16">
        <f t="shared" si="40"/>
        <v>9333.2491200000004</v>
      </c>
      <c r="BN34" s="16">
        <f t="shared" si="41"/>
        <v>9739.0425599999999</v>
      </c>
      <c r="BO34" s="16">
        <f t="shared" si="42"/>
        <v>10956.42288</v>
      </c>
      <c r="BP34" s="16">
        <f t="shared" si="43"/>
        <v>9333.2491200000004</v>
      </c>
      <c r="BQ34" s="16">
        <f t="shared" si="44"/>
        <v>10550.629440000001</v>
      </c>
      <c r="BR34" s="16">
        <f t="shared" si="45"/>
        <v>10550.629440000001</v>
      </c>
      <c r="BS34" s="16">
        <f t="shared" si="46"/>
        <v>7710.0753599999998</v>
      </c>
      <c r="BT34" s="16">
        <f t="shared" si="47"/>
        <v>5275.3147200000003</v>
      </c>
      <c r="BU34" s="16">
        <f t="shared" si="48"/>
        <v>6086.9016000000001</v>
      </c>
      <c r="BV34" s="16">
        <f t="shared" si="49"/>
        <v>4970.9696400000003</v>
      </c>
      <c r="BW34" s="16">
        <f t="shared" si="50"/>
        <v>5326.0388999999996</v>
      </c>
      <c r="BX34" s="16">
        <f t="shared" si="51"/>
        <v>4975.4333678399998</v>
      </c>
      <c r="BY34" s="10">
        <f t="shared" si="17"/>
        <v>30028.71456</v>
      </c>
      <c r="BZ34" s="10">
        <f t="shared" si="18"/>
        <v>30434.508000000002</v>
      </c>
      <c r="CA34" s="10">
        <f t="shared" si="19"/>
        <v>19072.291680000002</v>
      </c>
      <c r="CB34" s="10">
        <f t="shared" si="20"/>
        <v>15272.441907839999</v>
      </c>
      <c r="CC34" s="10">
        <f>IFERROR(Table1[[#This Row],[Labor
Saving]]*Table1[[#This Row],[Annual Volume]],"")</f>
        <v>94807.956147839999</v>
      </c>
      <c r="CD34" s="10">
        <f>IFERROR(Table1[[#This Row],[Annual Volume]]*Table1[[#This Row],[Yield
Saving]],"")</f>
        <v>0</v>
      </c>
      <c r="CE34" s="10">
        <f>IFERROR(Table1[[#This Row],[Annual Volume]]*Table1[[#This Row],[Material
Saving]],"")</f>
        <v>0</v>
      </c>
      <c r="CF34" s="10">
        <f>IFERROR(Table1[[#This Row],[OH
Saving]]*Table1[[#This Row],[Annual Volume]],"")</f>
        <v>0</v>
      </c>
      <c r="CG34" s="10">
        <f>SUM(Table1[[#This Row],[Labor_ASV]:[OH_ASV]])</f>
        <v>94807.956147839999</v>
      </c>
    </row>
    <row r="35" spans="1:85" x14ac:dyDescent="0.3">
      <c r="A35" t="str">
        <f>Table1[[#This Row],[Project Name]]&amp;Table1[[#This Row],[Part Number]]</f>
        <v>Diamond blade Supplier ER154</v>
      </c>
      <c r="B35" t="str">
        <f>IFERROR(Table1[[#This Row],[Project Number]]&amp;Table1[[#This Row],[Part Number]],"")</f>
        <v>AME25-034R154</v>
      </c>
      <c r="C35" s="22" t="s">
        <v>86</v>
      </c>
      <c r="D35" s="24" t="s">
        <v>392</v>
      </c>
      <c r="E35" s="25" t="s">
        <v>58</v>
      </c>
      <c r="F35" s="6">
        <f>INDEX(Proj_Reg!G:G,MATCH($C35,Proj_Reg!$B:$B,0),1)</f>
        <v>46113</v>
      </c>
      <c r="G35" s="6">
        <f>INDEX(Proj_Reg!H:H,MATCH($C35,Proj_Reg!$B:$B,0),1)</f>
        <v>46447</v>
      </c>
      <c r="H35" s="6" t="str">
        <f>IF(INDEX(Proj_Reg!C:C,MATCH($C35,Proj_Reg!$B:$B,0),1)=0,"",INDEX(Proj_Reg!C:C,MATCH($C35,Proj_Reg!$B:$B,0),1))</f>
        <v>Wafer Saw Dicing</v>
      </c>
      <c r="I35" s="6" t="str">
        <f>IF(INDEX(Proj_Reg!D:D,MATCH($C35,Proj_Reg!$B:$B,0),1)=0,"",INDEX(Proj_Reg!D:D,MATCH($C35,Proj_Reg!$B:$B,0),1))</f>
        <v>XCD</v>
      </c>
      <c r="J35" s="6" t="str">
        <f>INDEX(Proj_Reg!E:E,MATCH($C35,Proj_Reg!$B:$B,0),1)</f>
        <v>Diamond blade Supplier E</v>
      </c>
      <c r="K35" s="21">
        <v>1.3526448E-2</v>
      </c>
      <c r="L35" s="21">
        <v>0</v>
      </c>
      <c r="M35" s="21">
        <v>0</v>
      </c>
      <c r="N35" s="21">
        <v>0</v>
      </c>
      <c r="O35" s="11">
        <f>SUM(Table1[[#This Row],[Labor
Saving]:[OH
Saving]])</f>
        <v>1.3526448E-2</v>
      </c>
      <c r="Q35" s="40">
        <f t="shared" si="21"/>
        <v>0</v>
      </c>
      <c r="R35" s="40">
        <f t="shared" si="0"/>
        <v>0</v>
      </c>
      <c r="S35" s="40">
        <f t="shared" si="1"/>
        <v>0</v>
      </c>
      <c r="T35" s="40">
        <f t="shared" si="2"/>
        <v>4053.2999999999997</v>
      </c>
      <c r="U35" s="40">
        <f t="shared" si="3"/>
        <v>15782</v>
      </c>
      <c r="V35" s="40">
        <f t="shared" si="4"/>
        <v>15865</v>
      </c>
      <c r="W35" s="40">
        <f t="shared" si="5"/>
        <v>17172</v>
      </c>
      <c r="X35" s="40">
        <f t="shared" si="6"/>
        <v>6294</v>
      </c>
      <c r="Y35" s="40">
        <f t="shared" si="7"/>
        <v>7343</v>
      </c>
      <c r="Z35" s="40">
        <f t="shared" si="8"/>
        <v>1247</v>
      </c>
      <c r="AA35" s="40">
        <f t="shared" si="9"/>
        <v>850</v>
      </c>
      <c r="AB35" s="40">
        <f t="shared" si="10"/>
        <v>744</v>
      </c>
      <c r="AC35" s="37">
        <f>SUM(Table1[[#This Row],[Jan]:[Dec]])</f>
        <v>69350.3</v>
      </c>
      <c r="AD35" s="15">
        <f t="shared" si="22"/>
        <v>0</v>
      </c>
      <c r="AE35" s="15">
        <f t="shared" si="23"/>
        <v>0</v>
      </c>
      <c r="AF35" s="15">
        <f t="shared" si="24"/>
        <v>0</v>
      </c>
      <c r="AG35" s="15">
        <f t="shared" si="25"/>
        <v>54.826751678399994</v>
      </c>
      <c r="AH35" s="15">
        <f t="shared" si="26"/>
        <v>213.474402336</v>
      </c>
      <c r="AI35" s="15">
        <f t="shared" si="27"/>
        <v>214.59709752000001</v>
      </c>
      <c r="AJ35" s="15">
        <f t="shared" si="28"/>
        <v>232.276165056</v>
      </c>
      <c r="AK35" s="15">
        <f t="shared" si="29"/>
        <v>85.135463712000004</v>
      </c>
      <c r="AL35" s="15">
        <f t="shared" si="30"/>
        <v>99.324707664000002</v>
      </c>
      <c r="AM35" s="15">
        <f t="shared" si="31"/>
        <v>16.867480656000001</v>
      </c>
      <c r="AN35" s="15">
        <f t="shared" si="32"/>
        <v>11.4974808</v>
      </c>
      <c r="AO35" s="15">
        <f t="shared" si="33"/>
        <v>10.063677311999999</v>
      </c>
      <c r="AP35" s="10">
        <f t="shared" si="34"/>
        <v>0</v>
      </c>
      <c r="AQ35" s="10">
        <f t="shared" si="35"/>
        <v>482.89825153439995</v>
      </c>
      <c r="AR35" s="10">
        <f t="shared" si="36"/>
        <v>416.73633643200003</v>
      </c>
      <c r="AS35" s="10">
        <f t="shared" si="37"/>
        <v>38.428638767999999</v>
      </c>
      <c r="AT35" s="10" t="b">
        <f t="shared" si="38"/>
        <v>1</v>
      </c>
      <c r="AU35" s="10">
        <f t="shared" si="12"/>
        <v>938.06322673440002</v>
      </c>
      <c r="AV35" s="10">
        <f t="shared" si="13"/>
        <v>0</v>
      </c>
      <c r="AW35" s="10">
        <f t="shared" si="14"/>
        <v>0</v>
      </c>
      <c r="AX35" s="10">
        <f t="shared" si="15"/>
        <v>0</v>
      </c>
      <c r="AY35" s="10">
        <f t="shared" si="39"/>
        <v>938.06322673440002</v>
      </c>
      <c r="AZ35" s="19">
        <f>IFERROR(IF($E35="REC",INDEX(A_Type_Volume!$B:$B,MATCH($D35,A_Type_Volume!$A:$A,0),1),IF($E35="VAM",INDEX(C_Type_Volume!$B:$B,MATCH($D35,C_Type_Volume!$A:$A,0),1),"X")),"")</f>
        <v>6505</v>
      </c>
      <c r="BA35" s="19">
        <f>IFERROR(IF($E35="REC",INDEX(A_Type_Volume!$C:$C,MATCH($D35,A_Type_Volume!$A:$A,0),1),IF($E35="VAM",INDEX(C_Type_Volume!$C:$C,MATCH($D35,C_Type_Volume!$A:$A,0),1),"X")),"")</f>
        <v>14165</v>
      </c>
      <c r="BB35" s="19">
        <f>IFERROR(IF($E35="REC",INDEX(A_Type_Volume!$D:$D,MATCH($D35,A_Type_Volume!$A:$A,0),1),IF($E35="VAM",INDEX(C_Type_Volume!$D:$D,MATCH($D35,C_Type_Volume!$A:$A,0),1),"X")),"")</f>
        <v>15094</v>
      </c>
      <c r="BC35" s="19">
        <f>IFERROR(IF($E35="REC",INDEX(A_Type_Volume!$E:$E,MATCH($D35,A_Type_Volume!$A:$A,0),1),IF($E35="VAM",INDEX(C_Type_Volume!$E:$E,MATCH($D35,C_Type_Volume!$A:$A,0),1),"X")),"")</f>
        <v>13511</v>
      </c>
      <c r="BD35" s="19">
        <f>IFERROR(IF($E35="REC",INDEX(A_Type_Volume!$F:$F,MATCH($D35,A_Type_Volume!$A:$A,0),1),IF($E35="VAM",INDEX(C_Type_Volume!$F:$F,MATCH($D35,C_Type_Volume!$A:$A,0),1),"X")),"")</f>
        <v>15782</v>
      </c>
      <c r="BE35" s="19">
        <f>IFERROR(IF($E35="REC",INDEX(A_Type_Volume!$G:$G,MATCH($D35,A_Type_Volume!$A:$A,0),1),IF($E35="VAM",INDEX(C_Type_Volume!$G:$G,MATCH($D35,C_Type_Volume!$A:$A,0),1),"X")),"")</f>
        <v>15865</v>
      </c>
      <c r="BF35" s="19">
        <f>IFERROR(IF($E35="REC",INDEX(A_Type_Volume!$H:$H,MATCH($D35,A_Type_Volume!$A:$A,0),1),IF($E35="VAM",INDEX(C_Type_Volume!$H:$H,MATCH($D35,C_Type_Volume!$A:$A,0),1),"X")),"")</f>
        <v>17172</v>
      </c>
      <c r="BG35" s="19">
        <f>IFERROR(IF($E35="REC",INDEX(A_Type_Volume!$I:$I,MATCH($D35,A_Type_Volume!$A:$A,0),1),IF($E35="VAM",INDEX(C_Type_Volume!$I:$I,MATCH($D35,C_Type_Volume!$A:$A,0),1),"X")),"")</f>
        <v>6294</v>
      </c>
      <c r="BH35" s="19">
        <f>IFERROR(IF($E35="REC",INDEX(A_Type_Volume!$J:$J,MATCH($D35,A_Type_Volume!$A:$A,0),1),IF($E35="VAM",INDEX(C_Type_Volume!$J:$J,MATCH($D35,C_Type_Volume!$A:$A,0),1),"X")),"")</f>
        <v>7343</v>
      </c>
      <c r="BI35" s="19">
        <f>IFERROR(IF($E35="REC",INDEX(A_Type_Volume!$K:$K,MATCH($D35,A_Type_Volume!$A:$A,0),1),IF($E35="VAM",INDEX(C_Type_Volume!$K:$K,MATCH($D35,C_Type_Volume!$A:$A,0),1),"X")),"")</f>
        <v>1247</v>
      </c>
      <c r="BJ35" s="19">
        <f>IFERROR(IF($E35="REC",INDEX(A_Type_Volume!$L:$L,MATCH($D35,A_Type_Volume!$A:$A,0),1),IF($E35="VAM",INDEX(C_Type_Volume!$L:$L,MATCH($D35,C_Type_Volume!$A:$A,0),1),"X")),"")</f>
        <v>850</v>
      </c>
      <c r="BK35" s="19">
        <f>IFERROR(IF($E35="REC",INDEX(A_Type_Volume!M:M,MATCH($D35,A_Type_Volume!$A:$A,0),1),IF($E35="VAM",INDEX(C_Type_Volume!M:M,MATCH($D35,C_Type_Volume!$A:$A,0),1),"X")),"")</f>
        <v>744</v>
      </c>
      <c r="BL35" s="38">
        <f>SUM(Table1[[#This Row],[Jan_AVF]:[Dec_AVF]])</f>
        <v>114572</v>
      </c>
      <c r="BM35" s="16">
        <f t="shared" si="40"/>
        <v>87.989544240000001</v>
      </c>
      <c r="BN35" s="16">
        <f t="shared" si="41"/>
        <v>191.60213591999999</v>
      </c>
      <c r="BO35" s="16">
        <f t="shared" si="42"/>
        <v>204.16820611200001</v>
      </c>
      <c r="BP35" s="16">
        <f t="shared" si="43"/>
        <v>182.755838928</v>
      </c>
      <c r="BQ35" s="16">
        <f t="shared" si="44"/>
        <v>213.474402336</v>
      </c>
      <c r="BR35" s="16">
        <f t="shared" si="45"/>
        <v>214.59709752000001</v>
      </c>
      <c r="BS35" s="16">
        <f t="shared" si="46"/>
        <v>232.276165056</v>
      </c>
      <c r="BT35" s="16">
        <f t="shared" si="47"/>
        <v>85.135463712000004</v>
      </c>
      <c r="BU35" s="16">
        <f t="shared" si="48"/>
        <v>99.324707664000002</v>
      </c>
      <c r="BV35" s="16">
        <f t="shared" si="49"/>
        <v>16.867480656000001</v>
      </c>
      <c r="BW35" s="16">
        <f t="shared" si="50"/>
        <v>11.4974808</v>
      </c>
      <c r="BX35" s="16">
        <f t="shared" si="51"/>
        <v>10.063677311999999</v>
      </c>
      <c r="BY35" s="10">
        <f t="shared" si="17"/>
        <v>483.75988627200002</v>
      </c>
      <c r="BZ35" s="10">
        <f t="shared" si="18"/>
        <v>610.82733878400006</v>
      </c>
      <c r="CA35" s="10">
        <f t="shared" si="19"/>
        <v>416.73633643200003</v>
      </c>
      <c r="CB35" s="10">
        <f t="shared" si="20"/>
        <v>38.428638767999999</v>
      </c>
      <c r="CC35" s="10">
        <f>IFERROR(Table1[[#This Row],[Labor
Saving]]*Table1[[#This Row],[Annual Volume]],"")</f>
        <v>1549.7522002559999</v>
      </c>
      <c r="CD35" s="10">
        <f>IFERROR(Table1[[#This Row],[Annual Volume]]*Table1[[#This Row],[Yield
Saving]],"")</f>
        <v>0</v>
      </c>
      <c r="CE35" s="10">
        <f>IFERROR(Table1[[#This Row],[Annual Volume]]*Table1[[#This Row],[Material
Saving]],"")</f>
        <v>0</v>
      </c>
      <c r="CF35" s="10">
        <f>IFERROR(Table1[[#This Row],[OH
Saving]]*Table1[[#This Row],[Annual Volume]],"")</f>
        <v>0</v>
      </c>
      <c r="CG35" s="10">
        <f>SUM(Table1[[#This Row],[Labor_ASV]:[OH_ASV]])</f>
        <v>1549.7522002559999</v>
      </c>
    </row>
    <row r="36" spans="1:85" x14ac:dyDescent="0.3">
      <c r="A36" t="str">
        <f>Table1[[#This Row],[Project Name]]&amp;Table1[[#This Row],[Part Number]]</f>
        <v>Diamond blade Supplier ER155</v>
      </c>
      <c r="B36" t="str">
        <f>IFERROR(Table1[[#This Row],[Project Number]]&amp;Table1[[#This Row],[Part Number]],"")</f>
        <v>AME25-034R155</v>
      </c>
      <c r="C36" s="22" t="s">
        <v>86</v>
      </c>
      <c r="D36" s="24" t="s">
        <v>393</v>
      </c>
      <c r="E36" s="25" t="s">
        <v>58</v>
      </c>
      <c r="F36" s="6">
        <f>INDEX(Proj_Reg!G:G,MATCH($C36,Proj_Reg!$B:$B,0),1)</f>
        <v>46113</v>
      </c>
      <c r="G36" s="6">
        <f>INDEX(Proj_Reg!H:H,MATCH($C36,Proj_Reg!$B:$B,0),1)</f>
        <v>46447</v>
      </c>
      <c r="H36" s="6" t="str">
        <f>IF(INDEX(Proj_Reg!C:C,MATCH($C36,Proj_Reg!$B:$B,0),1)=0,"",INDEX(Proj_Reg!C:C,MATCH($C36,Proj_Reg!$B:$B,0),1))</f>
        <v>Wafer Saw Dicing</v>
      </c>
      <c r="I36" s="6" t="str">
        <f>IF(INDEX(Proj_Reg!D:D,MATCH($C36,Proj_Reg!$B:$B,0),1)=0,"",INDEX(Proj_Reg!D:D,MATCH($C36,Proj_Reg!$B:$B,0),1))</f>
        <v>XCD</v>
      </c>
      <c r="J36" s="6" t="str">
        <f>INDEX(Proj_Reg!E:E,MATCH($C36,Proj_Reg!$B:$B,0),1)</f>
        <v>Diamond blade Supplier E</v>
      </c>
      <c r="K36" s="21">
        <v>1.3110928000000004E-2</v>
      </c>
      <c r="L36" s="21">
        <v>0</v>
      </c>
      <c r="M36" s="21">
        <v>0.02</v>
      </c>
      <c r="N36" s="21">
        <v>0</v>
      </c>
      <c r="O36" s="11">
        <f>SUM(Table1[[#This Row],[Labor
Saving]:[OH
Saving]])</f>
        <v>3.3110928000000005E-2</v>
      </c>
      <c r="Q36" s="40">
        <f t="shared" si="21"/>
        <v>0</v>
      </c>
      <c r="R36" s="40">
        <f t="shared" si="0"/>
        <v>0</v>
      </c>
      <c r="S36" s="40">
        <f t="shared" si="1"/>
        <v>0</v>
      </c>
      <c r="T36" s="40">
        <f t="shared" si="2"/>
        <v>3650.7</v>
      </c>
      <c r="U36" s="40">
        <f t="shared" si="3"/>
        <v>14215</v>
      </c>
      <c r="V36" s="40">
        <f t="shared" si="4"/>
        <v>14290</v>
      </c>
      <c r="W36" s="40">
        <f t="shared" si="5"/>
        <v>14817</v>
      </c>
      <c r="X36" s="40">
        <f t="shared" si="6"/>
        <v>5431</v>
      </c>
      <c r="Y36" s="40">
        <f t="shared" si="7"/>
        <v>6336</v>
      </c>
      <c r="Z36" s="40">
        <f t="shared" si="8"/>
        <v>1247</v>
      </c>
      <c r="AA36" s="40">
        <f t="shared" si="9"/>
        <v>850</v>
      </c>
      <c r="AB36" s="40">
        <f t="shared" si="10"/>
        <v>744</v>
      </c>
      <c r="AC36" s="37">
        <f>SUM(Table1[[#This Row],[Jan]:[Dec]])</f>
        <v>61580.7</v>
      </c>
      <c r="AD36" s="15">
        <f t="shared" si="22"/>
        <v>0</v>
      </c>
      <c r="AE36" s="15">
        <f t="shared" si="23"/>
        <v>0</v>
      </c>
      <c r="AF36" s="15">
        <f t="shared" si="24"/>
        <v>0</v>
      </c>
      <c r="AG36" s="15">
        <f t="shared" si="25"/>
        <v>120.87806484960001</v>
      </c>
      <c r="AH36" s="15">
        <f t="shared" si="26"/>
        <v>470.67184152000004</v>
      </c>
      <c r="AI36" s="15">
        <f t="shared" si="27"/>
        <v>473.15516112000006</v>
      </c>
      <c r="AJ36" s="15">
        <f t="shared" si="28"/>
        <v>490.60462017600008</v>
      </c>
      <c r="AK36" s="15">
        <f t="shared" si="29"/>
        <v>179.82544996800002</v>
      </c>
      <c r="AL36" s="15">
        <f t="shared" si="30"/>
        <v>209.79083980800004</v>
      </c>
      <c r="AM36" s="15">
        <f t="shared" si="31"/>
        <v>41.289327216000004</v>
      </c>
      <c r="AN36" s="15">
        <f t="shared" si="32"/>
        <v>28.144288800000005</v>
      </c>
      <c r="AO36" s="15">
        <f t="shared" si="33"/>
        <v>24.634530432000002</v>
      </c>
      <c r="AP36" s="10">
        <f t="shared" si="34"/>
        <v>0</v>
      </c>
      <c r="AQ36" s="10">
        <f t="shared" si="35"/>
        <v>1064.7050674896002</v>
      </c>
      <c r="AR36" s="10">
        <f t="shared" si="36"/>
        <v>880.22090995200006</v>
      </c>
      <c r="AS36" s="10">
        <f t="shared" si="37"/>
        <v>94.068146448000007</v>
      </c>
      <c r="AT36" s="10" t="b">
        <f t="shared" si="38"/>
        <v>1</v>
      </c>
      <c r="AU36" s="10">
        <f t="shared" si="12"/>
        <v>807.38012388960021</v>
      </c>
      <c r="AV36" s="10">
        <f t="shared" si="13"/>
        <v>0</v>
      </c>
      <c r="AW36" s="10">
        <f t="shared" si="14"/>
        <v>1231.614</v>
      </c>
      <c r="AX36" s="10">
        <f t="shared" si="15"/>
        <v>0</v>
      </c>
      <c r="AY36" s="10">
        <f t="shared" si="39"/>
        <v>2038.9941238896004</v>
      </c>
      <c r="AZ36" s="19">
        <f>IFERROR(IF($E36="REC",INDEX(A_Type_Volume!$B:$B,MATCH($D36,A_Type_Volume!$A:$A,0),1),IF($E36="VAM",INDEX(C_Type_Volume!$B:$B,MATCH($D36,C_Type_Volume!$A:$A,0),1),"X")),"")</f>
        <v>8100</v>
      </c>
      <c r="BA36" s="19">
        <f>IFERROR(IF($E36="REC",INDEX(A_Type_Volume!$C:$C,MATCH($D36,A_Type_Volume!$A:$A,0),1),IF($E36="VAM",INDEX(C_Type_Volume!$C:$C,MATCH($D36,C_Type_Volume!$A:$A,0),1),"X")),"")</f>
        <v>12593</v>
      </c>
      <c r="BB36" s="19">
        <f>IFERROR(IF($E36="REC",INDEX(A_Type_Volume!$D:$D,MATCH($D36,A_Type_Volume!$A:$A,0),1),IF($E36="VAM",INDEX(C_Type_Volume!$D:$D,MATCH($D36,C_Type_Volume!$A:$A,0),1),"X")),"")</f>
        <v>13595</v>
      </c>
      <c r="BC36" s="19">
        <f>IFERROR(IF($E36="REC",INDEX(A_Type_Volume!$E:$E,MATCH($D36,A_Type_Volume!$A:$A,0),1),IF($E36="VAM",INDEX(C_Type_Volume!$E:$E,MATCH($D36,C_Type_Volume!$A:$A,0),1),"X")),"")</f>
        <v>12169</v>
      </c>
      <c r="BD36" s="19">
        <f>IFERROR(IF($E36="REC",INDEX(A_Type_Volume!$F:$F,MATCH($D36,A_Type_Volume!$A:$A,0),1),IF($E36="VAM",INDEX(C_Type_Volume!$F:$F,MATCH($D36,C_Type_Volume!$A:$A,0),1),"X")),"")</f>
        <v>14215</v>
      </c>
      <c r="BE36" s="19">
        <f>IFERROR(IF($E36="REC",INDEX(A_Type_Volume!$G:$G,MATCH($D36,A_Type_Volume!$A:$A,0),1),IF($E36="VAM",INDEX(C_Type_Volume!$G:$G,MATCH($D36,C_Type_Volume!$A:$A,0),1),"X")),"")</f>
        <v>14290</v>
      </c>
      <c r="BF36" s="19">
        <f>IFERROR(IF($E36="REC",INDEX(A_Type_Volume!$H:$H,MATCH($D36,A_Type_Volume!$A:$A,0),1),IF($E36="VAM",INDEX(C_Type_Volume!$H:$H,MATCH($D36,C_Type_Volume!$A:$A,0),1),"X")),"")</f>
        <v>14817</v>
      </c>
      <c r="BG36" s="19">
        <f>IFERROR(IF($E36="REC",INDEX(A_Type_Volume!$I:$I,MATCH($D36,A_Type_Volume!$A:$A,0),1),IF($E36="VAM",INDEX(C_Type_Volume!$I:$I,MATCH($D36,C_Type_Volume!$A:$A,0),1),"X")),"")</f>
        <v>5431</v>
      </c>
      <c r="BH36" s="19">
        <f>IFERROR(IF($E36="REC",INDEX(A_Type_Volume!$J:$J,MATCH($D36,A_Type_Volume!$A:$A,0),1),IF($E36="VAM",INDEX(C_Type_Volume!$J:$J,MATCH($D36,C_Type_Volume!$A:$A,0),1),"X")),"")</f>
        <v>6336</v>
      </c>
      <c r="BI36" s="19">
        <f>IFERROR(IF($E36="REC",INDEX(A_Type_Volume!$K:$K,MATCH($D36,A_Type_Volume!$A:$A,0),1),IF($E36="VAM",INDEX(C_Type_Volume!$K:$K,MATCH($D36,C_Type_Volume!$A:$A,0),1),"X")),"")</f>
        <v>1247</v>
      </c>
      <c r="BJ36" s="19">
        <f>IFERROR(IF($E36="REC",INDEX(A_Type_Volume!$L:$L,MATCH($D36,A_Type_Volume!$A:$A,0),1),IF($E36="VAM",INDEX(C_Type_Volume!$L:$L,MATCH($D36,C_Type_Volume!$A:$A,0),1),"X")),"")</f>
        <v>850</v>
      </c>
      <c r="BK36" s="19">
        <f>IFERROR(IF($E36="REC",INDEX(A_Type_Volume!M:M,MATCH($D36,A_Type_Volume!$A:$A,0),1),IF($E36="VAM",INDEX(C_Type_Volume!M:M,MATCH($D36,C_Type_Volume!$A:$A,0),1),"X")),"")</f>
        <v>744</v>
      </c>
      <c r="BL36" s="38">
        <f>SUM(Table1[[#This Row],[Jan_AVF]:[Dec_AVF]])</f>
        <v>104387</v>
      </c>
      <c r="BM36" s="16">
        <f t="shared" si="40"/>
        <v>268.19851680000005</v>
      </c>
      <c r="BN36" s="16">
        <f t="shared" si="41"/>
        <v>416.96591630400007</v>
      </c>
      <c r="BO36" s="16">
        <f t="shared" si="42"/>
        <v>450.14306616000005</v>
      </c>
      <c r="BP36" s="16">
        <f t="shared" si="43"/>
        <v>402.92688283200005</v>
      </c>
      <c r="BQ36" s="16">
        <f t="shared" si="44"/>
        <v>470.67184152000004</v>
      </c>
      <c r="BR36" s="16">
        <f t="shared" si="45"/>
        <v>473.15516112000006</v>
      </c>
      <c r="BS36" s="16">
        <f t="shared" si="46"/>
        <v>490.60462017600008</v>
      </c>
      <c r="BT36" s="16">
        <f t="shared" si="47"/>
        <v>179.82544996800002</v>
      </c>
      <c r="BU36" s="16">
        <f t="shared" si="48"/>
        <v>209.79083980800004</v>
      </c>
      <c r="BV36" s="16">
        <f t="shared" si="49"/>
        <v>41.289327216000004</v>
      </c>
      <c r="BW36" s="16">
        <f t="shared" si="50"/>
        <v>28.144288800000005</v>
      </c>
      <c r="BX36" s="16">
        <f t="shared" si="51"/>
        <v>24.634530432000002</v>
      </c>
      <c r="BY36" s="10">
        <f t="shared" si="17"/>
        <v>1135.3074992640002</v>
      </c>
      <c r="BZ36" s="10">
        <f t="shared" si="18"/>
        <v>1346.7538854720001</v>
      </c>
      <c r="CA36" s="10">
        <f t="shared" si="19"/>
        <v>880.22090995200006</v>
      </c>
      <c r="CB36" s="10">
        <f t="shared" si="20"/>
        <v>94.068146448000007</v>
      </c>
      <c r="CC36" s="10">
        <f>IFERROR(Table1[[#This Row],[Labor
Saving]]*Table1[[#This Row],[Annual Volume]],"")</f>
        <v>1368.6104411360004</v>
      </c>
      <c r="CD36" s="10">
        <f>IFERROR(Table1[[#This Row],[Annual Volume]]*Table1[[#This Row],[Yield
Saving]],"")</f>
        <v>0</v>
      </c>
      <c r="CE36" s="10">
        <f>IFERROR(Table1[[#This Row],[Annual Volume]]*Table1[[#This Row],[Material
Saving]],"")</f>
        <v>2087.7400000000002</v>
      </c>
      <c r="CF36" s="10">
        <f>IFERROR(Table1[[#This Row],[OH
Saving]]*Table1[[#This Row],[Annual Volume]],"")</f>
        <v>0</v>
      </c>
      <c r="CG36" s="10">
        <f>SUM(Table1[[#This Row],[Labor_ASV]:[OH_ASV]])</f>
        <v>3456.3504411360009</v>
      </c>
    </row>
    <row r="37" spans="1:85" x14ac:dyDescent="0.3">
      <c r="A37" t="str">
        <f>Table1[[#This Row],[Project Name]]&amp;Table1[[#This Row],[Part Number]]</f>
        <v>Diamond blade Supplier ER156</v>
      </c>
      <c r="B37" t="str">
        <f>IFERROR(Table1[[#This Row],[Project Number]]&amp;Table1[[#This Row],[Part Number]],"")</f>
        <v>AME25-034R156</v>
      </c>
      <c r="C37" s="22" t="s">
        <v>86</v>
      </c>
      <c r="D37" s="24" t="s">
        <v>394</v>
      </c>
      <c r="E37" s="25" t="s">
        <v>58</v>
      </c>
      <c r="F37" s="6">
        <f>INDEX(Proj_Reg!G:G,MATCH($C37,Proj_Reg!$B:$B,0),1)</f>
        <v>46113</v>
      </c>
      <c r="G37" s="6">
        <f>INDEX(Proj_Reg!H:H,MATCH($C37,Proj_Reg!$B:$B,0),1)</f>
        <v>46447</v>
      </c>
      <c r="H37" s="6" t="str">
        <f>IF(INDEX(Proj_Reg!C:C,MATCH($C37,Proj_Reg!$B:$B,0),1)=0,"",INDEX(Proj_Reg!C:C,MATCH($C37,Proj_Reg!$B:$B,0),1))</f>
        <v>Wafer Saw Dicing</v>
      </c>
      <c r="I37" s="6" t="str">
        <f>IF(INDEX(Proj_Reg!D:D,MATCH($C37,Proj_Reg!$B:$B,0),1)=0,"",INDEX(Proj_Reg!D:D,MATCH($C37,Proj_Reg!$B:$B,0),1))</f>
        <v>XCD</v>
      </c>
      <c r="J37" s="6" t="str">
        <f>INDEX(Proj_Reg!E:E,MATCH($C37,Proj_Reg!$B:$B,0),1)</f>
        <v>Diamond blade Supplier E</v>
      </c>
      <c r="K37" s="21">
        <v>1.3110928000000004E-2</v>
      </c>
      <c r="L37" s="21">
        <v>0</v>
      </c>
      <c r="M37" s="21">
        <v>0.02</v>
      </c>
      <c r="N37" s="21">
        <v>0</v>
      </c>
      <c r="O37" s="11">
        <f>SUM(Table1[[#This Row],[Labor
Saving]:[OH
Saving]])</f>
        <v>3.3110928000000005E-2</v>
      </c>
      <c r="Q37" s="40">
        <f t="shared" si="21"/>
        <v>0</v>
      </c>
      <c r="R37" s="40">
        <f t="shared" si="0"/>
        <v>0</v>
      </c>
      <c r="S37" s="40">
        <f t="shared" si="1"/>
        <v>0</v>
      </c>
      <c r="T37" s="40">
        <f t="shared" si="2"/>
        <v>8998.5</v>
      </c>
      <c r="U37" s="40">
        <f t="shared" si="3"/>
        <v>35038</v>
      </c>
      <c r="V37" s="40">
        <f t="shared" si="4"/>
        <v>35222</v>
      </c>
      <c r="W37" s="40">
        <f t="shared" si="5"/>
        <v>36423</v>
      </c>
      <c r="X37" s="40">
        <f t="shared" si="6"/>
        <v>13350</v>
      </c>
      <c r="Y37" s="40">
        <f t="shared" si="7"/>
        <v>15575</v>
      </c>
      <c r="Z37" s="40">
        <f t="shared" si="8"/>
        <v>4379</v>
      </c>
      <c r="AA37" s="40">
        <f t="shared" si="9"/>
        <v>2986</v>
      </c>
      <c r="AB37" s="40">
        <f t="shared" si="10"/>
        <v>2613</v>
      </c>
      <c r="AC37" s="37">
        <f>SUM(Table1[[#This Row],[Jan]:[Dec]])</f>
        <v>154584.5</v>
      </c>
      <c r="AD37" s="15">
        <f t="shared" si="22"/>
        <v>0</v>
      </c>
      <c r="AE37" s="15">
        <f t="shared" si="23"/>
        <v>0</v>
      </c>
      <c r="AF37" s="15">
        <f t="shared" si="24"/>
        <v>0</v>
      </c>
      <c r="AG37" s="15">
        <f t="shared" si="25"/>
        <v>297.94868560800006</v>
      </c>
      <c r="AH37" s="15">
        <f t="shared" si="26"/>
        <v>1160.1406952640002</v>
      </c>
      <c r="AI37" s="15">
        <f t="shared" si="27"/>
        <v>1166.2331060160002</v>
      </c>
      <c r="AJ37" s="15">
        <f t="shared" si="28"/>
        <v>1205.9993305440003</v>
      </c>
      <c r="AK37" s="15">
        <f t="shared" si="29"/>
        <v>442.03088880000007</v>
      </c>
      <c r="AL37" s="15">
        <f t="shared" si="30"/>
        <v>515.70270360000006</v>
      </c>
      <c r="AM37" s="15">
        <f t="shared" si="31"/>
        <v>144.99275371200002</v>
      </c>
      <c r="AN37" s="15">
        <f t="shared" si="32"/>
        <v>98.869231008000014</v>
      </c>
      <c r="AO37" s="15">
        <f t="shared" si="33"/>
        <v>86.518854864000019</v>
      </c>
      <c r="AP37" s="10">
        <f t="shared" si="34"/>
        <v>0</v>
      </c>
      <c r="AQ37" s="10">
        <f t="shared" si="35"/>
        <v>2624.3224868880006</v>
      </c>
      <c r="AR37" s="10">
        <f t="shared" si="36"/>
        <v>2163.7329229440002</v>
      </c>
      <c r="AS37" s="10">
        <f t="shared" si="37"/>
        <v>330.38083958400006</v>
      </c>
      <c r="AT37" s="10" t="b">
        <f t="shared" si="38"/>
        <v>1</v>
      </c>
      <c r="AU37" s="10">
        <f t="shared" si="12"/>
        <v>2026.7462494160006</v>
      </c>
      <c r="AV37" s="10">
        <f t="shared" si="13"/>
        <v>0</v>
      </c>
      <c r="AW37" s="10">
        <f t="shared" si="14"/>
        <v>3091.69</v>
      </c>
      <c r="AX37" s="10">
        <f t="shared" si="15"/>
        <v>0</v>
      </c>
      <c r="AY37" s="10">
        <f t="shared" si="39"/>
        <v>5118.4362494160005</v>
      </c>
      <c r="AZ37" s="19">
        <f>IFERROR(IF($E37="REC",INDEX(A_Type_Volume!$B:$B,MATCH($D37,A_Type_Volume!$A:$A,0),1),IF($E37="VAM",INDEX(C_Type_Volume!$B:$B,MATCH($D37,C_Type_Volume!$A:$A,0),1),"X")),"")</f>
        <v>10902</v>
      </c>
      <c r="BA37" s="19">
        <f>IFERROR(IF($E37="REC",INDEX(A_Type_Volume!$C:$C,MATCH($D37,A_Type_Volume!$A:$A,0),1),IF($E37="VAM",INDEX(C_Type_Volume!$C:$C,MATCH($D37,C_Type_Volume!$A:$A,0),1),"X")),"")</f>
        <v>0</v>
      </c>
      <c r="BB37" s="19">
        <f>IFERROR(IF($E37="REC",INDEX(A_Type_Volume!$D:$D,MATCH($D37,A_Type_Volume!$A:$A,0),1),IF($E37="VAM",INDEX(C_Type_Volume!$D:$D,MATCH($D37,C_Type_Volume!$A:$A,0),1),"X")),"")</f>
        <v>33509</v>
      </c>
      <c r="BC37" s="19">
        <f>IFERROR(IF($E37="REC",INDEX(A_Type_Volume!$E:$E,MATCH($D37,A_Type_Volume!$A:$A,0),1),IF($E37="VAM",INDEX(C_Type_Volume!$E:$E,MATCH($D37,C_Type_Volume!$A:$A,0),1),"X")),"")</f>
        <v>29995</v>
      </c>
      <c r="BD37" s="19">
        <f>IFERROR(IF($E37="REC",INDEX(A_Type_Volume!$F:$F,MATCH($D37,A_Type_Volume!$A:$A,0),1),IF($E37="VAM",INDEX(C_Type_Volume!$F:$F,MATCH($D37,C_Type_Volume!$A:$A,0),1),"X")),"")</f>
        <v>35038</v>
      </c>
      <c r="BE37" s="19">
        <f>IFERROR(IF($E37="REC",INDEX(A_Type_Volume!$G:$G,MATCH($D37,A_Type_Volume!$A:$A,0),1),IF($E37="VAM",INDEX(C_Type_Volume!$G:$G,MATCH($D37,C_Type_Volume!$A:$A,0),1),"X")),"")</f>
        <v>35222</v>
      </c>
      <c r="BF37" s="19">
        <f>IFERROR(IF($E37="REC",INDEX(A_Type_Volume!$H:$H,MATCH($D37,A_Type_Volume!$A:$A,0),1),IF($E37="VAM",INDEX(C_Type_Volume!$H:$H,MATCH($D37,C_Type_Volume!$A:$A,0),1),"X")),"")</f>
        <v>36423</v>
      </c>
      <c r="BG37" s="19">
        <f>IFERROR(IF($E37="REC",INDEX(A_Type_Volume!$I:$I,MATCH($D37,A_Type_Volume!$A:$A,0),1),IF($E37="VAM",INDEX(C_Type_Volume!$I:$I,MATCH($D37,C_Type_Volume!$A:$A,0),1),"X")),"")</f>
        <v>13350</v>
      </c>
      <c r="BH37" s="19">
        <f>IFERROR(IF($E37="REC",INDEX(A_Type_Volume!$J:$J,MATCH($D37,A_Type_Volume!$A:$A,0),1),IF($E37="VAM",INDEX(C_Type_Volume!$J:$J,MATCH($D37,C_Type_Volume!$A:$A,0),1),"X")),"")</f>
        <v>15575</v>
      </c>
      <c r="BI37" s="19">
        <f>IFERROR(IF($E37="REC",INDEX(A_Type_Volume!$K:$K,MATCH($D37,A_Type_Volume!$A:$A,0),1),IF($E37="VAM",INDEX(C_Type_Volume!$K:$K,MATCH($D37,C_Type_Volume!$A:$A,0),1),"X")),"")</f>
        <v>4379</v>
      </c>
      <c r="BJ37" s="19">
        <f>IFERROR(IF($E37="REC",INDEX(A_Type_Volume!$L:$L,MATCH($D37,A_Type_Volume!$A:$A,0),1),IF($E37="VAM",INDEX(C_Type_Volume!$L:$L,MATCH($D37,C_Type_Volume!$A:$A,0),1),"X")),"")</f>
        <v>2986</v>
      </c>
      <c r="BK37" s="19">
        <f>IFERROR(IF($E37="REC",INDEX(A_Type_Volume!M:M,MATCH($D37,A_Type_Volume!$A:$A,0),1),IF($E37="VAM",INDEX(C_Type_Volume!M:M,MATCH($D37,C_Type_Volume!$A:$A,0),1),"X")),"")</f>
        <v>2613</v>
      </c>
      <c r="BL37" s="38">
        <f>SUM(Table1[[#This Row],[Jan_AVF]:[Dec_AVF]])</f>
        <v>219992</v>
      </c>
      <c r="BM37" s="16">
        <f t="shared" si="40"/>
        <v>360.97533705600006</v>
      </c>
      <c r="BN37" s="16">
        <f t="shared" si="41"/>
        <v>0</v>
      </c>
      <c r="BO37" s="16">
        <f t="shared" si="42"/>
        <v>1109.514086352</v>
      </c>
      <c r="BP37" s="16">
        <f t="shared" si="43"/>
        <v>993.16228536000017</v>
      </c>
      <c r="BQ37" s="16">
        <f t="shared" si="44"/>
        <v>1160.1406952640002</v>
      </c>
      <c r="BR37" s="16">
        <f t="shared" si="45"/>
        <v>1166.2331060160002</v>
      </c>
      <c r="BS37" s="16">
        <f t="shared" si="46"/>
        <v>1205.9993305440003</v>
      </c>
      <c r="BT37" s="16">
        <f t="shared" si="47"/>
        <v>442.03088880000007</v>
      </c>
      <c r="BU37" s="16">
        <f t="shared" si="48"/>
        <v>515.70270360000006</v>
      </c>
      <c r="BV37" s="16">
        <f t="shared" si="49"/>
        <v>144.99275371200002</v>
      </c>
      <c r="BW37" s="16">
        <f t="shared" si="50"/>
        <v>98.869231008000014</v>
      </c>
      <c r="BX37" s="16">
        <f t="shared" si="51"/>
        <v>86.518854864000019</v>
      </c>
      <c r="BY37" s="10">
        <f t="shared" si="17"/>
        <v>1470.4894234080002</v>
      </c>
      <c r="BZ37" s="10">
        <f t="shared" si="18"/>
        <v>3319.5360866400006</v>
      </c>
      <c r="CA37" s="10">
        <f t="shared" si="19"/>
        <v>2163.7329229440002</v>
      </c>
      <c r="CB37" s="10">
        <f t="shared" si="20"/>
        <v>330.38083958400006</v>
      </c>
      <c r="CC37" s="10">
        <f>IFERROR(Table1[[#This Row],[Labor
Saving]]*Table1[[#This Row],[Annual Volume]],"")</f>
        <v>2884.2992725760009</v>
      </c>
      <c r="CD37" s="10">
        <f>IFERROR(Table1[[#This Row],[Annual Volume]]*Table1[[#This Row],[Yield
Saving]],"")</f>
        <v>0</v>
      </c>
      <c r="CE37" s="10">
        <f>IFERROR(Table1[[#This Row],[Annual Volume]]*Table1[[#This Row],[Material
Saving]],"")</f>
        <v>4399.84</v>
      </c>
      <c r="CF37" s="10">
        <f>IFERROR(Table1[[#This Row],[OH
Saving]]*Table1[[#This Row],[Annual Volume]],"")</f>
        <v>0</v>
      </c>
      <c r="CG37" s="10">
        <f>SUM(Table1[[#This Row],[Labor_ASV]:[OH_ASV]])</f>
        <v>7284.1392725760015</v>
      </c>
    </row>
    <row r="38" spans="1:85" x14ac:dyDescent="0.3">
      <c r="A38" t="str">
        <f>Table1[[#This Row],[Project Name]]&amp;Table1[[#This Row],[Part Number]]</f>
        <v>Diamond blade Supplier XR24</v>
      </c>
      <c r="B38" t="str">
        <f>IFERROR(Table1[[#This Row],[Project Number]]&amp;Table1[[#This Row],[Part Number]],"")</f>
        <v>AME25-035R24</v>
      </c>
      <c r="C38" s="22" t="s">
        <v>87</v>
      </c>
      <c r="D38" s="24" t="s">
        <v>262</v>
      </c>
      <c r="E38" s="25" t="s">
        <v>58</v>
      </c>
      <c r="F38" s="6">
        <f>INDEX(Proj_Reg!G:G,MATCH($C38,Proj_Reg!$B:$B,0),1)</f>
        <v>46054</v>
      </c>
      <c r="G38" s="6">
        <f>INDEX(Proj_Reg!H:H,MATCH($C38,Proj_Reg!$B:$B,0),1)</f>
        <v>46388</v>
      </c>
      <c r="H38" s="6" t="str">
        <f>IF(INDEX(Proj_Reg!C:C,MATCH($C38,Proj_Reg!$B:$B,0),1)=0,"",INDEX(Proj_Reg!C:C,MATCH($C38,Proj_Reg!$B:$B,0),1))</f>
        <v>Wafer Saw Dicing</v>
      </c>
      <c r="I38" s="6" t="str">
        <f>IF(INDEX(Proj_Reg!D:D,MATCH($C38,Proj_Reg!$B:$B,0),1)=0,"",INDEX(Proj_Reg!D:D,MATCH($C38,Proj_Reg!$B:$B,0),1))</f>
        <v>XCD</v>
      </c>
      <c r="J38" s="6" t="str">
        <f>INDEX(Proj_Reg!E:E,MATCH($C38,Proj_Reg!$B:$B,0),1)</f>
        <v>Diamond blade Supplier X</v>
      </c>
      <c r="K38" s="21">
        <v>1.3110928000000004E-2</v>
      </c>
      <c r="L38" s="21">
        <v>0</v>
      </c>
      <c r="M38" s="21">
        <v>0.02</v>
      </c>
      <c r="N38" s="21">
        <v>0</v>
      </c>
      <c r="O38" s="11">
        <f>SUM(Table1[[#This Row],[Labor
Saving]:[OH
Saving]])</f>
        <v>3.3110928000000005E-2</v>
      </c>
      <c r="Q38" s="40">
        <f t="shared" si="21"/>
        <v>0</v>
      </c>
      <c r="R38" s="40">
        <f t="shared" si="0"/>
        <v>6282.3</v>
      </c>
      <c r="S38" s="40">
        <f t="shared" si="1"/>
        <v>30747</v>
      </c>
      <c r="T38" s="40">
        <f t="shared" si="2"/>
        <v>23484</v>
      </c>
      <c r="U38" s="40">
        <f t="shared" si="3"/>
        <v>22497</v>
      </c>
      <c r="V38" s="40">
        <f t="shared" si="4"/>
        <v>19429</v>
      </c>
      <c r="W38" s="40">
        <f t="shared" si="5"/>
        <v>22343</v>
      </c>
      <c r="X38" s="40">
        <f t="shared" si="6"/>
        <v>17486</v>
      </c>
      <c r="Y38" s="40">
        <f t="shared" si="7"/>
        <v>17706</v>
      </c>
      <c r="Z38" s="40">
        <f t="shared" si="8"/>
        <v>18549</v>
      </c>
      <c r="AA38" s="40">
        <f t="shared" si="9"/>
        <v>16020</v>
      </c>
      <c r="AB38" s="40">
        <f t="shared" si="10"/>
        <v>14174</v>
      </c>
      <c r="AC38" s="37">
        <f>SUM(Table1[[#This Row],[Jan]:[Dec]])</f>
        <v>208717.3</v>
      </c>
      <c r="AD38" s="15">
        <f t="shared" si="22"/>
        <v>0</v>
      </c>
      <c r="AE38" s="15">
        <f t="shared" si="23"/>
        <v>208.01278297440004</v>
      </c>
      <c r="AF38" s="15">
        <f t="shared" si="24"/>
        <v>1018.0617032160002</v>
      </c>
      <c r="AG38" s="15">
        <f t="shared" si="25"/>
        <v>777.57703315200013</v>
      </c>
      <c r="AH38" s="15">
        <f t="shared" si="26"/>
        <v>744.89654721600016</v>
      </c>
      <c r="AI38" s="15">
        <f t="shared" si="27"/>
        <v>643.31222011200009</v>
      </c>
      <c r="AJ38" s="15">
        <f t="shared" si="28"/>
        <v>739.79746430400007</v>
      </c>
      <c r="AK38" s="15">
        <f t="shared" si="29"/>
        <v>578.97768700800009</v>
      </c>
      <c r="AL38" s="15">
        <f t="shared" si="30"/>
        <v>586.2620911680001</v>
      </c>
      <c r="AM38" s="15">
        <f t="shared" si="31"/>
        <v>614.17460347200006</v>
      </c>
      <c r="AN38" s="15">
        <f t="shared" si="32"/>
        <v>530.43706656000006</v>
      </c>
      <c r="AO38" s="15">
        <f t="shared" si="33"/>
        <v>469.31429347200009</v>
      </c>
      <c r="AP38" s="10">
        <f t="shared" si="34"/>
        <v>1226.0744861904002</v>
      </c>
      <c r="AQ38" s="10">
        <f t="shared" si="35"/>
        <v>2165.7858004800005</v>
      </c>
      <c r="AR38" s="10">
        <f t="shared" si="36"/>
        <v>1905.0372424800003</v>
      </c>
      <c r="AS38" s="10">
        <f t="shared" si="37"/>
        <v>1613.9259635040003</v>
      </c>
      <c r="AT38" s="10" t="b">
        <f t="shared" si="38"/>
        <v>1</v>
      </c>
      <c r="AU38" s="10">
        <f t="shared" si="12"/>
        <v>2736.477492654401</v>
      </c>
      <c r="AV38" s="10">
        <f t="shared" si="13"/>
        <v>0</v>
      </c>
      <c r="AW38" s="10">
        <f t="shared" si="14"/>
        <v>4174.3459999999995</v>
      </c>
      <c r="AX38" s="10">
        <f t="shared" si="15"/>
        <v>0</v>
      </c>
      <c r="AY38" s="10">
        <f t="shared" si="39"/>
        <v>6910.823492654401</v>
      </c>
      <c r="AZ38" s="19">
        <f>IFERROR(IF($E38="REC",INDEX(A_Type_Volume!$B:$B,MATCH($D38,A_Type_Volume!$A:$A,0),1),IF($E38="VAM",INDEX(C_Type_Volume!$B:$B,MATCH($D38,C_Type_Volume!$A:$A,0),1),"X")),"")</f>
        <v>19548</v>
      </c>
      <c r="BA38" s="19">
        <f>IFERROR(IF($E38="REC",INDEX(A_Type_Volume!$C:$C,MATCH($D38,A_Type_Volume!$A:$A,0),1),IF($E38="VAM",INDEX(C_Type_Volume!$C:$C,MATCH($D38,C_Type_Volume!$A:$A,0),1),"X")),"")</f>
        <v>20941</v>
      </c>
      <c r="BB38" s="19">
        <f>IFERROR(IF($E38="REC",INDEX(A_Type_Volume!$D:$D,MATCH($D38,A_Type_Volume!$A:$A,0),1),IF($E38="VAM",INDEX(C_Type_Volume!$D:$D,MATCH($D38,C_Type_Volume!$A:$A,0),1),"X")),"")</f>
        <v>30747</v>
      </c>
      <c r="BC38" s="19">
        <f>IFERROR(IF($E38="REC",INDEX(A_Type_Volume!$E:$E,MATCH($D38,A_Type_Volume!$A:$A,0),1),IF($E38="VAM",INDEX(C_Type_Volume!$E:$E,MATCH($D38,C_Type_Volume!$A:$A,0),1),"X")),"")</f>
        <v>23484</v>
      </c>
      <c r="BD38" s="19">
        <f>IFERROR(IF($E38="REC",INDEX(A_Type_Volume!$F:$F,MATCH($D38,A_Type_Volume!$A:$A,0),1),IF($E38="VAM",INDEX(C_Type_Volume!$F:$F,MATCH($D38,C_Type_Volume!$A:$A,0),1),"X")),"")</f>
        <v>22497</v>
      </c>
      <c r="BE38" s="19">
        <f>IFERROR(IF($E38="REC",INDEX(A_Type_Volume!$G:$G,MATCH($D38,A_Type_Volume!$A:$A,0),1),IF($E38="VAM",INDEX(C_Type_Volume!$G:$G,MATCH($D38,C_Type_Volume!$A:$A,0),1),"X")),"")</f>
        <v>19429</v>
      </c>
      <c r="BF38" s="19">
        <f>IFERROR(IF($E38="REC",INDEX(A_Type_Volume!$H:$H,MATCH($D38,A_Type_Volume!$A:$A,0),1),IF($E38="VAM",INDEX(C_Type_Volume!$H:$H,MATCH($D38,C_Type_Volume!$A:$A,0),1),"X")),"")</f>
        <v>22343</v>
      </c>
      <c r="BG38" s="19">
        <f>IFERROR(IF($E38="REC",INDEX(A_Type_Volume!$I:$I,MATCH($D38,A_Type_Volume!$A:$A,0),1),IF($E38="VAM",INDEX(C_Type_Volume!$I:$I,MATCH($D38,C_Type_Volume!$A:$A,0),1),"X")),"")</f>
        <v>17486</v>
      </c>
      <c r="BH38" s="19">
        <f>IFERROR(IF($E38="REC",INDEX(A_Type_Volume!$J:$J,MATCH($D38,A_Type_Volume!$A:$A,0),1),IF($E38="VAM",INDEX(C_Type_Volume!$J:$J,MATCH($D38,C_Type_Volume!$A:$A,0),1),"X")),"")</f>
        <v>17706</v>
      </c>
      <c r="BI38" s="19">
        <f>IFERROR(IF($E38="REC",INDEX(A_Type_Volume!$K:$K,MATCH($D38,A_Type_Volume!$A:$A,0),1),IF($E38="VAM",INDEX(C_Type_Volume!$K:$K,MATCH($D38,C_Type_Volume!$A:$A,0),1),"X")),"")</f>
        <v>18549</v>
      </c>
      <c r="BJ38" s="19">
        <f>IFERROR(IF($E38="REC",INDEX(A_Type_Volume!$L:$L,MATCH($D38,A_Type_Volume!$A:$A,0),1),IF($E38="VAM",INDEX(C_Type_Volume!$L:$L,MATCH($D38,C_Type_Volume!$A:$A,0),1),"X")),"")</f>
        <v>16020</v>
      </c>
      <c r="BK38" s="19">
        <f>IFERROR(IF($E38="REC",INDEX(A_Type_Volume!M:M,MATCH($D38,A_Type_Volume!$A:$A,0),1),IF($E38="VAM",INDEX(C_Type_Volume!M:M,MATCH($D38,C_Type_Volume!$A:$A,0),1),"X")),"")</f>
        <v>14174</v>
      </c>
      <c r="BL38" s="38">
        <f>SUM(Table1[[#This Row],[Jan_AVF]:[Dec_AVF]])</f>
        <v>242924</v>
      </c>
      <c r="BM38" s="16">
        <f t="shared" si="40"/>
        <v>647.25242054400007</v>
      </c>
      <c r="BN38" s="16">
        <f t="shared" si="41"/>
        <v>693.37594324800011</v>
      </c>
      <c r="BO38" s="16">
        <f t="shared" si="42"/>
        <v>1018.0617032160002</v>
      </c>
      <c r="BP38" s="16">
        <f t="shared" si="43"/>
        <v>777.57703315200013</v>
      </c>
      <c r="BQ38" s="16">
        <f t="shared" si="44"/>
        <v>744.89654721600016</v>
      </c>
      <c r="BR38" s="16">
        <f t="shared" si="45"/>
        <v>643.31222011200009</v>
      </c>
      <c r="BS38" s="16">
        <f t="shared" si="46"/>
        <v>739.79746430400007</v>
      </c>
      <c r="BT38" s="16">
        <f t="shared" si="47"/>
        <v>578.97768700800009</v>
      </c>
      <c r="BU38" s="16">
        <f t="shared" si="48"/>
        <v>586.2620911680001</v>
      </c>
      <c r="BV38" s="16">
        <f t="shared" si="49"/>
        <v>614.17460347200006</v>
      </c>
      <c r="BW38" s="16">
        <f t="shared" si="50"/>
        <v>530.43706656000006</v>
      </c>
      <c r="BX38" s="16">
        <f t="shared" si="51"/>
        <v>469.31429347200009</v>
      </c>
      <c r="BY38" s="10">
        <f t="shared" si="17"/>
        <v>2358.6900670080004</v>
      </c>
      <c r="BZ38" s="10">
        <f t="shared" si="18"/>
        <v>2165.7858004800005</v>
      </c>
      <c r="CA38" s="10">
        <f t="shared" si="19"/>
        <v>1905.0372424800003</v>
      </c>
      <c r="CB38" s="10">
        <f t="shared" si="20"/>
        <v>1613.9259635040003</v>
      </c>
      <c r="CC38" s="10">
        <f>IFERROR(Table1[[#This Row],[Labor
Saving]]*Table1[[#This Row],[Annual Volume]],"")</f>
        <v>3184.9590734720009</v>
      </c>
      <c r="CD38" s="10">
        <f>IFERROR(Table1[[#This Row],[Annual Volume]]*Table1[[#This Row],[Yield
Saving]],"")</f>
        <v>0</v>
      </c>
      <c r="CE38" s="10">
        <f>IFERROR(Table1[[#This Row],[Annual Volume]]*Table1[[#This Row],[Material
Saving]],"")</f>
        <v>4858.4800000000005</v>
      </c>
      <c r="CF38" s="10">
        <f>IFERROR(Table1[[#This Row],[OH
Saving]]*Table1[[#This Row],[Annual Volume]],"")</f>
        <v>0</v>
      </c>
      <c r="CG38" s="10">
        <f>SUM(Table1[[#This Row],[Labor_ASV]:[OH_ASV]])</f>
        <v>8043.4390734720018</v>
      </c>
    </row>
    <row r="39" spans="1:85" x14ac:dyDescent="0.3">
      <c r="A39" t="str">
        <f>Table1[[#This Row],[Project Name]]&amp;Table1[[#This Row],[Part Number]]</f>
        <v>Diamond blade Supplier XR25</v>
      </c>
      <c r="B39" t="str">
        <f>IFERROR(Table1[[#This Row],[Project Number]]&amp;Table1[[#This Row],[Part Number]],"")</f>
        <v>AME25-035R25</v>
      </c>
      <c r="C39" s="22" t="s">
        <v>87</v>
      </c>
      <c r="D39" s="24" t="s">
        <v>263</v>
      </c>
      <c r="E39" s="25" t="s">
        <v>58</v>
      </c>
      <c r="F39" s="6">
        <f>INDEX(Proj_Reg!G:G,MATCH($C39,Proj_Reg!$B:$B,0),1)</f>
        <v>46054</v>
      </c>
      <c r="G39" s="6">
        <f>INDEX(Proj_Reg!H:H,MATCH($C39,Proj_Reg!$B:$B,0),1)</f>
        <v>46388</v>
      </c>
      <c r="H39" s="6" t="str">
        <f>IF(INDEX(Proj_Reg!C:C,MATCH($C39,Proj_Reg!$B:$B,0),1)=0,"",INDEX(Proj_Reg!C:C,MATCH($C39,Proj_Reg!$B:$B,0),1))</f>
        <v>Wafer Saw Dicing</v>
      </c>
      <c r="I39" s="6" t="str">
        <f>IF(INDEX(Proj_Reg!D:D,MATCH($C39,Proj_Reg!$B:$B,0),1)=0,"",INDEX(Proj_Reg!D:D,MATCH($C39,Proj_Reg!$B:$B,0),1))</f>
        <v>XCD</v>
      </c>
      <c r="J39" s="6" t="str">
        <f>INDEX(Proj_Reg!E:E,MATCH($C39,Proj_Reg!$B:$B,0),1)</f>
        <v>Diamond blade Supplier X</v>
      </c>
      <c r="K39" s="21">
        <v>1.0452448E-2</v>
      </c>
      <c r="L39" s="21">
        <v>0</v>
      </c>
      <c r="M39" s="21">
        <v>0.01</v>
      </c>
      <c r="N39" s="21">
        <v>0</v>
      </c>
      <c r="O39" s="11">
        <f>SUM(Table1[[#This Row],[Labor
Saving]:[OH
Saving]])</f>
        <v>2.0452447999999998E-2</v>
      </c>
      <c r="Q39" s="40">
        <f t="shared" si="21"/>
        <v>0</v>
      </c>
      <c r="R39" s="40">
        <f t="shared" si="0"/>
        <v>0</v>
      </c>
      <c r="S39" s="40">
        <f t="shared" si="1"/>
        <v>26687</v>
      </c>
      <c r="T39" s="40">
        <f t="shared" si="2"/>
        <v>23041</v>
      </c>
      <c r="U39" s="40">
        <f t="shared" si="3"/>
        <v>22189</v>
      </c>
      <c r="V39" s="40">
        <f t="shared" si="4"/>
        <v>21130</v>
      </c>
      <c r="W39" s="40">
        <f t="shared" si="5"/>
        <v>24299</v>
      </c>
      <c r="X39" s="40">
        <f t="shared" si="6"/>
        <v>19017</v>
      </c>
      <c r="Y39" s="40">
        <f t="shared" si="7"/>
        <v>19256</v>
      </c>
      <c r="Z39" s="40">
        <f t="shared" si="8"/>
        <v>20173</v>
      </c>
      <c r="AA39" s="40">
        <f t="shared" si="9"/>
        <v>17422</v>
      </c>
      <c r="AB39" s="40">
        <f t="shared" si="10"/>
        <v>15415</v>
      </c>
      <c r="AC39" s="37">
        <f>SUM(Table1[[#This Row],[Jan]:[Dec]])</f>
        <v>208629</v>
      </c>
      <c r="AD39" s="15">
        <f t="shared" si="22"/>
        <v>0</v>
      </c>
      <c r="AE39" s="15">
        <f t="shared" si="23"/>
        <v>0</v>
      </c>
      <c r="AF39" s="15">
        <f t="shared" si="24"/>
        <v>545.81447977599998</v>
      </c>
      <c r="AG39" s="15">
        <f t="shared" si="25"/>
        <v>471.24485436799995</v>
      </c>
      <c r="AH39" s="15">
        <f t="shared" si="26"/>
        <v>453.81936867199994</v>
      </c>
      <c r="AI39" s="15">
        <f t="shared" si="27"/>
        <v>432.16022623999999</v>
      </c>
      <c r="AJ39" s="15">
        <f t="shared" si="28"/>
        <v>496.97403395199996</v>
      </c>
      <c r="AK39" s="15">
        <f t="shared" si="29"/>
        <v>388.94420361599998</v>
      </c>
      <c r="AL39" s="15">
        <f t="shared" si="30"/>
        <v>393.83233868799994</v>
      </c>
      <c r="AM39" s="15">
        <f t="shared" si="31"/>
        <v>412.58723350399998</v>
      </c>
      <c r="AN39" s="15">
        <f t="shared" si="32"/>
        <v>356.32254905599996</v>
      </c>
      <c r="AO39" s="15">
        <f t="shared" si="33"/>
        <v>315.27448591999996</v>
      </c>
      <c r="AP39" s="10">
        <f t="shared" si="34"/>
        <v>545.81447977599998</v>
      </c>
      <c r="AQ39" s="10">
        <f t="shared" si="35"/>
        <v>1357.2244492799998</v>
      </c>
      <c r="AR39" s="10">
        <f t="shared" si="36"/>
        <v>1279.7505762559999</v>
      </c>
      <c r="AS39" s="10">
        <f t="shared" si="37"/>
        <v>1084.1842684799999</v>
      </c>
      <c r="AT39" s="10" t="b">
        <f t="shared" si="38"/>
        <v>1</v>
      </c>
      <c r="AU39" s="10">
        <f t="shared" si="12"/>
        <v>2180.683773792</v>
      </c>
      <c r="AV39" s="10">
        <f t="shared" si="13"/>
        <v>0</v>
      </c>
      <c r="AW39" s="10">
        <f t="shared" si="14"/>
        <v>2086.29</v>
      </c>
      <c r="AX39" s="10">
        <f t="shared" si="15"/>
        <v>0</v>
      </c>
      <c r="AY39" s="10">
        <f t="shared" si="39"/>
        <v>4266.9737737920004</v>
      </c>
      <c r="AZ39" s="19">
        <f>IFERROR(IF($E39="REC",INDEX(A_Type_Volume!$B:$B,MATCH($D39,A_Type_Volume!$A:$A,0),1),IF($E39="VAM",INDEX(C_Type_Volume!$B:$B,MATCH($D39,C_Type_Volume!$A:$A,0),1),"X")),"")</f>
        <v>0</v>
      </c>
      <c r="BA39" s="19">
        <f>IFERROR(IF($E39="REC",INDEX(A_Type_Volume!$C:$C,MATCH($D39,A_Type_Volume!$A:$A,0),1),IF($E39="VAM",INDEX(C_Type_Volume!$C:$C,MATCH($D39,C_Type_Volume!$A:$A,0),1),"X")),"")</f>
        <v>0</v>
      </c>
      <c r="BB39" s="19">
        <f>IFERROR(IF($E39="REC",INDEX(A_Type_Volume!$D:$D,MATCH($D39,A_Type_Volume!$A:$A,0),1),IF($E39="VAM",INDEX(C_Type_Volume!$D:$D,MATCH($D39,C_Type_Volume!$A:$A,0),1),"X")),"")</f>
        <v>26687</v>
      </c>
      <c r="BC39" s="19">
        <f>IFERROR(IF($E39="REC",INDEX(A_Type_Volume!$E:$E,MATCH($D39,A_Type_Volume!$A:$A,0),1),IF($E39="VAM",INDEX(C_Type_Volume!$E:$E,MATCH($D39,C_Type_Volume!$A:$A,0),1),"X")),"")</f>
        <v>23041</v>
      </c>
      <c r="BD39" s="19">
        <f>IFERROR(IF($E39="REC",INDEX(A_Type_Volume!$F:$F,MATCH($D39,A_Type_Volume!$A:$A,0),1),IF($E39="VAM",INDEX(C_Type_Volume!$F:$F,MATCH($D39,C_Type_Volume!$A:$A,0),1),"X")),"")</f>
        <v>22189</v>
      </c>
      <c r="BE39" s="19">
        <f>IFERROR(IF($E39="REC",INDEX(A_Type_Volume!$G:$G,MATCH($D39,A_Type_Volume!$A:$A,0),1),IF($E39="VAM",INDEX(C_Type_Volume!$G:$G,MATCH($D39,C_Type_Volume!$A:$A,0),1),"X")),"")</f>
        <v>21130</v>
      </c>
      <c r="BF39" s="19">
        <f>IFERROR(IF($E39="REC",INDEX(A_Type_Volume!$H:$H,MATCH($D39,A_Type_Volume!$A:$A,0),1),IF($E39="VAM",INDEX(C_Type_Volume!$H:$H,MATCH($D39,C_Type_Volume!$A:$A,0),1),"X")),"")</f>
        <v>24299</v>
      </c>
      <c r="BG39" s="19">
        <f>IFERROR(IF($E39="REC",INDEX(A_Type_Volume!$I:$I,MATCH($D39,A_Type_Volume!$A:$A,0),1),IF($E39="VAM",INDEX(C_Type_Volume!$I:$I,MATCH($D39,C_Type_Volume!$A:$A,0),1),"X")),"")</f>
        <v>19017</v>
      </c>
      <c r="BH39" s="19">
        <f>IFERROR(IF($E39="REC",INDEX(A_Type_Volume!$J:$J,MATCH($D39,A_Type_Volume!$A:$A,0),1),IF($E39="VAM",INDEX(C_Type_Volume!$J:$J,MATCH($D39,C_Type_Volume!$A:$A,0),1),"X")),"")</f>
        <v>19256</v>
      </c>
      <c r="BI39" s="19">
        <f>IFERROR(IF($E39="REC",INDEX(A_Type_Volume!$K:$K,MATCH($D39,A_Type_Volume!$A:$A,0),1),IF($E39="VAM",INDEX(C_Type_Volume!$K:$K,MATCH($D39,C_Type_Volume!$A:$A,0),1),"X")),"")</f>
        <v>20173</v>
      </c>
      <c r="BJ39" s="19">
        <f>IFERROR(IF($E39="REC",INDEX(A_Type_Volume!$L:$L,MATCH($D39,A_Type_Volume!$A:$A,0),1),IF($E39="VAM",INDEX(C_Type_Volume!$L:$L,MATCH($D39,C_Type_Volume!$A:$A,0),1),"X")),"")</f>
        <v>17422</v>
      </c>
      <c r="BK39" s="19">
        <f>IFERROR(IF($E39="REC",INDEX(A_Type_Volume!M:M,MATCH($D39,A_Type_Volume!$A:$A,0),1),IF($E39="VAM",INDEX(C_Type_Volume!M:M,MATCH($D39,C_Type_Volume!$A:$A,0),1),"X")),"")</f>
        <v>15415</v>
      </c>
      <c r="BL39" s="38">
        <f>SUM(Table1[[#This Row],[Jan_AVF]:[Dec_AVF]])</f>
        <v>208629</v>
      </c>
      <c r="BM39" s="16">
        <f t="shared" si="40"/>
        <v>0</v>
      </c>
      <c r="BN39" s="16">
        <f t="shared" si="41"/>
        <v>0</v>
      </c>
      <c r="BO39" s="16">
        <f t="shared" si="42"/>
        <v>545.81447977599998</v>
      </c>
      <c r="BP39" s="16">
        <f t="shared" si="43"/>
        <v>471.24485436799995</v>
      </c>
      <c r="BQ39" s="16">
        <f t="shared" si="44"/>
        <v>453.81936867199994</v>
      </c>
      <c r="BR39" s="16">
        <f t="shared" si="45"/>
        <v>432.16022623999999</v>
      </c>
      <c r="BS39" s="16">
        <f t="shared" si="46"/>
        <v>496.97403395199996</v>
      </c>
      <c r="BT39" s="16">
        <f t="shared" si="47"/>
        <v>388.94420361599998</v>
      </c>
      <c r="BU39" s="16">
        <f t="shared" si="48"/>
        <v>393.83233868799994</v>
      </c>
      <c r="BV39" s="16">
        <f t="shared" si="49"/>
        <v>412.58723350399998</v>
      </c>
      <c r="BW39" s="16">
        <f t="shared" si="50"/>
        <v>356.32254905599996</v>
      </c>
      <c r="BX39" s="16">
        <f t="shared" si="51"/>
        <v>315.27448591999996</v>
      </c>
      <c r="BY39" s="10">
        <f t="shared" si="17"/>
        <v>545.81447977599998</v>
      </c>
      <c r="BZ39" s="10">
        <f t="shared" si="18"/>
        <v>1357.2244492799998</v>
      </c>
      <c r="CA39" s="10">
        <f t="shared" si="19"/>
        <v>1279.7505762559999</v>
      </c>
      <c r="CB39" s="10">
        <f t="shared" si="20"/>
        <v>1084.1842684799999</v>
      </c>
      <c r="CC39" s="10">
        <f>IFERROR(Table1[[#This Row],[Labor
Saving]]*Table1[[#This Row],[Annual Volume]],"")</f>
        <v>2180.683773792</v>
      </c>
      <c r="CD39" s="10">
        <f>IFERROR(Table1[[#This Row],[Annual Volume]]*Table1[[#This Row],[Yield
Saving]],"")</f>
        <v>0</v>
      </c>
      <c r="CE39" s="10">
        <f>IFERROR(Table1[[#This Row],[Annual Volume]]*Table1[[#This Row],[Material
Saving]],"")</f>
        <v>2086.29</v>
      </c>
      <c r="CF39" s="10">
        <f>IFERROR(Table1[[#This Row],[OH
Saving]]*Table1[[#This Row],[Annual Volume]],"")</f>
        <v>0</v>
      </c>
      <c r="CG39" s="10">
        <f>SUM(Table1[[#This Row],[Labor_ASV]:[OH_ASV]])</f>
        <v>4266.9737737920004</v>
      </c>
    </row>
    <row r="40" spans="1:85" x14ac:dyDescent="0.3">
      <c r="A40" t="str">
        <f>Table1[[#This Row],[Project Name]]&amp;Table1[[#This Row],[Part Number]]</f>
        <v>Diamond blade Supplier XR27</v>
      </c>
      <c r="B40" t="str">
        <f>IFERROR(Table1[[#This Row],[Project Number]]&amp;Table1[[#This Row],[Part Number]],"")</f>
        <v>AME25-035R27</v>
      </c>
      <c r="C40" s="22" t="s">
        <v>87</v>
      </c>
      <c r="D40" s="24" t="s">
        <v>265</v>
      </c>
      <c r="E40" s="25" t="s">
        <v>58</v>
      </c>
      <c r="F40" s="6">
        <f>INDEX(Proj_Reg!G:G,MATCH($C40,Proj_Reg!$B:$B,0),1)</f>
        <v>46054</v>
      </c>
      <c r="G40" s="6">
        <f>INDEX(Proj_Reg!H:H,MATCH($C40,Proj_Reg!$B:$B,0),1)</f>
        <v>46388</v>
      </c>
      <c r="H40" s="6" t="str">
        <f>IF(INDEX(Proj_Reg!C:C,MATCH($C40,Proj_Reg!$B:$B,0),1)=0,"",INDEX(Proj_Reg!C:C,MATCH($C40,Proj_Reg!$B:$B,0),1))</f>
        <v>Wafer Saw Dicing</v>
      </c>
      <c r="I40" s="6" t="str">
        <f>IF(INDEX(Proj_Reg!D:D,MATCH($C40,Proj_Reg!$B:$B,0),1)=0,"",INDEX(Proj_Reg!D:D,MATCH($C40,Proj_Reg!$B:$B,0),1))</f>
        <v>XCD</v>
      </c>
      <c r="J40" s="6" t="str">
        <f>INDEX(Proj_Reg!E:E,MATCH($C40,Proj_Reg!$B:$B,0),1)</f>
        <v>Diamond blade Supplier X</v>
      </c>
      <c r="K40" s="21">
        <v>1.0452448E-2</v>
      </c>
      <c r="L40" s="21">
        <v>0</v>
      </c>
      <c r="M40" s="21">
        <v>0.01</v>
      </c>
      <c r="N40" s="21">
        <v>0</v>
      </c>
      <c r="O40" s="11">
        <f>SUM(Table1[[#This Row],[Labor
Saving]:[OH
Saving]])</f>
        <v>2.0452447999999998E-2</v>
      </c>
      <c r="Q40" s="40">
        <f t="shared" si="21"/>
        <v>0</v>
      </c>
      <c r="R40" s="40">
        <f t="shared" si="0"/>
        <v>30741.3</v>
      </c>
      <c r="S40" s="40">
        <f t="shared" si="1"/>
        <v>146159</v>
      </c>
      <c r="T40" s="40">
        <f t="shared" si="2"/>
        <v>113672</v>
      </c>
      <c r="U40" s="40">
        <f t="shared" si="3"/>
        <v>112764</v>
      </c>
      <c r="V40" s="40">
        <f t="shared" si="4"/>
        <v>104589</v>
      </c>
      <c r="W40" s="40">
        <f t="shared" si="5"/>
        <v>120278</v>
      </c>
      <c r="X40" s="40">
        <f t="shared" si="6"/>
        <v>94130</v>
      </c>
      <c r="Y40" s="40">
        <f t="shared" si="7"/>
        <v>95314</v>
      </c>
      <c r="Z40" s="40">
        <f t="shared" si="8"/>
        <v>99853</v>
      </c>
      <c r="AA40" s="40">
        <f t="shared" si="9"/>
        <v>86237</v>
      </c>
      <c r="AB40" s="40">
        <f t="shared" si="10"/>
        <v>76303</v>
      </c>
      <c r="AC40" s="37">
        <f>SUM(Table1[[#This Row],[Jan]:[Dec]])</f>
        <v>1080040.3</v>
      </c>
      <c r="AD40" s="15">
        <f t="shared" si="22"/>
        <v>0</v>
      </c>
      <c r="AE40" s="15">
        <f t="shared" si="23"/>
        <v>628.73483970239988</v>
      </c>
      <c r="AF40" s="15">
        <f t="shared" si="24"/>
        <v>2989.3093472319997</v>
      </c>
      <c r="AG40" s="15">
        <f t="shared" si="25"/>
        <v>2324.8706690559998</v>
      </c>
      <c r="AH40" s="15">
        <f t="shared" si="26"/>
        <v>2306.2998462719997</v>
      </c>
      <c r="AI40" s="15">
        <f t="shared" si="27"/>
        <v>2139.1010838719999</v>
      </c>
      <c r="AJ40" s="15">
        <f t="shared" si="28"/>
        <v>2459.979540544</v>
      </c>
      <c r="AK40" s="15">
        <f t="shared" si="29"/>
        <v>1925.1889302399998</v>
      </c>
      <c r="AL40" s="15">
        <f t="shared" si="30"/>
        <v>1949.4046286719997</v>
      </c>
      <c r="AM40" s="15">
        <f t="shared" si="31"/>
        <v>2042.2382901439998</v>
      </c>
      <c r="AN40" s="15">
        <f t="shared" si="32"/>
        <v>1763.7577581759999</v>
      </c>
      <c r="AO40" s="15">
        <f t="shared" si="33"/>
        <v>1560.5831397439999</v>
      </c>
      <c r="AP40" s="10">
        <f t="shared" si="34"/>
        <v>3618.0441869343995</v>
      </c>
      <c r="AQ40" s="10">
        <f t="shared" si="35"/>
        <v>6770.2715991999994</v>
      </c>
      <c r="AR40" s="10">
        <f t="shared" si="36"/>
        <v>6334.573099455999</v>
      </c>
      <c r="AS40" s="10">
        <f t="shared" si="37"/>
        <v>5366.5791880639999</v>
      </c>
      <c r="AT40" s="10" t="b">
        <f t="shared" si="38"/>
        <v>1</v>
      </c>
      <c r="AU40" s="10">
        <f t="shared" si="12"/>
        <v>11289.065073654399</v>
      </c>
      <c r="AV40" s="10">
        <f t="shared" si="13"/>
        <v>0</v>
      </c>
      <c r="AW40" s="10">
        <f t="shared" si="14"/>
        <v>10800.403</v>
      </c>
      <c r="AX40" s="10">
        <f t="shared" si="15"/>
        <v>0</v>
      </c>
      <c r="AY40" s="10">
        <f t="shared" si="39"/>
        <v>22089.4680736544</v>
      </c>
      <c r="AZ40" s="19">
        <f>IFERROR(IF($E40="REC",INDEX(A_Type_Volume!$B:$B,MATCH($D40,A_Type_Volume!$A:$A,0),1),IF($E40="VAM",INDEX(C_Type_Volume!$B:$B,MATCH($D40,C_Type_Volume!$A:$A,0),1),"X")),"")</f>
        <v>68858</v>
      </c>
      <c r="BA40" s="19">
        <f>IFERROR(IF($E40="REC",INDEX(A_Type_Volume!$C:$C,MATCH($D40,A_Type_Volume!$A:$A,0),1),IF($E40="VAM",INDEX(C_Type_Volume!$C:$C,MATCH($D40,C_Type_Volume!$A:$A,0),1),"X")),"")</f>
        <v>102471</v>
      </c>
      <c r="BB40" s="19">
        <f>IFERROR(IF($E40="REC",INDEX(A_Type_Volume!$D:$D,MATCH($D40,A_Type_Volume!$A:$A,0),1),IF($E40="VAM",INDEX(C_Type_Volume!$D:$D,MATCH($D40,C_Type_Volume!$A:$A,0),1),"X")),"")</f>
        <v>146159</v>
      </c>
      <c r="BC40" s="19">
        <f>IFERROR(IF($E40="REC",INDEX(A_Type_Volume!$E:$E,MATCH($D40,A_Type_Volume!$A:$A,0),1),IF($E40="VAM",INDEX(C_Type_Volume!$E:$E,MATCH($D40,C_Type_Volume!$A:$A,0),1),"X")),"")</f>
        <v>113672</v>
      </c>
      <c r="BD40" s="19">
        <f>IFERROR(IF($E40="REC",INDEX(A_Type_Volume!$F:$F,MATCH($D40,A_Type_Volume!$A:$A,0),1),IF($E40="VAM",INDEX(C_Type_Volume!$F:$F,MATCH($D40,C_Type_Volume!$A:$A,0),1),"X")),"")</f>
        <v>112764</v>
      </c>
      <c r="BE40" s="19">
        <f>IFERROR(IF($E40="REC",INDEX(A_Type_Volume!$G:$G,MATCH($D40,A_Type_Volume!$A:$A,0),1),IF($E40="VAM",INDEX(C_Type_Volume!$G:$G,MATCH($D40,C_Type_Volume!$A:$A,0),1),"X")),"")</f>
        <v>104589</v>
      </c>
      <c r="BF40" s="19">
        <f>IFERROR(IF($E40="REC",INDEX(A_Type_Volume!$H:$H,MATCH($D40,A_Type_Volume!$A:$A,0),1),IF($E40="VAM",INDEX(C_Type_Volume!$H:$H,MATCH($D40,C_Type_Volume!$A:$A,0),1),"X")),"")</f>
        <v>120278</v>
      </c>
      <c r="BG40" s="19">
        <f>IFERROR(IF($E40="REC",INDEX(A_Type_Volume!$I:$I,MATCH($D40,A_Type_Volume!$A:$A,0),1),IF($E40="VAM",INDEX(C_Type_Volume!$I:$I,MATCH($D40,C_Type_Volume!$A:$A,0),1),"X")),"")</f>
        <v>94130</v>
      </c>
      <c r="BH40" s="19">
        <f>IFERROR(IF($E40="REC",INDEX(A_Type_Volume!$J:$J,MATCH($D40,A_Type_Volume!$A:$A,0),1),IF($E40="VAM",INDEX(C_Type_Volume!$J:$J,MATCH($D40,C_Type_Volume!$A:$A,0),1),"X")),"")</f>
        <v>95314</v>
      </c>
      <c r="BI40" s="19">
        <f>IFERROR(IF($E40="REC",INDEX(A_Type_Volume!$K:$K,MATCH($D40,A_Type_Volume!$A:$A,0),1),IF($E40="VAM",INDEX(C_Type_Volume!$K:$K,MATCH($D40,C_Type_Volume!$A:$A,0),1),"X")),"")</f>
        <v>99853</v>
      </c>
      <c r="BJ40" s="19">
        <f>IFERROR(IF($E40="REC",INDEX(A_Type_Volume!$L:$L,MATCH($D40,A_Type_Volume!$A:$A,0),1),IF($E40="VAM",INDEX(C_Type_Volume!$L:$L,MATCH($D40,C_Type_Volume!$A:$A,0),1),"X")),"")</f>
        <v>86237</v>
      </c>
      <c r="BK40" s="19">
        <f>IFERROR(IF($E40="REC",INDEX(A_Type_Volume!M:M,MATCH($D40,A_Type_Volume!$A:$A,0),1),IF($E40="VAM",INDEX(C_Type_Volume!M:M,MATCH($D40,C_Type_Volume!$A:$A,0),1),"X")),"")</f>
        <v>76303</v>
      </c>
      <c r="BL40" s="38">
        <f>SUM(Table1[[#This Row],[Jan_AVF]:[Dec_AVF]])</f>
        <v>1220628</v>
      </c>
      <c r="BM40" s="16">
        <f t="shared" si="40"/>
        <v>1408.3146643839998</v>
      </c>
      <c r="BN40" s="16">
        <f t="shared" si="41"/>
        <v>2095.782799008</v>
      </c>
      <c r="BO40" s="16">
        <f t="shared" si="42"/>
        <v>2989.3093472319997</v>
      </c>
      <c r="BP40" s="16">
        <f t="shared" si="43"/>
        <v>2324.8706690559998</v>
      </c>
      <c r="BQ40" s="16">
        <f t="shared" si="44"/>
        <v>2306.2998462719997</v>
      </c>
      <c r="BR40" s="16">
        <f t="shared" si="45"/>
        <v>2139.1010838719999</v>
      </c>
      <c r="BS40" s="16">
        <f t="shared" si="46"/>
        <v>2459.979540544</v>
      </c>
      <c r="BT40" s="16">
        <f t="shared" si="47"/>
        <v>1925.1889302399998</v>
      </c>
      <c r="BU40" s="16">
        <f t="shared" si="48"/>
        <v>1949.4046286719997</v>
      </c>
      <c r="BV40" s="16">
        <f t="shared" si="49"/>
        <v>2042.2382901439998</v>
      </c>
      <c r="BW40" s="16">
        <f t="shared" si="50"/>
        <v>1763.7577581759999</v>
      </c>
      <c r="BX40" s="16">
        <f t="shared" si="51"/>
        <v>1560.5831397439999</v>
      </c>
      <c r="BY40" s="10">
        <f t="shared" si="17"/>
        <v>6493.4068106239993</v>
      </c>
      <c r="BZ40" s="10">
        <f t="shared" si="18"/>
        <v>6770.2715991999994</v>
      </c>
      <c r="CA40" s="10">
        <f t="shared" si="19"/>
        <v>6334.573099455999</v>
      </c>
      <c r="CB40" s="10">
        <f t="shared" si="20"/>
        <v>5366.5791880639999</v>
      </c>
      <c r="CC40" s="10">
        <f>IFERROR(Table1[[#This Row],[Labor
Saving]]*Table1[[#This Row],[Annual Volume]],"")</f>
        <v>12758.550697343999</v>
      </c>
      <c r="CD40" s="10">
        <f>IFERROR(Table1[[#This Row],[Annual Volume]]*Table1[[#This Row],[Yield
Saving]],"")</f>
        <v>0</v>
      </c>
      <c r="CE40" s="10">
        <f>IFERROR(Table1[[#This Row],[Annual Volume]]*Table1[[#This Row],[Material
Saving]],"")</f>
        <v>12206.28</v>
      </c>
      <c r="CF40" s="10">
        <f>IFERROR(Table1[[#This Row],[OH
Saving]]*Table1[[#This Row],[Annual Volume]],"")</f>
        <v>0</v>
      </c>
      <c r="CG40" s="10">
        <f>SUM(Table1[[#This Row],[Labor_ASV]:[OH_ASV]])</f>
        <v>24964.830697343998</v>
      </c>
    </row>
    <row r="41" spans="1:85" x14ac:dyDescent="0.3">
      <c r="A41" t="str">
        <f>Table1[[#This Row],[Project Name]]&amp;Table1[[#This Row],[Part Number]]</f>
        <v>Diamond blade Supplier XR26</v>
      </c>
      <c r="B41" t="str">
        <f>IFERROR(Table1[[#This Row],[Project Number]]&amp;Table1[[#This Row],[Part Number]],"")</f>
        <v>AME25-035R26</v>
      </c>
      <c r="C41" s="22" t="s">
        <v>87</v>
      </c>
      <c r="D41" s="24" t="s">
        <v>264</v>
      </c>
      <c r="E41" s="25" t="s">
        <v>58</v>
      </c>
      <c r="F41" s="6">
        <f>INDEX(Proj_Reg!G:G,MATCH($C41,Proj_Reg!$B:$B,0),1)</f>
        <v>46054</v>
      </c>
      <c r="G41" s="6">
        <f>INDEX(Proj_Reg!H:H,MATCH($C41,Proj_Reg!$B:$B,0),1)</f>
        <v>46388</v>
      </c>
      <c r="H41" s="6" t="str">
        <f>IF(INDEX(Proj_Reg!C:C,MATCH($C41,Proj_Reg!$B:$B,0),1)=0,"",INDEX(Proj_Reg!C:C,MATCH($C41,Proj_Reg!$B:$B,0),1))</f>
        <v>Wafer Saw Dicing</v>
      </c>
      <c r="I41" s="6" t="str">
        <f>IF(INDEX(Proj_Reg!D:D,MATCH($C41,Proj_Reg!$B:$B,0),1)=0,"",INDEX(Proj_Reg!D:D,MATCH($C41,Proj_Reg!$B:$B,0),1))</f>
        <v>XCD</v>
      </c>
      <c r="J41" s="6" t="str">
        <f>INDEX(Proj_Reg!E:E,MATCH($C41,Proj_Reg!$B:$B,0),1)</f>
        <v>Diamond blade Supplier X</v>
      </c>
      <c r="K41" s="21">
        <v>1.0452448E-2</v>
      </c>
      <c r="L41" s="21">
        <v>0</v>
      </c>
      <c r="M41" s="21">
        <v>0.01</v>
      </c>
      <c r="N41" s="21">
        <v>0</v>
      </c>
      <c r="O41" s="11">
        <f>SUM(Table1[[#This Row],[Labor
Saving]:[OH
Saving]])</f>
        <v>2.0452447999999998E-2</v>
      </c>
      <c r="Q41" s="40">
        <f t="shared" si="21"/>
        <v>0</v>
      </c>
      <c r="R41" s="40">
        <f t="shared" si="0"/>
        <v>31198.799999999999</v>
      </c>
      <c r="S41" s="40">
        <f t="shared" si="1"/>
        <v>153736</v>
      </c>
      <c r="T41" s="40">
        <f t="shared" si="2"/>
        <v>120615</v>
      </c>
      <c r="U41" s="40">
        <f t="shared" si="3"/>
        <v>120946</v>
      </c>
      <c r="V41" s="40">
        <f t="shared" si="4"/>
        <v>112739</v>
      </c>
      <c r="W41" s="40">
        <f t="shared" si="5"/>
        <v>129650</v>
      </c>
      <c r="X41" s="40">
        <f t="shared" si="6"/>
        <v>101466</v>
      </c>
      <c r="Y41" s="40">
        <f t="shared" si="7"/>
        <v>102742</v>
      </c>
      <c r="Z41" s="40">
        <f t="shared" si="8"/>
        <v>107634</v>
      </c>
      <c r="AA41" s="40">
        <f t="shared" si="9"/>
        <v>92957</v>
      </c>
      <c r="AB41" s="40">
        <f t="shared" si="10"/>
        <v>82249</v>
      </c>
      <c r="AC41" s="37">
        <f>SUM(Table1[[#This Row],[Jan]:[Dec]])</f>
        <v>1155932.8</v>
      </c>
      <c r="AD41" s="15">
        <f t="shared" si="22"/>
        <v>0</v>
      </c>
      <c r="AE41" s="15">
        <f t="shared" si="23"/>
        <v>638.09183466239995</v>
      </c>
      <c r="AF41" s="15">
        <f t="shared" si="24"/>
        <v>3144.2775457279995</v>
      </c>
      <c r="AG41" s="15">
        <f t="shared" si="25"/>
        <v>2466.8720155199999</v>
      </c>
      <c r="AH41" s="15">
        <f t="shared" si="26"/>
        <v>2473.6417758079997</v>
      </c>
      <c r="AI41" s="15">
        <f t="shared" si="27"/>
        <v>2305.7885350719998</v>
      </c>
      <c r="AJ41" s="15">
        <f t="shared" si="28"/>
        <v>2651.6598832</v>
      </c>
      <c r="AK41" s="15">
        <f t="shared" si="29"/>
        <v>2075.2280887679999</v>
      </c>
      <c r="AL41" s="15">
        <f t="shared" si="30"/>
        <v>2101.3254124159998</v>
      </c>
      <c r="AM41" s="15">
        <f t="shared" si="31"/>
        <v>2201.3787880319996</v>
      </c>
      <c r="AN41" s="15">
        <f t="shared" si="32"/>
        <v>1901.1982087359997</v>
      </c>
      <c r="AO41" s="15">
        <f t="shared" si="33"/>
        <v>1682.1933955519999</v>
      </c>
      <c r="AP41" s="10">
        <f t="shared" si="34"/>
        <v>3782.3693803903993</v>
      </c>
      <c r="AQ41" s="10">
        <f t="shared" si="35"/>
        <v>7246.3023263999994</v>
      </c>
      <c r="AR41" s="10">
        <f t="shared" si="36"/>
        <v>6828.2133843840002</v>
      </c>
      <c r="AS41" s="10">
        <f t="shared" si="37"/>
        <v>5784.7703923199988</v>
      </c>
      <c r="AT41" s="10" t="b">
        <f t="shared" si="38"/>
        <v>1</v>
      </c>
      <c r="AU41" s="10">
        <f t="shared" si="12"/>
        <v>12082.3274834944</v>
      </c>
      <c r="AV41" s="10">
        <f t="shared" si="13"/>
        <v>0</v>
      </c>
      <c r="AW41" s="10">
        <f t="shared" si="14"/>
        <v>11559.328000000001</v>
      </c>
      <c r="AX41" s="10">
        <f t="shared" si="15"/>
        <v>0</v>
      </c>
      <c r="AY41" s="10">
        <f t="shared" si="39"/>
        <v>23641.655483494404</v>
      </c>
      <c r="AZ41" s="19">
        <f>IFERROR(IF($E41="REC",INDEX(A_Type_Volume!$B:$B,MATCH($D41,A_Type_Volume!$A:$A,0),1),IF($E41="VAM",INDEX(C_Type_Volume!$B:$B,MATCH($D41,C_Type_Volume!$A:$A,0),1),"X")),"")</f>
        <v>79817</v>
      </c>
      <c r="BA41" s="19">
        <f>IFERROR(IF($E41="REC",INDEX(A_Type_Volume!$C:$C,MATCH($D41,A_Type_Volume!$A:$A,0),1),IF($E41="VAM",INDEX(C_Type_Volume!$C:$C,MATCH($D41,C_Type_Volume!$A:$A,0),1),"X")),"")</f>
        <v>103996</v>
      </c>
      <c r="BB41" s="19">
        <f>IFERROR(IF($E41="REC",INDEX(A_Type_Volume!$D:$D,MATCH($D41,A_Type_Volume!$A:$A,0),1),IF($E41="VAM",INDEX(C_Type_Volume!$D:$D,MATCH($D41,C_Type_Volume!$A:$A,0),1),"X")),"")</f>
        <v>153736</v>
      </c>
      <c r="BC41" s="19">
        <f>IFERROR(IF($E41="REC",INDEX(A_Type_Volume!$E:$E,MATCH($D41,A_Type_Volume!$A:$A,0),1),IF($E41="VAM",INDEX(C_Type_Volume!$E:$E,MATCH($D41,C_Type_Volume!$A:$A,0),1),"X")),"")</f>
        <v>120615</v>
      </c>
      <c r="BD41" s="19">
        <f>IFERROR(IF($E41="REC",INDEX(A_Type_Volume!$F:$F,MATCH($D41,A_Type_Volume!$A:$A,0),1),IF($E41="VAM",INDEX(C_Type_Volume!$F:$F,MATCH($D41,C_Type_Volume!$A:$A,0),1),"X")),"")</f>
        <v>120946</v>
      </c>
      <c r="BE41" s="19">
        <f>IFERROR(IF($E41="REC",INDEX(A_Type_Volume!$G:$G,MATCH($D41,A_Type_Volume!$A:$A,0),1),IF($E41="VAM",INDEX(C_Type_Volume!$G:$G,MATCH($D41,C_Type_Volume!$A:$A,0),1),"X")),"")</f>
        <v>112739</v>
      </c>
      <c r="BF41" s="19">
        <f>IFERROR(IF($E41="REC",INDEX(A_Type_Volume!$H:$H,MATCH($D41,A_Type_Volume!$A:$A,0),1),IF($E41="VAM",INDEX(C_Type_Volume!$H:$H,MATCH($D41,C_Type_Volume!$A:$A,0),1),"X")),"")</f>
        <v>129650</v>
      </c>
      <c r="BG41" s="19">
        <f>IFERROR(IF($E41="REC",INDEX(A_Type_Volume!$I:$I,MATCH($D41,A_Type_Volume!$A:$A,0),1),IF($E41="VAM",INDEX(C_Type_Volume!$I:$I,MATCH($D41,C_Type_Volume!$A:$A,0),1),"X")),"")</f>
        <v>101466</v>
      </c>
      <c r="BH41" s="19">
        <f>IFERROR(IF($E41="REC",INDEX(A_Type_Volume!$J:$J,MATCH($D41,A_Type_Volume!$A:$A,0),1),IF($E41="VAM",INDEX(C_Type_Volume!$J:$J,MATCH($D41,C_Type_Volume!$A:$A,0),1),"X")),"")</f>
        <v>102742</v>
      </c>
      <c r="BI41" s="19">
        <f>IFERROR(IF($E41="REC",INDEX(A_Type_Volume!$K:$K,MATCH($D41,A_Type_Volume!$A:$A,0),1),IF($E41="VAM",INDEX(C_Type_Volume!$K:$K,MATCH($D41,C_Type_Volume!$A:$A,0),1),"X")),"")</f>
        <v>107634</v>
      </c>
      <c r="BJ41" s="19">
        <f>IFERROR(IF($E41="REC",INDEX(A_Type_Volume!$L:$L,MATCH($D41,A_Type_Volume!$A:$A,0),1),IF($E41="VAM",INDEX(C_Type_Volume!$L:$L,MATCH($D41,C_Type_Volume!$A:$A,0),1),"X")),"")</f>
        <v>92957</v>
      </c>
      <c r="BK41" s="19">
        <f>IFERROR(IF($E41="REC",INDEX(A_Type_Volume!M:M,MATCH($D41,A_Type_Volume!$A:$A,0),1),IF($E41="VAM",INDEX(C_Type_Volume!M:M,MATCH($D41,C_Type_Volume!$A:$A,0),1),"X")),"")</f>
        <v>82249</v>
      </c>
      <c r="BL41" s="38">
        <f>SUM(Table1[[#This Row],[Jan_AVF]:[Dec_AVF]])</f>
        <v>1308547</v>
      </c>
      <c r="BM41" s="16">
        <f t="shared" si="40"/>
        <v>1632.4530420159999</v>
      </c>
      <c r="BN41" s="16">
        <f t="shared" si="41"/>
        <v>2126.9727822079999</v>
      </c>
      <c r="BO41" s="16">
        <f t="shared" si="42"/>
        <v>3144.2775457279995</v>
      </c>
      <c r="BP41" s="16">
        <f t="shared" si="43"/>
        <v>2466.8720155199999</v>
      </c>
      <c r="BQ41" s="16">
        <f t="shared" si="44"/>
        <v>2473.6417758079997</v>
      </c>
      <c r="BR41" s="16">
        <f t="shared" si="45"/>
        <v>2305.7885350719998</v>
      </c>
      <c r="BS41" s="16">
        <f t="shared" si="46"/>
        <v>2651.6598832</v>
      </c>
      <c r="BT41" s="16">
        <f t="shared" si="47"/>
        <v>2075.2280887679999</v>
      </c>
      <c r="BU41" s="16">
        <f t="shared" si="48"/>
        <v>2101.3254124159998</v>
      </c>
      <c r="BV41" s="16">
        <f t="shared" si="49"/>
        <v>2201.3787880319996</v>
      </c>
      <c r="BW41" s="16">
        <f t="shared" si="50"/>
        <v>1901.1982087359997</v>
      </c>
      <c r="BX41" s="16">
        <f t="shared" si="51"/>
        <v>1682.1933955519999</v>
      </c>
      <c r="BY41" s="10">
        <f t="shared" si="17"/>
        <v>6903.7033699519998</v>
      </c>
      <c r="BZ41" s="10">
        <f t="shared" si="18"/>
        <v>7246.3023263999994</v>
      </c>
      <c r="CA41" s="10">
        <f t="shared" si="19"/>
        <v>6828.2133843840002</v>
      </c>
      <c r="CB41" s="10">
        <f t="shared" si="20"/>
        <v>5784.7703923199988</v>
      </c>
      <c r="CC41" s="10">
        <f>IFERROR(Table1[[#This Row],[Labor
Saving]]*Table1[[#This Row],[Annual Volume]],"")</f>
        <v>13677.519473056</v>
      </c>
      <c r="CD41" s="10">
        <f>IFERROR(Table1[[#This Row],[Annual Volume]]*Table1[[#This Row],[Yield
Saving]],"")</f>
        <v>0</v>
      </c>
      <c r="CE41" s="10">
        <f>IFERROR(Table1[[#This Row],[Annual Volume]]*Table1[[#This Row],[Material
Saving]],"")</f>
        <v>13085.470000000001</v>
      </c>
      <c r="CF41" s="10">
        <f>IFERROR(Table1[[#This Row],[OH
Saving]]*Table1[[#This Row],[Annual Volume]],"")</f>
        <v>0</v>
      </c>
      <c r="CG41" s="10">
        <f>SUM(Table1[[#This Row],[Labor_ASV]:[OH_ASV]])</f>
        <v>26762.989473056001</v>
      </c>
    </row>
    <row r="42" spans="1:85" x14ac:dyDescent="0.3">
      <c r="A42" t="str">
        <f>Table1[[#This Row],[Project Name]]&amp;Table1[[#This Row],[Part Number]]</f>
        <v>Diamond blade Supplier XR29</v>
      </c>
      <c r="B42" t="str">
        <f>IFERROR(Table1[[#This Row],[Project Number]]&amp;Table1[[#This Row],[Part Number]],"")</f>
        <v>AME25-035R29</v>
      </c>
      <c r="C42" s="22" t="s">
        <v>87</v>
      </c>
      <c r="D42" s="24" t="s">
        <v>267</v>
      </c>
      <c r="E42" s="25" t="s">
        <v>58</v>
      </c>
      <c r="F42" s="6">
        <f>INDEX(Proj_Reg!G:G,MATCH($C42,Proj_Reg!$B:$B,0),1)</f>
        <v>46054</v>
      </c>
      <c r="G42" s="6">
        <f>INDEX(Proj_Reg!H:H,MATCH($C42,Proj_Reg!$B:$B,0),1)</f>
        <v>46388</v>
      </c>
      <c r="H42" s="6" t="str">
        <f>IF(INDEX(Proj_Reg!C:C,MATCH($C42,Proj_Reg!$B:$B,0),1)=0,"",INDEX(Proj_Reg!C:C,MATCH($C42,Proj_Reg!$B:$B,0),1))</f>
        <v>Wafer Saw Dicing</v>
      </c>
      <c r="I42" s="6" t="str">
        <f>IF(INDEX(Proj_Reg!D:D,MATCH($C42,Proj_Reg!$B:$B,0),1)=0,"",INDEX(Proj_Reg!D:D,MATCH($C42,Proj_Reg!$B:$B,0),1))</f>
        <v>XCD</v>
      </c>
      <c r="J42" s="6" t="str">
        <f>INDEX(Proj_Reg!E:E,MATCH($C42,Proj_Reg!$B:$B,0),1)</f>
        <v>Diamond blade Supplier X</v>
      </c>
      <c r="K42" s="21">
        <v>1.0452448E-2</v>
      </c>
      <c r="L42" s="21">
        <v>0</v>
      </c>
      <c r="M42" s="21">
        <v>0.01</v>
      </c>
      <c r="N42" s="21">
        <v>0</v>
      </c>
      <c r="O42" s="11">
        <f>SUM(Table1[[#This Row],[Labor
Saving]:[OH
Saving]])</f>
        <v>2.0452447999999998E-2</v>
      </c>
      <c r="Q42" s="40">
        <f t="shared" si="21"/>
        <v>0</v>
      </c>
      <c r="R42" s="40">
        <f t="shared" si="0"/>
        <v>99723.9</v>
      </c>
      <c r="S42" s="40">
        <f t="shared" si="1"/>
        <v>475398</v>
      </c>
      <c r="T42" s="40">
        <f t="shared" si="2"/>
        <v>374653</v>
      </c>
      <c r="U42" s="40">
        <f t="shared" si="3"/>
        <v>381298</v>
      </c>
      <c r="V42" s="40">
        <f t="shared" si="4"/>
        <v>366776</v>
      </c>
      <c r="W42" s="40">
        <f t="shared" si="5"/>
        <v>421793</v>
      </c>
      <c r="X42" s="40">
        <f t="shared" si="6"/>
        <v>330099</v>
      </c>
      <c r="Y42" s="40">
        <f t="shared" si="7"/>
        <v>334251</v>
      </c>
      <c r="Z42" s="40">
        <f t="shared" si="8"/>
        <v>350167</v>
      </c>
      <c r="AA42" s="40">
        <f t="shared" si="9"/>
        <v>302417</v>
      </c>
      <c r="AB42" s="40">
        <f t="shared" si="10"/>
        <v>267581</v>
      </c>
      <c r="AC42" s="37">
        <f>SUM(Table1[[#This Row],[Jan]:[Dec]])</f>
        <v>3704156.9</v>
      </c>
      <c r="AD42" s="15">
        <f t="shared" si="22"/>
        <v>0</v>
      </c>
      <c r="AE42" s="15">
        <f t="shared" si="23"/>
        <v>2039.5978791071998</v>
      </c>
      <c r="AF42" s="15">
        <f t="shared" si="24"/>
        <v>9723.0528743039995</v>
      </c>
      <c r="AG42" s="15">
        <f t="shared" si="25"/>
        <v>7662.5710005439996</v>
      </c>
      <c r="AH42" s="15">
        <f t="shared" si="26"/>
        <v>7798.4775175039995</v>
      </c>
      <c r="AI42" s="15">
        <f t="shared" si="27"/>
        <v>7501.4670676479991</v>
      </c>
      <c r="AJ42" s="15">
        <f t="shared" si="28"/>
        <v>8626.699399264</v>
      </c>
      <c r="AK42" s="15">
        <f t="shared" si="29"/>
        <v>6751.3326323519996</v>
      </c>
      <c r="AL42" s="15">
        <f t="shared" si="30"/>
        <v>6836.2511964479991</v>
      </c>
      <c r="AM42" s="15">
        <f t="shared" si="31"/>
        <v>7161.7723588159997</v>
      </c>
      <c r="AN42" s="15">
        <f t="shared" si="32"/>
        <v>6185.1679668159995</v>
      </c>
      <c r="AO42" s="15">
        <f t="shared" si="33"/>
        <v>5472.6864882879991</v>
      </c>
      <c r="AP42" s="10">
        <f t="shared" si="34"/>
        <v>11762.650753411199</v>
      </c>
      <c r="AQ42" s="10">
        <f t="shared" si="35"/>
        <v>22962.515585695997</v>
      </c>
      <c r="AR42" s="10">
        <f t="shared" si="36"/>
        <v>22214.283228064</v>
      </c>
      <c r="AS42" s="10">
        <f t="shared" si="37"/>
        <v>18819.62681392</v>
      </c>
      <c r="AT42" s="10" t="b">
        <f t="shared" si="38"/>
        <v>1</v>
      </c>
      <c r="AU42" s="10">
        <f t="shared" si="12"/>
        <v>38717.5073810912</v>
      </c>
      <c r="AV42" s="10">
        <f t="shared" si="13"/>
        <v>0</v>
      </c>
      <c r="AW42" s="10">
        <f t="shared" si="14"/>
        <v>37041.569000000003</v>
      </c>
      <c r="AX42" s="10">
        <f t="shared" si="15"/>
        <v>0</v>
      </c>
      <c r="AY42" s="10">
        <f t="shared" si="39"/>
        <v>75759.076381091203</v>
      </c>
      <c r="AZ42" s="19">
        <f>IFERROR(IF($E42="REC",INDEX(A_Type_Volume!$B:$B,MATCH($D42,A_Type_Volume!$A:$A,0),1),IF($E42="VAM",INDEX(C_Type_Volume!$B:$B,MATCH($D42,C_Type_Volume!$A:$A,0),1),"X")),"")</f>
        <v>291978</v>
      </c>
      <c r="BA42" s="19">
        <f>IFERROR(IF($E42="REC",INDEX(A_Type_Volume!$C:$C,MATCH($D42,A_Type_Volume!$A:$A,0),1),IF($E42="VAM",INDEX(C_Type_Volume!$C:$C,MATCH($D42,C_Type_Volume!$A:$A,0),1),"X")),"")</f>
        <v>332413</v>
      </c>
      <c r="BB42" s="19">
        <f>IFERROR(IF($E42="REC",INDEX(A_Type_Volume!$D:$D,MATCH($D42,A_Type_Volume!$A:$A,0),1),IF($E42="VAM",INDEX(C_Type_Volume!$D:$D,MATCH($D42,C_Type_Volume!$A:$A,0),1),"X")),"")</f>
        <v>475398</v>
      </c>
      <c r="BC42" s="19">
        <f>IFERROR(IF($E42="REC",INDEX(A_Type_Volume!$E:$E,MATCH($D42,A_Type_Volume!$A:$A,0),1),IF($E42="VAM",INDEX(C_Type_Volume!$E:$E,MATCH($D42,C_Type_Volume!$A:$A,0),1),"X")),"")</f>
        <v>374653</v>
      </c>
      <c r="BD42" s="19">
        <f>IFERROR(IF($E42="REC",INDEX(A_Type_Volume!$F:$F,MATCH($D42,A_Type_Volume!$A:$A,0),1),IF($E42="VAM",INDEX(C_Type_Volume!$F:$F,MATCH($D42,C_Type_Volume!$A:$A,0),1),"X")),"")</f>
        <v>381298</v>
      </c>
      <c r="BE42" s="19">
        <f>IFERROR(IF($E42="REC",INDEX(A_Type_Volume!$G:$G,MATCH($D42,A_Type_Volume!$A:$A,0),1),IF($E42="VAM",INDEX(C_Type_Volume!$G:$G,MATCH($D42,C_Type_Volume!$A:$A,0),1),"X")),"")</f>
        <v>366776</v>
      </c>
      <c r="BF42" s="19">
        <f>IFERROR(IF($E42="REC",INDEX(A_Type_Volume!$H:$H,MATCH($D42,A_Type_Volume!$A:$A,0),1),IF($E42="VAM",INDEX(C_Type_Volume!$H:$H,MATCH($D42,C_Type_Volume!$A:$A,0),1),"X")),"")</f>
        <v>421793</v>
      </c>
      <c r="BG42" s="19">
        <f>IFERROR(IF($E42="REC",INDEX(A_Type_Volume!$I:$I,MATCH($D42,A_Type_Volume!$A:$A,0),1),IF($E42="VAM",INDEX(C_Type_Volume!$I:$I,MATCH($D42,C_Type_Volume!$A:$A,0),1),"X")),"")</f>
        <v>330099</v>
      </c>
      <c r="BH42" s="19">
        <f>IFERROR(IF($E42="REC",INDEX(A_Type_Volume!$J:$J,MATCH($D42,A_Type_Volume!$A:$A,0),1),IF($E42="VAM",INDEX(C_Type_Volume!$J:$J,MATCH($D42,C_Type_Volume!$A:$A,0),1),"X")),"")</f>
        <v>334251</v>
      </c>
      <c r="BI42" s="19">
        <f>IFERROR(IF($E42="REC",INDEX(A_Type_Volume!$K:$K,MATCH($D42,A_Type_Volume!$A:$A,0),1),IF($E42="VAM",INDEX(C_Type_Volume!$K:$K,MATCH($D42,C_Type_Volume!$A:$A,0),1),"X")),"")</f>
        <v>350167</v>
      </c>
      <c r="BJ42" s="19">
        <f>IFERROR(IF($E42="REC",INDEX(A_Type_Volume!$L:$L,MATCH($D42,A_Type_Volume!$A:$A,0),1),IF($E42="VAM",INDEX(C_Type_Volume!$L:$L,MATCH($D42,C_Type_Volume!$A:$A,0),1),"X")),"")</f>
        <v>302417</v>
      </c>
      <c r="BK42" s="19">
        <f>IFERROR(IF($E42="REC",INDEX(A_Type_Volume!M:M,MATCH($D42,A_Type_Volume!$A:$A,0),1),IF($E42="VAM",INDEX(C_Type_Volume!M:M,MATCH($D42,C_Type_Volume!$A:$A,0),1),"X")),"")</f>
        <v>267581</v>
      </c>
      <c r="BL42" s="38">
        <f>SUM(Table1[[#This Row],[Jan_AVF]:[Dec_AVF]])</f>
        <v>4228824</v>
      </c>
      <c r="BM42" s="16">
        <f t="shared" si="40"/>
        <v>5971.664862143999</v>
      </c>
      <c r="BN42" s="16">
        <f t="shared" si="41"/>
        <v>6798.6595970239996</v>
      </c>
      <c r="BO42" s="16">
        <f t="shared" si="42"/>
        <v>9723.0528743039995</v>
      </c>
      <c r="BP42" s="16">
        <f t="shared" si="43"/>
        <v>7662.5710005439996</v>
      </c>
      <c r="BQ42" s="16">
        <f t="shared" si="44"/>
        <v>7798.4775175039995</v>
      </c>
      <c r="BR42" s="16">
        <f t="shared" si="45"/>
        <v>7501.4670676479991</v>
      </c>
      <c r="BS42" s="16">
        <f t="shared" si="46"/>
        <v>8626.699399264</v>
      </c>
      <c r="BT42" s="16">
        <f t="shared" si="47"/>
        <v>6751.3326323519996</v>
      </c>
      <c r="BU42" s="16">
        <f t="shared" si="48"/>
        <v>6836.2511964479991</v>
      </c>
      <c r="BV42" s="16">
        <f t="shared" si="49"/>
        <v>7161.7723588159997</v>
      </c>
      <c r="BW42" s="16">
        <f t="shared" si="50"/>
        <v>6185.1679668159995</v>
      </c>
      <c r="BX42" s="16">
        <f t="shared" si="51"/>
        <v>5472.6864882879991</v>
      </c>
      <c r="BY42" s="10">
        <f t="shared" si="17"/>
        <v>22493.377333471995</v>
      </c>
      <c r="BZ42" s="10">
        <f t="shared" si="18"/>
        <v>22962.515585695997</v>
      </c>
      <c r="CA42" s="10">
        <f t="shared" si="19"/>
        <v>22214.283228064</v>
      </c>
      <c r="CB42" s="10">
        <f t="shared" si="20"/>
        <v>18819.62681392</v>
      </c>
      <c r="CC42" s="10">
        <f>IFERROR(Table1[[#This Row],[Labor
Saving]]*Table1[[#This Row],[Annual Volume]],"")</f>
        <v>44201.562961151998</v>
      </c>
      <c r="CD42" s="10">
        <f>IFERROR(Table1[[#This Row],[Annual Volume]]*Table1[[#This Row],[Yield
Saving]],"")</f>
        <v>0</v>
      </c>
      <c r="CE42" s="10">
        <f>IFERROR(Table1[[#This Row],[Annual Volume]]*Table1[[#This Row],[Material
Saving]],"")</f>
        <v>42288.24</v>
      </c>
      <c r="CF42" s="10">
        <f>IFERROR(Table1[[#This Row],[OH
Saving]]*Table1[[#This Row],[Annual Volume]],"")</f>
        <v>0</v>
      </c>
      <c r="CG42" s="10">
        <f>SUM(Table1[[#This Row],[Labor_ASV]:[OH_ASV]])</f>
        <v>86489.802961151989</v>
      </c>
    </row>
    <row r="43" spans="1:85" x14ac:dyDescent="0.3">
      <c r="A43" t="str">
        <f>Table1[[#This Row],[Project Name]]&amp;Table1[[#This Row],[Part Number]]</f>
        <v>Diamond blade Supplier XR28</v>
      </c>
      <c r="B43" t="str">
        <f>IFERROR(Table1[[#This Row],[Project Number]]&amp;Table1[[#This Row],[Part Number]],"")</f>
        <v>AME25-035R28</v>
      </c>
      <c r="C43" s="22" t="s">
        <v>87</v>
      </c>
      <c r="D43" s="24" t="s">
        <v>266</v>
      </c>
      <c r="E43" s="25" t="s">
        <v>58</v>
      </c>
      <c r="F43" s="6">
        <f>INDEX(Proj_Reg!G:G,MATCH($C43,Proj_Reg!$B:$B,0),1)</f>
        <v>46054</v>
      </c>
      <c r="G43" s="6">
        <f>INDEX(Proj_Reg!H:H,MATCH($C43,Proj_Reg!$B:$B,0),1)</f>
        <v>46388</v>
      </c>
      <c r="H43" s="6" t="str">
        <f>IF(INDEX(Proj_Reg!C:C,MATCH($C43,Proj_Reg!$B:$B,0),1)=0,"",INDEX(Proj_Reg!C:C,MATCH($C43,Proj_Reg!$B:$B,0),1))</f>
        <v>Wafer Saw Dicing</v>
      </c>
      <c r="I43" s="6" t="str">
        <f>IF(INDEX(Proj_Reg!D:D,MATCH($C43,Proj_Reg!$B:$B,0),1)=0,"",INDEX(Proj_Reg!D:D,MATCH($C43,Proj_Reg!$B:$B,0),1))</f>
        <v>XCD</v>
      </c>
      <c r="J43" s="6" t="str">
        <f>INDEX(Proj_Reg!E:E,MATCH($C43,Proj_Reg!$B:$B,0),1)</f>
        <v>Diamond blade Supplier X</v>
      </c>
      <c r="K43" s="21">
        <v>1.0452448E-2</v>
      </c>
      <c r="L43" s="21">
        <v>0</v>
      </c>
      <c r="M43" s="21">
        <v>0.01</v>
      </c>
      <c r="N43" s="21">
        <v>0</v>
      </c>
      <c r="O43" s="11">
        <f>SUM(Table1[[#This Row],[Labor
Saving]:[OH
Saving]])</f>
        <v>2.0452447999999998E-2</v>
      </c>
      <c r="Q43" s="40">
        <f t="shared" si="21"/>
        <v>0</v>
      </c>
      <c r="R43" s="40">
        <f t="shared" si="0"/>
        <v>99638.099999999991</v>
      </c>
      <c r="S43" s="40">
        <f t="shared" si="1"/>
        <v>484943</v>
      </c>
      <c r="T43" s="40">
        <f t="shared" si="2"/>
        <v>376646</v>
      </c>
      <c r="U43" s="40">
        <f t="shared" si="3"/>
        <v>394596</v>
      </c>
      <c r="V43" s="40">
        <f t="shared" si="4"/>
        <v>362701</v>
      </c>
      <c r="W43" s="40">
        <f t="shared" si="5"/>
        <v>417106</v>
      </c>
      <c r="X43" s="40">
        <f t="shared" si="6"/>
        <v>326431</v>
      </c>
      <c r="Y43" s="40">
        <f t="shared" si="7"/>
        <v>330537</v>
      </c>
      <c r="Z43" s="40">
        <f t="shared" si="8"/>
        <v>346277</v>
      </c>
      <c r="AA43" s="40">
        <f t="shared" si="9"/>
        <v>299057</v>
      </c>
      <c r="AB43" s="40">
        <f t="shared" si="10"/>
        <v>264608</v>
      </c>
      <c r="AC43" s="37">
        <f>SUM(Table1[[#This Row],[Jan]:[Dec]])</f>
        <v>3702540.1</v>
      </c>
      <c r="AD43" s="15">
        <f t="shared" si="22"/>
        <v>0</v>
      </c>
      <c r="AE43" s="15">
        <f t="shared" si="23"/>
        <v>2037.8430590687997</v>
      </c>
      <c r="AF43" s="15">
        <f t="shared" si="24"/>
        <v>9918.2714904639997</v>
      </c>
      <c r="AG43" s="15">
        <f t="shared" si="25"/>
        <v>7703.3327294079991</v>
      </c>
      <c r="AH43" s="15">
        <f t="shared" si="26"/>
        <v>8070.4541710079993</v>
      </c>
      <c r="AI43" s="15">
        <f t="shared" si="27"/>
        <v>7418.1233420479994</v>
      </c>
      <c r="AJ43" s="15">
        <f t="shared" si="28"/>
        <v>8530.8387754879986</v>
      </c>
      <c r="AK43" s="15">
        <f t="shared" si="29"/>
        <v>6676.3130530879989</v>
      </c>
      <c r="AL43" s="15">
        <f t="shared" si="30"/>
        <v>6760.2908045759996</v>
      </c>
      <c r="AM43" s="15">
        <f t="shared" si="31"/>
        <v>7082.2123360959995</v>
      </c>
      <c r="AN43" s="15">
        <f t="shared" si="32"/>
        <v>6116.4477415359997</v>
      </c>
      <c r="AO43" s="15">
        <f t="shared" si="33"/>
        <v>5411.8813603839999</v>
      </c>
      <c r="AP43" s="10">
        <f t="shared" si="34"/>
        <v>11956.1145495328</v>
      </c>
      <c r="AQ43" s="10">
        <f t="shared" si="35"/>
        <v>23191.910242463997</v>
      </c>
      <c r="AR43" s="10">
        <f t="shared" si="36"/>
        <v>21967.442633151997</v>
      </c>
      <c r="AS43" s="10">
        <f t="shared" si="37"/>
        <v>18610.541438016</v>
      </c>
      <c r="AT43" s="10" t="b">
        <f t="shared" si="38"/>
        <v>1</v>
      </c>
      <c r="AU43" s="10">
        <f t="shared" si="12"/>
        <v>38700.607863164798</v>
      </c>
      <c r="AV43" s="10">
        <f t="shared" si="13"/>
        <v>0</v>
      </c>
      <c r="AW43" s="10">
        <f t="shared" si="14"/>
        <v>37025.401000000005</v>
      </c>
      <c r="AX43" s="10">
        <f t="shared" si="15"/>
        <v>0</v>
      </c>
      <c r="AY43" s="10">
        <f t="shared" si="39"/>
        <v>75726.00886316481</v>
      </c>
      <c r="AZ43" s="19">
        <f>IFERROR(IF($E43="REC",INDEX(A_Type_Volume!$B:$B,MATCH($D43,A_Type_Volume!$A:$A,0),1),IF($E43="VAM",INDEX(C_Type_Volume!$B:$B,MATCH($D43,C_Type_Volume!$A:$A,0),1),"X")),"")</f>
        <v>306959</v>
      </c>
      <c r="BA43" s="19">
        <f>IFERROR(IF($E43="REC",INDEX(A_Type_Volume!$C:$C,MATCH($D43,A_Type_Volume!$A:$A,0),1),IF($E43="VAM",INDEX(C_Type_Volume!$C:$C,MATCH($D43,C_Type_Volume!$A:$A,0),1),"X")),"")</f>
        <v>332127</v>
      </c>
      <c r="BB43" s="19">
        <f>IFERROR(IF($E43="REC",INDEX(A_Type_Volume!$D:$D,MATCH($D43,A_Type_Volume!$A:$A,0),1),IF($E43="VAM",INDEX(C_Type_Volume!$D:$D,MATCH($D43,C_Type_Volume!$A:$A,0),1),"X")),"")</f>
        <v>484943</v>
      </c>
      <c r="BC43" s="19">
        <f>IFERROR(IF($E43="REC",INDEX(A_Type_Volume!$E:$E,MATCH($D43,A_Type_Volume!$A:$A,0),1),IF($E43="VAM",INDEX(C_Type_Volume!$E:$E,MATCH($D43,C_Type_Volume!$A:$A,0),1),"X")),"")</f>
        <v>376646</v>
      </c>
      <c r="BD43" s="19">
        <f>IFERROR(IF($E43="REC",INDEX(A_Type_Volume!$F:$F,MATCH($D43,A_Type_Volume!$A:$A,0),1),IF($E43="VAM",INDEX(C_Type_Volume!$F:$F,MATCH($D43,C_Type_Volume!$A:$A,0),1),"X")),"")</f>
        <v>394596</v>
      </c>
      <c r="BE43" s="19">
        <f>IFERROR(IF($E43="REC",INDEX(A_Type_Volume!$G:$G,MATCH($D43,A_Type_Volume!$A:$A,0),1),IF($E43="VAM",INDEX(C_Type_Volume!$G:$G,MATCH($D43,C_Type_Volume!$A:$A,0),1),"X")),"")</f>
        <v>362701</v>
      </c>
      <c r="BF43" s="19">
        <f>IFERROR(IF($E43="REC",INDEX(A_Type_Volume!$H:$H,MATCH($D43,A_Type_Volume!$A:$A,0),1),IF($E43="VAM",INDEX(C_Type_Volume!$H:$H,MATCH($D43,C_Type_Volume!$A:$A,0),1),"X")),"")</f>
        <v>417106</v>
      </c>
      <c r="BG43" s="19">
        <f>IFERROR(IF($E43="REC",INDEX(A_Type_Volume!$I:$I,MATCH($D43,A_Type_Volume!$A:$A,0),1),IF($E43="VAM",INDEX(C_Type_Volume!$I:$I,MATCH($D43,C_Type_Volume!$A:$A,0),1),"X")),"")</f>
        <v>326431</v>
      </c>
      <c r="BH43" s="19">
        <f>IFERROR(IF($E43="REC",INDEX(A_Type_Volume!$J:$J,MATCH($D43,A_Type_Volume!$A:$A,0),1),IF($E43="VAM",INDEX(C_Type_Volume!$J:$J,MATCH($D43,C_Type_Volume!$A:$A,0),1),"X")),"")</f>
        <v>330537</v>
      </c>
      <c r="BI43" s="19">
        <f>IFERROR(IF($E43="REC",INDEX(A_Type_Volume!$K:$K,MATCH($D43,A_Type_Volume!$A:$A,0),1),IF($E43="VAM",INDEX(C_Type_Volume!$K:$K,MATCH($D43,C_Type_Volume!$A:$A,0),1),"X")),"")</f>
        <v>346277</v>
      </c>
      <c r="BJ43" s="19">
        <f>IFERROR(IF($E43="REC",INDEX(A_Type_Volume!$L:$L,MATCH($D43,A_Type_Volume!$A:$A,0),1),IF($E43="VAM",INDEX(C_Type_Volume!$L:$L,MATCH($D43,C_Type_Volume!$A:$A,0),1),"X")),"")</f>
        <v>299057</v>
      </c>
      <c r="BK43" s="19">
        <f>IFERROR(IF($E43="REC",INDEX(A_Type_Volume!M:M,MATCH($D43,A_Type_Volume!$A:$A,0),1),IF($E43="VAM",INDEX(C_Type_Volume!M:M,MATCH($D43,C_Type_Volume!$A:$A,0),1),"X")),"")</f>
        <v>264608</v>
      </c>
      <c r="BL43" s="38">
        <f>SUM(Table1[[#This Row],[Jan_AVF]:[Dec_AVF]])</f>
        <v>4241988</v>
      </c>
      <c r="BM43" s="16">
        <f t="shared" si="40"/>
        <v>6278.0629856319993</v>
      </c>
      <c r="BN43" s="16">
        <f t="shared" si="41"/>
        <v>6792.8101968959991</v>
      </c>
      <c r="BO43" s="16">
        <f t="shared" si="42"/>
        <v>9918.2714904639997</v>
      </c>
      <c r="BP43" s="16">
        <f t="shared" si="43"/>
        <v>7703.3327294079991</v>
      </c>
      <c r="BQ43" s="16">
        <f t="shared" si="44"/>
        <v>8070.4541710079993</v>
      </c>
      <c r="BR43" s="16">
        <f t="shared" si="45"/>
        <v>7418.1233420479994</v>
      </c>
      <c r="BS43" s="16">
        <f t="shared" si="46"/>
        <v>8530.8387754879986</v>
      </c>
      <c r="BT43" s="16">
        <f t="shared" si="47"/>
        <v>6676.3130530879989</v>
      </c>
      <c r="BU43" s="16">
        <f t="shared" si="48"/>
        <v>6760.2908045759996</v>
      </c>
      <c r="BV43" s="16">
        <f t="shared" si="49"/>
        <v>7082.2123360959995</v>
      </c>
      <c r="BW43" s="16">
        <f t="shared" si="50"/>
        <v>6116.4477415359997</v>
      </c>
      <c r="BX43" s="16">
        <f t="shared" si="51"/>
        <v>5411.8813603839999</v>
      </c>
      <c r="BY43" s="10">
        <f t="shared" si="17"/>
        <v>22989.144672991999</v>
      </c>
      <c r="BZ43" s="10">
        <f t="shared" si="18"/>
        <v>23191.910242463997</v>
      </c>
      <c r="CA43" s="10">
        <f t="shared" si="19"/>
        <v>21967.442633151997</v>
      </c>
      <c r="CB43" s="10">
        <f t="shared" si="20"/>
        <v>18610.541438016</v>
      </c>
      <c r="CC43" s="10">
        <f>IFERROR(Table1[[#This Row],[Labor
Saving]]*Table1[[#This Row],[Annual Volume]],"")</f>
        <v>44339.158986623996</v>
      </c>
      <c r="CD43" s="10">
        <f>IFERROR(Table1[[#This Row],[Annual Volume]]*Table1[[#This Row],[Yield
Saving]],"")</f>
        <v>0</v>
      </c>
      <c r="CE43" s="10">
        <f>IFERROR(Table1[[#This Row],[Annual Volume]]*Table1[[#This Row],[Material
Saving]],"")</f>
        <v>42419.88</v>
      </c>
      <c r="CF43" s="10">
        <f>IFERROR(Table1[[#This Row],[OH
Saving]]*Table1[[#This Row],[Annual Volume]],"")</f>
        <v>0</v>
      </c>
      <c r="CG43" s="10">
        <f>SUM(Table1[[#This Row],[Labor_ASV]:[OH_ASV]])</f>
        <v>86759.038986623986</v>
      </c>
    </row>
    <row r="44" spans="1:85" x14ac:dyDescent="0.3">
      <c r="A44" t="str">
        <f>Table1[[#This Row],[Project Name]]&amp;Table1[[#This Row],[Part Number]]</f>
        <v>Diamond blade Supplier XR31</v>
      </c>
      <c r="B44" t="str">
        <f>IFERROR(Table1[[#This Row],[Project Number]]&amp;Table1[[#This Row],[Part Number]],"")</f>
        <v>AME25-035R31</v>
      </c>
      <c r="C44" s="22" t="s">
        <v>87</v>
      </c>
      <c r="D44" s="24" t="s">
        <v>269</v>
      </c>
      <c r="E44" s="25" t="s">
        <v>58</v>
      </c>
      <c r="F44" s="6">
        <f>INDEX(Proj_Reg!G:G,MATCH($C44,Proj_Reg!$B:$B,0),1)</f>
        <v>46054</v>
      </c>
      <c r="G44" s="6">
        <f>INDEX(Proj_Reg!H:H,MATCH($C44,Proj_Reg!$B:$B,0),1)</f>
        <v>46388</v>
      </c>
      <c r="H44" s="6" t="str">
        <f>IF(INDEX(Proj_Reg!C:C,MATCH($C44,Proj_Reg!$B:$B,0),1)=0,"",INDEX(Proj_Reg!C:C,MATCH($C44,Proj_Reg!$B:$B,0),1))</f>
        <v>Wafer Saw Dicing</v>
      </c>
      <c r="I44" s="6" t="str">
        <f>IF(INDEX(Proj_Reg!D:D,MATCH($C44,Proj_Reg!$B:$B,0),1)=0,"",INDEX(Proj_Reg!D:D,MATCH($C44,Proj_Reg!$B:$B,0),1))</f>
        <v>XCD</v>
      </c>
      <c r="J44" s="6" t="str">
        <f>INDEX(Proj_Reg!E:E,MATCH($C44,Proj_Reg!$B:$B,0),1)</f>
        <v>Diamond blade Supplier X</v>
      </c>
      <c r="K44" s="21">
        <v>1.0452448E-2</v>
      </c>
      <c r="L44" s="21">
        <v>0</v>
      </c>
      <c r="M44" s="21">
        <v>0.01</v>
      </c>
      <c r="N44" s="21">
        <v>0</v>
      </c>
      <c r="O44" s="11">
        <f>SUM(Table1[[#This Row],[Labor
Saving]:[OH
Saving]])</f>
        <v>2.0452447999999998E-2</v>
      </c>
      <c r="Q44" s="40">
        <f t="shared" si="21"/>
        <v>0</v>
      </c>
      <c r="R44" s="40">
        <f t="shared" si="0"/>
        <v>39668.1</v>
      </c>
      <c r="S44" s="40">
        <f t="shared" si="1"/>
        <v>197167</v>
      </c>
      <c r="T44" s="40">
        <f t="shared" si="2"/>
        <v>153223</v>
      </c>
      <c r="U44" s="40">
        <f t="shared" si="3"/>
        <v>149099</v>
      </c>
      <c r="V44" s="40">
        <f t="shared" si="4"/>
        <v>147330</v>
      </c>
      <c r="W44" s="40">
        <f t="shared" si="5"/>
        <v>169429</v>
      </c>
      <c r="X44" s="40">
        <f t="shared" si="6"/>
        <v>132597</v>
      </c>
      <c r="Y44" s="40">
        <f t="shared" si="7"/>
        <v>134265</v>
      </c>
      <c r="Z44" s="40">
        <f t="shared" si="8"/>
        <v>140658</v>
      </c>
      <c r="AA44" s="40">
        <f t="shared" si="9"/>
        <v>121478</v>
      </c>
      <c r="AB44" s="40">
        <f t="shared" si="10"/>
        <v>107484</v>
      </c>
      <c r="AC44" s="37">
        <f>SUM(Table1[[#This Row],[Jan]:[Dec]])</f>
        <v>1492398.1</v>
      </c>
      <c r="AD44" s="15">
        <f t="shared" si="22"/>
        <v>0</v>
      </c>
      <c r="AE44" s="15">
        <f t="shared" si="23"/>
        <v>811.30975250879987</v>
      </c>
      <c r="AF44" s="15">
        <f t="shared" si="24"/>
        <v>4032.5478148159996</v>
      </c>
      <c r="AG44" s="15">
        <f t="shared" si="25"/>
        <v>3133.7854399039998</v>
      </c>
      <c r="AH44" s="15">
        <f t="shared" si="26"/>
        <v>3049.4395443519998</v>
      </c>
      <c r="AI44" s="15">
        <f t="shared" si="27"/>
        <v>3013.2591638399999</v>
      </c>
      <c r="AJ44" s="15">
        <f t="shared" si="28"/>
        <v>3465.2378121919996</v>
      </c>
      <c r="AK44" s="15">
        <f t="shared" si="29"/>
        <v>2711.9332474559997</v>
      </c>
      <c r="AL44" s="15">
        <f t="shared" si="30"/>
        <v>2746.0479307199998</v>
      </c>
      <c r="AM44" s="15">
        <f t="shared" si="31"/>
        <v>2876.8004307839997</v>
      </c>
      <c r="AN44" s="15">
        <f t="shared" si="32"/>
        <v>2484.5224781439997</v>
      </c>
      <c r="AO44" s="15">
        <f t="shared" si="33"/>
        <v>2198.3109208319997</v>
      </c>
      <c r="AP44" s="10">
        <f t="shared" si="34"/>
        <v>4843.8575673247997</v>
      </c>
      <c r="AQ44" s="10">
        <f t="shared" si="35"/>
        <v>9196.4841480959985</v>
      </c>
      <c r="AR44" s="10">
        <f t="shared" si="36"/>
        <v>8923.2189903679991</v>
      </c>
      <c r="AS44" s="10">
        <f t="shared" si="37"/>
        <v>7559.6338297599996</v>
      </c>
      <c r="AT44" s="10" t="b">
        <f t="shared" si="38"/>
        <v>1</v>
      </c>
      <c r="AU44" s="10">
        <f t="shared" si="12"/>
        <v>15599.213535548801</v>
      </c>
      <c r="AV44" s="10">
        <f t="shared" si="13"/>
        <v>0</v>
      </c>
      <c r="AW44" s="10">
        <f t="shared" si="14"/>
        <v>14923.981000000002</v>
      </c>
      <c r="AX44" s="10">
        <f t="shared" si="15"/>
        <v>0</v>
      </c>
      <c r="AY44" s="10">
        <f t="shared" si="39"/>
        <v>30523.194535548802</v>
      </c>
      <c r="AZ44" s="19">
        <f>IFERROR(IF($E44="REC",INDEX(A_Type_Volume!$B:$B,MATCH($D44,A_Type_Volume!$A:$A,0),1),IF($E44="VAM",INDEX(C_Type_Volume!$B:$B,MATCH($D44,C_Type_Volume!$A:$A,0),1),"X")),"")</f>
        <v>124961</v>
      </c>
      <c r="BA44" s="19">
        <f>IFERROR(IF($E44="REC",INDEX(A_Type_Volume!$C:$C,MATCH($D44,A_Type_Volume!$A:$A,0),1),IF($E44="VAM",INDEX(C_Type_Volume!$C:$C,MATCH($D44,C_Type_Volume!$A:$A,0),1),"X")),"")</f>
        <v>132227</v>
      </c>
      <c r="BB44" s="19">
        <f>IFERROR(IF($E44="REC",INDEX(A_Type_Volume!$D:$D,MATCH($D44,A_Type_Volume!$A:$A,0),1),IF($E44="VAM",INDEX(C_Type_Volume!$D:$D,MATCH($D44,C_Type_Volume!$A:$A,0),1),"X")),"")</f>
        <v>197167</v>
      </c>
      <c r="BC44" s="19">
        <f>IFERROR(IF($E44="REC",INDEX(A_Type_Volume!$E:$E,MATCH($D44,A_Type_Volume!$A:$A,0),1),IF($E44="VAM",INDEX(C_Type_Volume!$E:$E,MATCH($D44,C_Type_Volume!$A:$A,0),1),"X")),"")</f>
        <v>153223</v>
      </c>
      <c r="BD44" s="19">
        <f>IFERROR(IF($E44="REC",INDEX(A_Type_Volume!$F:$F,MATCH($D44,A_Type_Volume!$A:$A,0),1),IF($E44="VAM",INDEX(C_Type_Volume!$F:$F,MATCH($D44,C_Type_Volume!$A:$A,0),1),"X")),"")</f>
        <v>149099</v>
      </c>
      <c r="BE44" s="19">
        <f>IFERROR(IF($E44="REC",INDEX(A_Type_Volume!$G:$G,MATCH($D44,A_Type_Volume!$A:$A,0),1),IF($E44="VAM",INDEX(C_Type_Volume!$G:$G,MATCH($D44,C_Type_Volume!$A:$A,0),1),"X")),"")</f>
        <v>147330</v>
      </c>
      <c r="BF44" s="19">
        <f>IFERROR(IF($E44="REC",INDEX(A_Type_Volume!$H:$H,MATCH($D44,A_Type_Volume!$A:$A,0),1),IF($E44="VAM",INDEX(C_Type_Volume!$H:$H,MATCH($D44,C_Type_Volume!$A:$A,0),1),"X")),"")</f>
        <v>169429</v>
      </c>
      <c r="BG44" s="19">
        <f>IFERROR(IF($E44="REC",INDEX(A_Type_Volume!$I:$I,MATCH($D44,A_Type_Volume!$A:$A,0),1),IF($E44="VAM",INDEX(C_Type_Volume!$I:$I,MATCH($D44,C_Type_Volume!$A:$A,0),1),"X")),"")</f>
        <v>132597</v>
      </c>
      <c r="BH44" s="19">
        <f>IFERROR(IF($E44="REC",INDEX(A_Type_Volume!$J:$J,MATCH($D44,A_Type_Volume!$A:$A,0),1),IF($E44="VAM",INDEX(C_Type_Volume!$J:$J,MATCH($D44,C_Type_Volume!$A:$A,0),1),"X")),"")</f>
        <v>134265</v>
      </c>
      <c r="BI44" s="19">
        <f>IFERROR(IF($E44="REC",INDEX(A_Type_Volume!$K:$K,MATCH($D44,A_Type_Volume!$A:$A,0),1),IF($E44="VAM",INDEX(C_Type_Volume!$K:$K,MATCH($D44,C_Type_Volume!$A:$A,0),1),"X")),"")</f>
        <v>140658</v>
      </c>
      <c r="BJ44" s="19">
        <f>IFERROR(IF($E44="REC",INDEX(A_Type_Volume!$L:$L,MATCH($D44,A_Type_Volume!$A:$A,0),1),IF($E44="VAM",INDEX(C_Type_Volume!$L:$L,MATCH($D44,C_Type_Volume!$A:$A,0),1),"X")),"")</f>
        <v>121478</v>
      </c>
      <c r="BK44" s="19">
        <f>IFERROR(IF($E44="REC",INDEX(A_Type_Volume!M:M,MATCH($D44,A_Type_Volume!$A:$A,0),1),IF($E44="VAM",INDEX(C_Type_Volume!M:M,MATCH($D44,C_Type_Volume!$A:$A,0),1),"X")),"")</f>
        <v>107484</v>
      </c>
      <c r="BL44" s="38">
        <f>SUM(Table1[[#This Row],[Jan_AVF]:[Dec_AVF]])</f>
        <v>1709918</v>
      </c>
      <c r="BM44" s="16">
        <f t="shared" si="40"/>
        <v>2555.7583545279999</v>
      </c>
      <c r="BN44" s="16">
        <f t="shared" si="41"/>
        <v>2704.3658416959997</v>
      </c>
      <c r="BO44" s="16">
        <f t="shared" si="42"/>
        <v>4032.5478148159996</v>
      </c>
      <c r="BP44" s="16">
        <f t="shared" si="43"/>
        <v>3133.7854399039998</v>
      </c>
      <c r="BQ44" s="16">
        <f t="shared" si="44"/>
        <v>3049.4395443519998</v>
      </c>
      <c r="BR44" s="16">
        <f t="shared" si="45"/>
        <v>3013.2591638399999</v>
      </c>
      <c r="BS44" s="16">
        <f t="shared" si="46"/>
        <v>3465.2378121919996</v>
      </c>
      <c r="BT44" s="16">
        <f t="shared" si="47"/>
        <v>2711.9332474559997</v>
      </c>
      <c r="BU44" s="16">
        <f t="shared" si="48"/>
        <v>2746.0479307199998</v>
      </c>
      <c r="BV44" s="16">
        <f t="shared" si="49"/>
        <v>2876.8004307839997</v>
      </c>
      <c r="BW44" s="16">
        <f t="shared" si="50"/>
        <v>2484.5224781439997</v>
      </c>
      <c r="BX44" s="16">
        <f t="shared" si="51"/>
        <v>2198.3109208319997</v>
      </c>
      <c r="BY44" s="10">
        <f t="shared" si="17"/>
        <v>9292.6720110400001</v>
      </c>
      <c r="BZ44" s="10">
        <f t="shared" si="18"/>
        <v>9196.4841480959985</v>
      </c>
      <c r="CA44" s="10">
        <f t="shared" si="19"/>
        <v>8923.2189903679991</v>
      </c>
      <c r="CB44" s="10">
        <f t="shared" si="20"/>
        <v>7559.6338297599996</v>
      </c>
      <c r="CC44" s="10">
        <f>IFERROR(Table1[[#This Row],[Labor
Saving]]*Table1[[#This Row],[Annual Volume]],"")</f>
        <v>17872.828979263999</v>
      </c>
      <c r="CD44" s="10">
        <f>IFERROR(Table1[[#This Row],[Annual Volume]]*Table1[[#This Row],[Yield
Saving]],"")</f>
        <v>0</v>
      </c>
      <c r="CE44" s="10">
        <f>IFERROR(Table1[[#This Row],[Annual Volume]]*Table1[[#This Row],[Material
Saving]],"")</f>
        <v>17099.18</v>
      </c>
      <c r="CF44" s="10">
        <f>IFERROR(Table1[[#This Row],[OH
Saving]]*Table1[[#This Row],[Annual Volume]],"")</f>
        <v>0</v>
      </c>
      <c r="CG44" s="10">
        <f>SUM(Table1[[#This Row],[Labor_ASV]:[OH_ASV]])</f>
        <v>34972.008979263999</v>
      </c>
    </row>
    <row r="45" spans="1:85" x14ac:dyDescent="0.3">
      <c r="A45" t="str">
        <f>Table1[[#This Row],[Project Name]]&amp;Table1[[#This Row],[Part Number]]</f>
        <v>Diamond blade Supplier XR30</v>
      </c>
      <c r="B45" t="str">
        <f>IFERROR(Table1[[#This Row],[Project Number]]&amp;Table1[[#This Row],[Part Number]],"")</f>
        <v>AME25-035R30</v>
      </c>
      <c r="C45" s="22" t="s">
        <v>87</v>
      </c>
      <c r="D45" s="24" t="s">
        <v>268</v>
      </c>
      <c r="E45" s="25" t="s">
        <v>58</v>
      </c>
      <c r="F45" s="6">
        <f>INDEX(Proj_Reg!G:G,MATCH($C45,Proj_Reg!$B:$B,0),1)</f>
        <v>46054</v>
      </c>
      <c r="G45" s="6">
        <f>INDEX(Proj_Reg!H:H,MATCH($C45,Proj_Reg!$B:$B,0),1)</f>
        <v>46388</v>
      </c>
      <c r="H45" s="6" t="str">
        <f>IF(INDEX(Proj_Reg!C:C,MATCH($C45,Proj_Reg!$B:$B,0),1)=0,"",INDEX(Proj_Reg!C:C,MATCH($C45,Proj_Reg!$B:$B,0),1))</f>
        <v>Wafer Saw Dicing</v>
      </c>
      <c r="I45" s="6" t="str">
        <f>IF(INDEX(Proj_Reg!D:D,MATCH($C45,Proj_Reg!$B:$B,0),1)=0,"",INDEX(Proj_Reg!D:D,MATCH($C45,Proj_Reg!$B:$B,0),1))</f>
        <v>XCD</v>
      </c>
      <c r="J45" s="6" t="str">
        <f>INDEX(Proj_Reg!E:E,MATCH($C45,Proj_Reg!$B:$B,0),1)</f>
        <v>Diamond blade Supplier X</v>
      </c>
      <c r="K45" s="21">
        <v>1.0452448E-2</v>
      </c>
      <c r="L45" s="21">
        <v>0</v>
      </c>
      <c r="M45" s="21">
        <v>0.01</v>
      </c>
      <c r="N45" s="21">
        <v>0</v>
      </c>
      <c r="O45" s="11">
        <f>SUM(Table1[[#This Row],[Labor
Saving]:[OH
Saving]])</f>
        <v>2.0452447999999998E-2</v>
      </c>
      <c r="Q45" s="40">
        <f t="shared" si="21"/>
        <v>0</v>
      </c>
      <c r="R45" s="40">
        <f t="shared" si="0"/>
        <v>41674.799999999996</v>
      </c>
      <c r="S45" s="40">
        <f t="shared" si="1"/>
        <v>199406</v>
      </c>
      <c r="T45" s="40">
        <f t="shared" si="2"/>
        <v>156971</v>
      </c>
      <c r="U45" s="40">
        <f t="shared" si="3"/>
        <v>149545</v>
      </c>
      <c r="V45" s="40">
        <f t="shared" si="4"/>
        <v>151533</v>
      </c>
      <c r="W45" s="40">
        <f t="shared" si="5"/>
        <v>174263</v>
      </c>
      <c r="X45" s="40">
        <f t="shared" si="6"/>
        <v>136380</v>
      </c>
      <c r="Y45" s="40">
        <f t="shared" si="7"/>
        <v>138095</v>
      </c>
      <c r="Z45" s="40">
        <f t="shared" si="8"/>
        <v>144671</v>
      </c>
      <c r="AA45" s="40">
        <f t="shared" si="9"/>
        <v>124943</v>
      </c>
      <c r="AB45" s="40">
        <f t="shared" si="10"/>
        <v>110551</v>
      </c>
      <c r="AC45" s="37">
        <f>SUM(Table1[[#This Row],[Jan]:[Dec]])</f>
        <v>1528032.8</v>
      </c>
      <c r="AD45" s="15">
        <f t="shared" si="22"/>
        <v>0</v>
      </c>
      <c r="AE45" s="15">
        <f t="shared" si="23"/>
        <v>852.35167991039987</v>
      </c>
      <c r="AF45" s="15">
        <f t="shared" si="24"/>
        <v>4078.3408458879994</v>
      </c>
      <c r="AG45" s="15">
        <f t="shared" si="25"/>
        <v>3210.4412150079997</v>
      </c>
      <c r="AH45" s="15">
        <f t="shared" si="26"/>
        <v>3058.5613361599999</v>
      </c>
      <c r="AI45" s="15">
        <f t="shared" si="27"/>
        <v>3099.2208027839997</v>
      </c>
      <c r="AJ45" s="15">
        <f t="shared" si="28"/>
        <v>3564.1049458239995</v>
      </c>
      <c r="AK45" s="15">
        <f t="shared" si="29"/>
        <v>2789.3048582399997</v>
      </c>
      <c r="AL45" s="15">
        <f t="shared" si="30"/>
        <v>2824.3808065599997</v>
      </c>
      <c r="AM45" s="15">
        <f t="shared" si="31"/>
        <v>2958.8761046079999</v>
      </c>
      <c r="AN45" s="15">
        <f t="shared" si="32"/>
        <v>2555.3902104639997</v>
      </c>
      <c r="AO45" s="15">
        <f t="shared" si="33"/>
        <v>2261.0385788479998</v>
      </c>
      <c r="AP45" s="10">
        <f t="shared" si="34"/>
        <v>4930.6925257983994</v>
      </c>
      <c r="AQ45" s="10">
        <f t="shared" si="35"/>
        <v>9368.2233539519984</v>
      </c>
      <c r="AR45" s="10">
        <f t="shared" si="36"/>
        <v>9177.7906106239989</v>
      </c>
      <c r="AS45" s="10">
        <f t="shared" si="37"/>
        <v>7775.3048939199998</v>
      </c>
      <c r="AT45" s="10" t="b">
        <f t="shared" si="38"/>
        <v>1</v>
      </c>
      <c r="AU45" s="10">
        <f t="shared" si="12"/>
        <v>15971.6833842944</v>
      </c>
      <c r="AV45" s="10">
        <f t="shared" si="13"/>
        <v>0</v>
      </c>
      <c r="AW45" s="10">
        <f t="shared" si="14"/>
        <v>15280.328000000001</v>
      </c>
      <c r="AX45" s="10">
        <f t="shared" si="15"/>
        <v>0</v>
      </c>
      <c r="AY45" s="10">
        <f t="shared" si="39"/>
        <v>31252.011384294401</v>
      </c>
      <c r="AZ45" s="19">
        <f>IFERROR(IF($E45="REC",INDEX(A_Type_Volume!$B:$B,MATCH($D45,A_Type_Volume!$A:$A,0),1),IF($E45="VAM",INDEX(C_Type_Volume!$B:$B,MATCH($D45,C_Type_Volume!$A:$A,0),1),"X")),"")</f>
        <v>120781</v>
      </c>
      <c r="BA45" s="19">
        <f>IFERROR(IF($E45="REC",INDEX(A_Type_Volume!$C:$C,MATCH($D45,A_Type_Volume!$A:$A,0),1),IF($E45="VAM",INDEX(C_Type_Volume!$C:$C,MATCH($D45,C_Type_Volume!$A:$A,0),1),"X")),"")</f>
        <v>138916</v>
      </c>
      <c r="BB45" s="19">
        <f>IFERROR(IF($E45="REC",INDEX(A_Type_Volume!$D:$D,MATCH($D45,A_Type_Volume!$A:$A,0),1),IF($E45="VAM",INDEX(C_Type_Volume!$D:$D,MATCH($D45,C_Type_Volume!$A:$A,0),1),"X")),"")</f>
        <v>199406</v>
      </c>
      <c r="BC45" s="19">
        <f>IFERROR(IF($E45="REC",INDEX(A_Type_Volume!$E:$E,MATCH($D45,A_Type_Volume!$A:$A,0),1),IF($E45="VAM",INDEX(C_Type_Volume!$E:$E,MATCH($D45,C_Type_Volume!$A:$A,0),1),"X")),"")</f>
        <v>156971</v>
      </c>
      <c r="BD45" s="19">
        <f>IFERROR(IF($E45="REC",INDEX(A_Type_Volume!$F:$F,MATCH($D45,A_Type_Volume!$A:$A,0),1),IF($E45="VAM",INDEX(C_Type_Volume!$F:$F,MATCH($D45,C_Type_Volume!$A:$A,0),1),"X")),"")</f>
        <v>149545</v>
      </c>
      <c r="BE45" s="19">
        <f>IFERROR(IF($E45="REC",INDEX(A_Type_Volume!$G:$G,MATCH($D45,A_Type_Volume!$A:$A,0),1),IF($E45="VAM",INDEX(C_Type_Volume!$G:$G,MATCH($D45,C_Type_Volume!$A:$A,0),1),"X")),"")</f>
        <v>151533</v>
      </c>
      <c r="BF45" s="19">
        <f>IFERROR(IF($E45="REC",INDEX(A_Type_Volume!$H:$H,MATCH($D45,A_Type_Volume!$A:$A,0),1),IF($E45="VAM",INDEX(C_Type_Volume!$H:$H,MATCH($D45,C_Type_Volume!$A:$A,0),1),"X")),"")</f>
        <v>174263</v>
      </c>
      <c r="BG45" s="19">
        <f>IFERROR(IF($E45="REC",INDEX(A_Type_Volume!$I:$I,MATCH($D45,A_Type_Volume!$A:$A,0),1),IF($E45="VAM",INDEX(C_Type_Volume!$I:$I,MATCH($D45,C_Type_Volume!$A:$A,0),1),"X")),"")</f>
        <v>136380</v>
      </c>
      <c r="BH45" s="19">
        <f>IFERROR(IF($E45="REC",INDEX(A_Type_Volume!$J:$J,MATCH($D45,A_Type_Volume!$A:$A,0),1),IF($E45="VAM",INDEX(C_Type_Volume!$J:$J,MATCH($D45,C_Type_Volume!$A:$A,0),1),"X")),"")</f>
        <v>138095</v>
      </c>
      <c r="BI45" s="19">
        <f>IFERROR(IF($E45="REC",INDEX(A_Type_Volume!$K:$K,MATCH($D45,A_Type_Volume!$A:$A,0),1),IF($E45="VAM",INDEX(C_Type_Volume!$K:$K,MATCH($D45,C_Type_Volume!$A:$A,0),1),"X")),"")</f>
        <v>144671</v>
      </c>
      <c r="BJ45" s="19">
        <f>IFERROR(IF($E45="REC",INDEX(A_Type_Volume!$L:$L,MATCH($D45,A_Type_Volume!$A:$A,0),1),IF($E45="VAM",INDEX(C_Type_Volume!$L:$L,MATCH($D45,C_Type_Volume!$A:$A,0),1),"X")),"")</f>
        <v>124943</v>
      </c>
      <c r="BK45" s="19">
        <f>IFERROR(IF($E45="REC",INDEX(A_Type_Volume!M:M,MATCH($D45,A_Type_Volume!$A:$A,0),1),IF($E45="VAM",INDEX(C_Type_Volume!M:M,MATCH($D45,C_Type_Volume!$A:$A,0),1),"X")),"")</f>
        <v>110551</v>
      </c>
      <c r="BL45" s="38">
        <f>SUM(Table1[[#This Row],[Jan_AVF]:[Dec_AVF]])</f>
        <v>1746055</v>
      </c>
      <c r="BM45" s="16">
        <f t="shared" si="40"/>
        <v>2470.2671218879996</v>
      </c>
      <c r="BN45" s="16">
        <f t="shared" si="41"/>
        <v>2841.1722663679998</v>
      </c>
      <c r="BO45" s="16">
        <f t="shared" si="42"/>
        <v>4078.3408458879994</v>
      </c>
      <c r="BP45" s="16">
        <f t="shared" si="43"/>
        <v>3210.4412150079997</v>
      </c>
      <c r="BQ45" s="16">
        <f t="shared" si="44"/>
        <v>3058.5613361599999</v>
      </c>
      <c r="BR45" s="16">
        <f t="shared" si="45"/>
        <v>3099.2208027839997</v>
      </c>
      <c r="BS45" s="16">
        <f t="shared" si="46"/>
        <v>3564.1049458239995</v>
      </c>
      <c r="BT45" s="16">
        <f t="shared" si="47"/>
        <v>2789.3048582399997</v>
      </c>
      <c r="BU45" s="16">
        <f t="shared" si="48"/>
        <v>2824.3808065599997</v>
      </c>
      <c r="BV45" s="16">
        <f t="shared" si="49"/>
        <v>2958.8761046079999</v>
      </c>
      <c r="BW45" s="16">
        <f t="shared" si="50"/>
        <v>2555.3902104639997</v>
      </c>
      <c r="BX45" s="16">
        <f t="shared" si="51"/>
        <v>2261.0385788479998</v>
      </c>
      <c r="BY45" s="10">
        <f t="shared" si="17"/>
        <v>9389.7802341440001</v>
      </c>
      <c r="BZ45" s="10">
        <f t="shared" si="18"/>
        <v>9368.2233539519984</v>
      </c>
      <c r="CA45" s="10">
        <f t="shared" si="19"/>
        <v>9177.7906106239989</v>
      </c>
      <c r="CB45" s="10">
        <f t="shared" si="20"/>
        <v>7775.3048939199998</v>
      </c>
      <c r="CC45" s="10">
        <f>IFERROR(Table1[[#This Row],[Labor
Saving]]*Table1[[#This Row],[Annual Volume]],"")</f>
        <v>18250.549092639998</v>
      </c>
      <c r="CD45" s="10">
        <f>IFERROR(Table1[[#This Row],[Annual Volume]]*Table1[[#This Row],[Yield
Saving]],"")</f>
        <v>0</v>
      </c>
      <c r="CE45" s="10">
        <f>IFERROR(Table1[[#This Row],[Annual Volume]]*Table1[[#This Row],[Material
Saving]],"")</f>
        <v>17460.55</v>
      </c>
      <c r="CF45" s="10">
        <f>IFERROR(Table1[[#This Row],[OH
Saving]]*Table1[[#This Row],[Annual Volume]],"")</f>
        <v>0</v>
      </c>
      <c r="CG45" s="10">
        <f>SUM(Table1[[#This Row],[Labor_ASV]:[OH_ASV]])</f>
        <v>35711.099092639997</v>
      </c>
    </row>
    <row r="46" spans="1:85" x14ac:dyDescent="0.3">
      <c r="A46" t="str">
        <f>Table1[[#This Row],[Project Name]]&amp;Table1[[#This Row],[Part Number]]</f>
        <v>Diamond blade Supplier XR32</v>
      </c>
      <c r="B46" t="str">
        <f>IFERROR(Table1[[#This Row],[Project Number]]&amp;Table1[[#This Row],[Part Number]],"")</f>
        <v>AME25-035R32</v>
      </c>
      <c r="C46" s="22" t="s">
        <v>87</v>
      </c>
      <c r="D46" s="24" t="s">
        <v>270</v>
      </c>
      <c r="E46" s="25" t="s">
        <v>58</v>
      </c>
      <c r="F46" s="6">
        <f>INDEX(Proj_Reg!G:G,MATCH($C46,Proj_Reg!$B:$B,0),1)</f>
        <v>46054</v>
      </c>
      <c r="G46" s="6">
        <f>INDEX(Proj_Reg!H:H,MATCH($C46,Proj_Reg!$B:$B,0),1)</f>
        <v>46388</v>
      </c>
      <c r="H46" s="6" t="str">
        <f>IF(INDEX(Proj_Reg!C:C,MATCH($C46,Proj_Reg!$B:$B,0),1)=0,"",INDEX(Proj_Reg!C:C,MATCH($C46,Proj_Reg!$B:$B,0),1))</f>
        <v>Wafer Saw Dicing</v>
      </c>
      <c r="I46" s="6" t="str">
        <f>IF(INDEX(Proj_Reg!D:D,MATCH($C46,Proj_Reg!$B:$B,0),1)=0,"",INDEX(Proj_Reg!D:D,MATCH($C46,Proj_Reg!$B:$B,0),1))</f>
        <v>XCD</v>
      </c>
      <c r="J46" s="6" t="str">
        <f>INDEX(Proj_Reg!E:E,MATCH($C46,Proj_Reg!$B:$B,0),1)</f>
        <v>Diamond blade Supplier X</v>
      </c>
      <c r="K46" s="21">
        <v>1.0452448E-2</v>
      </c>
      <c r="L46" s="21">
        <v>0</v>
      </c>
      <c r="M46" s="21">
        <v>0.01</v>
      </c>
      <c r="N46" s="21">
        <v>0</v>
      </c>
      <c r="O46" s="11">
        <f>SUM(Table1[[#This Row],[Labor
Saving]:[OH
Saving]])</f>
        <v>2.0452447999999998E-2</v>
      </c>
      <c r="Q46" s="40">
        <f t="shared" si="21"/>
        <v>0</v>
      </c>
      <c r="R46" s="40">
        <f t="shared" si="0"/>
        <v>7569.9</v>
      </c>
      <c r="S46" s="40">
        <f t="shared" si="1"/>
        <v>41903</v>
      </c>
      <c r="T46" s="40">
        <f t="shared" si="2"/>
        <v>27200</v>
      </c>
      <c r="U46" s="40">
        <f t="shared" si="3"/>
        <v>27089</v>
      </c>
      <c r="V46" s="40">
        <f t="shared" si="4"/>
        <v>24338</v>
      </c>
      <c r="W46" s="40">
        <f t="shared" si="5"/>
        <v>27989</v>
      </c>
      <c r="X46" s="40">
        <f t="shared" si="6"/>
        <v>21905</v>
      </c>
      <c r="Y46" s="40">
        <f t="shared" si="7"/>
        <v>22180</v>
      </c>
      <c r="Z46" s="40">
        <f t="shared" si="8"/>
        <v>23236</v>
      </c>
      <c r="AA46" s="40">
        <f t="shared" si="9"/>
        <v>20068</v>
      </c>
      <c r="AB46" s="40">
        <f t="shared" si="10"/>
        <v>17756</v>
      </c>
      <c r="AC46" s="37">
        <f>SUM(Table1[[#This Row],[Jan]:[Dec]])</f>
        <v>261233.9</v>
      </c>
      <c r="AD46" s="15">
        <f t="shared" si="22"/>
        <v>0</v>
      </c>
      <c r="AE46" s="15">
        <f t="shared" si="23"/>
        <v>154.82298611519997</v>
      </c>
      <c r="AF46" s="15">
        <f t="shared" si="24"/>
        <v>857.01892854399989</v>
      </c>
      <c r="AG46" s="15">
        <f t="shared" si="25"/>
        <v>556.30658559999995</v>
      </c>
      <c r="AH46" s="15">
        <f t="shared" si="26"/>
        <v>554.03636387199992</v>
      </c>
      <c r="AI46" s="15">
        <f t="shared" si="27"/>
        <v>497.77167942399996</v>
      </c>
      <c r="AJ46" s="15">
        <f t="shared" si="28"/>
        <v>572.44356707199995</v>
      </c>
      <c r="AK46" s="15">
        <f t="shared" si="29"/>
        <v>448.01087343999995</v>
      </c>
      <c r="AL46" s="15">
        <f t="shared" si="30"/>
        <v>453.63529663999998</v>
      </c>
      <c r="AM46" s="15">
        <f t="shared" si="31"/>
        <v>475.23308172799995</v>
      </c>
      <c r="AN46" s="15">
        <f t="shared" si="32"/>
        <v>410.43972646399999</v>
      </c>
      <c r="AO46" s="15">
        <f t="shared" si="33"/>
        <v>363.15366668799999</v>
      </c>
      <c r="AP46" s="10">
        <f t="shared" si="34"/>
        <v>1011.8419146591998</v>
      </c>
      <c r="AQ46" s="10">
        <f t="shared" si="35"/>
        <v>1608.1146288959999</v>
      </c>
      <c r="AR46" s="10">
        <f t="shared" si="36"/>
        <v>1474.089737152</v>
      </c>
      <c r="AS46" s="10">
        <f t="shared" si="37"/>
        <v>1248.82647488</v>
      </c>
      <c r="AT46" s="10" t="b">
        <f t="shared" si="38"/>
        <v>1</v>
      </c>
      <c r="AU46" s="10">
        <f t="shared" si="12"/>
        <v>2730.5337555871997</v>
      </c>
      <c r="AV46" s="10">
        <f t="shared" si="13"/>
        <v>0</v>
      </c>
      <c r="AW46" s="10">
        <f t="shared" si="14"/>
        <v>2612.3389999999999</v>
      </c>
      <c r="AX46" s="10">
        <f t="shared" si="15"/>
        <v>0</v>
      </c>
      <c r="AY46" s="10">
        <f t="shared" si="39"/>
        <v>5342.8727555871992</v>
      </c>
      <c r="AZ46" s="19">
        <f>IFERROR(IF($E46="REC",INDEX(A_Type_Volume!$B:$B,MATCH($D46,A_Type_Volume!$A:$A,0),1),IF($E46="VAM",INDEX(C_Type_Volume!$B:$B,MATCH($D46,C_Type_Volume!$A:$A,0),1),"X")),"")</f>
        <v>21588</v>
      </c>
      <c r="BA46" s="19">
        <f>IFERROR(IF($E46="REC",INDEX(A_Type_Volume!$C:$C,MATCH($D46,A_Type_Volume!$A:$A,0),1),IF($E46="VAM",INDEX(C_Type_Volume!$C:$C,MATCH($D46,C_Type_Volume!$A:$A,0),1),"X")),"")</f>
        <v>25233</v>
      </c>
      <c r="BB46" s="19">
        <f>IFERROR(IF($E46="REC",INDEX(A_Type_Volume!$D:$D,MATCH($D46,A_Type_Volume!$A:$A,0),1),IF($E46="VAM",INDEX(C_Type_Volume!$D:$D,MATCH($D46,C_Type_Volume!$A:$A,0),1),"X")),"")</f>
        <v>41903</v>
      </c>
      <c r="BC46" s="19">
        <f>IFERROR(IF($E46="REC",INDEX(A_Type_Volume!$E:$E,MATCH($D46,A_Type_Volume!$A:$A,0),1),IF($E46="VAM",INDEX(C_Type_Volume!$E:$E,MATCH($D46,C_Type_Volume!$A:$A,0),1),"X")),"")</f>
        <v>27200</v>
      </c>
      <c r="BD46" s="19">
        <f>IFERROR(IF($E46="REC",INDEX(A_Type_Volume!$F:$F,MATCH($D46,A_Type_Volume!$A:$A,0),1),IF($E46="VAM",INDEX(C_Type_Volume!$F:$F,MATCH($D46,C_Type_Volume!$A:$A,0),1),"X")),"")</f>
        <v>27089</v>
      </c>
      <c r="BE46" s="19">
        <f>IFERROR(IF($E46="REC",INDEX(A_Type_Volume!$G:$G,MATCH($D46,A_Type_Volume!$A:$A,0),1),IF($E46="VAM",INDEX(C_Type_Volume!$G:$G,MATCH($D46,C_Type_Volume!$A:$A,0),1),"X")),"")</f>
        <v>24338</v>
      </c>
      <c r="BF46" s="19">
        <f>IFERROR(IF($E46="REC",INDEX(A_Type_Volume!$H:$H,MATCH($D46,A_Type_Volume!$A:$A,0),1),IF($E46="VAM",INDEX(C_Type_Volume!$H:$H,MATCH($D46,C_Type_Volume!$A:$A,0),1),"X")),"")</f>
        <v>27989</v>
      </c>
      <c r="BG46" s="19">
        <f>IFERROR(IF($E46="REC",INDEX(A_Type_Volume!$I:$I,MATCH($D46,A_Type_Volume!$A:$A,0),1),IF($E46="VAM",INDEX(C_Type_Volume!$I:$I,MATCH($D46,C_Type_Volume!$A:$A,0),1),"X")),"")</f>
        <v>21905</v>
      </c>
      <c r="BH46" s="19">
        <f>IFERROR(IF($E46="REC",INDEX(A_Type_Volume!$J:$J,MATCH($D46,A_Type_Volume!$A:$A,0),1),IF($E46="VAM",INDEX(C_Type_Volume!$J:$J,MATCH($D46,C_Type_Volume!$A:$A,0),1),"X")),"")</f>
        <v>22180</v>
      </c>
      <c r="BI46" s="19">
        <f>IFERROR(IF($E46="REC",INDEX(A_Type_Volume!$K:$K,MATCH($D46,A_Type_Volume!$A:$A,0),1),IF($E46="VAM",INDEX(C_Type_Volume!$K:$K,MATCH($D46,C_Type_Volume!$A:$A,0),1),"X")),"")</f>
        <v>23236</v>
      </c>
      <c r="BJ46" s="19">
        <f>IFERROR(IF($E46="REC",INDEX(A_Type_Volume!$L:$L,MATCH($D46,A_Type_Volume!$A:$A,0),1),IF($E46="VAM",INDEX(C_Type_Volume!$L:$L,MATCH($D46,C_Type_Volume!$A:$A,0),1),"X")),"")</f>
        <v>20068</v>
      </c>
      <c r="BK46" s="19">
        <f>IFERROR(IF($E46="REC",INDEX(A_Type_Volume!M:M,MATCH($D46,A_Type_Volume!$A:$A,0),1),IF($E46="VAM",INDEX(C_Type_Volume!M:M,MATCH($D46,C_Type_Volume!$A:$A,0),1),"X")),"")</f>
        <v>17756</v>
      </c>
      <c r="BL46" s="38">
        <f>SUM(Table1[[#This Row],[Jan_AVF]:[Dec_AVF]])</f>
        <v>300485</v>
      </c>
      <c r="BM46" s="16">
        <f t="shared" si="40"/>
        <v>441.52744742399994</v>
      </c>
      <c r="BN46" s="16">
        <f t="shared" si="41"/>
        <v>516.07662038399997</v>
      </c>
      <c r="BO46" s="16">
        <f t="shared" si="42"/>
        <v>857.01892854399989</v>
      </c>
      <c r="BP46" s="16">
        <f t="shared" si="43"/>
        <v>556.30658559999995</v>
      </c>
      <c r="BQ46" s="16">
        <f t="shared" si="44"/>
        <v>554.03636387199992</v>
      </c>
      <c r="BR46" s="16">
        <f t="shared" si="45"/>
        <v>497.77167942399996</v>
      </c>
      <c r="BS46" s="16">
        <f t="shared" si="46"/>
        <v>572.44356707199995</v>
      </c>
      <c r="BT46" s="16">
        <f t="shared" si="47"/>
        <v>448.01087343999995</v>
      </c>
      <c r="BU46" s="16">
        <f t="shared" si="48"/>
        <v>453.63529663999998</v>
      </c>
      <c r="BV46" s="16">
        <f t="shared" si="49"/>
        <v>475.23308172799995</v>
      </c>
      <c r="BW46" s="16">
        <f t="shared" si="50"/>
        <v>410.43972646399999</v>
      </c>
      <c r="BX46" s="16">
        <f t="shared" si="51"/>
        <v>363.15366668799999</v>
      </c>
      <c r="BY46" s="10">
        <f t="shared" si="17"/>
        <v>1814.6229963519997</v>
      </c>
      <c r="BZ46" s="10">
        <f t="shared" si="18"/>
        <v>1608.1146288959999</v>
      </c>
      <c r="CA46" s="10">
        <f t="shared" si="19"/>
        <v>1474.089737152</v>
      </c>
      <c r="CB46" s="10">
        <f t="shared" si="20"/>
        <v>1248.82647488</v>
      </c>
      <c r="CC46" s="10">
        <f>IFERROR(Table1[[#This Row],[Labor
Saving]]*Table1[[#This Row],[Annual Volume]],"")</f>
        <v>3140.8038372799997</v>
      </c>
      <c r="CD46" s="10">
        <f>IFERROR(Table1[[#This Row],[Annual Volume]]*Table1[[#This Row],[Yield
Saving]],"")</f>
        <v>0</v>
      </c>
      <c r="CE46" s="10">
        <f>IFERROR(Table1[[#This Row],[Annual Volume]]*Table1[[#This Row],[Material
Saving]],"")</f>
        <v>3004.85</v>
      </c>
      <c r="CF46" s="10">
        <f>IFERROR(Table1[[#This Row],[OH
Saving]]*Table1[[#This Row],[Annual Volume]],"")</f>
        <v>0</v>
      </c>
      <c r="CG46" s="10">
        <f>SUM(Table1[[#This Row],[Labor_ASV]:[OH_ASV]])</f>
        <v>6145.6538372799996</v>
      </c>
    </row>
    <row r="47" spans="1:85" x14ac:dyDescent="0.3">
      <c r="A47" t="str">
        <f>Table1[[#This Row],[Project Name]]&amp;Table1[[#This Row],[Part Number]]</f>
        <v>Diamond blade Supplier XR33</v>
      </c>
      <c r="B47" t="str">
        <f>IFERROR(Table1[[#This Row],[Project Number]]&amp;Table1[[#This Row],[Part Number]],"")</f>
        <v>AME25-035R33</v>
      </c>
      <c r="C47" s="22" t="s">
        <v>87</v>
      </c>
      <c r="D47" s="24" t="s">
        <v>271</v>
      </c>
      <c r="E47" s="25" t="s">
        <v>58</v>
      </c>
      <c r="F47" s="6">
        <f>INDEX(Proj_Reg!G:G,MATCH($C47,Proj_Reg!$B:$B,0),1)</f>
        <v>46054</v>
      </c>
      <c r="G47" s="6">
        <f>INDEX(Proj_Reg!H:H,MATCH($C47,Proj_Reg!$B:$B,0),1)</f>
        <v>46388</v>
      </c>
      <c r="H47" s="6" t="str">
        <f>IF(INDEX(Proj_Reg!C:C,MATCH($C47,Proj_Reg!$B:$B,0),1)=0,"",INDEX(Proj_Reg!C:C,MATCH($C47,Proj_Reg!$B:$B,0),1))</f>
        <v>Wafer Saw Dicing</v>
      </c>
      <c r="I47" s="6" t="str">
        <f>IF(INDEX(Proj_Reg!D:D,MATCH($C47,Proj_Reg!$B:$B,0),1)=0,"",INDEX(Proj_Reg!D:D,MATCH($C47,Proj_Reg!$B:$B,0),1))</f>
        <v>XCD</v>
      </c>
      <c r="J47" s="6" t="str">
        <f>INDEX(Proj_Reg!E:E,MATCH($C47,Proj_Reg!$B:$B,0),1)</f>
        <v>Diamond blade Supplier X</v>
      </c>
      <c r="K47" s="21">
        <v>1.0452448E-2</v>
      </c>
      <c r="L47" s="21">
        <v>0</v>
      </c>
      <c r="M47" s="21">
        <v>0.01</v>
      </c>
      <c r="N47" s="21">
        <v>0</v>
      </c>
      <c r="O47" s="11">
        <f>SUM(Table1[[#This Row],[Labor
Saving]:[OH
Saving]])</f>
        <v>2.0452447999999998E-2</v>
      </c>
      <c r="Q47" s="40">
        <f t="shared" si="21"/>
        <v>0</v>
      </c>
      <c r="R47" s="40">
        <f t="shared" si="0"/>
        <v>7459.5</v>
      </c>
      <c r="S47" s="40">
        <f t="shared" si="1"/>
        <v>38554</v>
      </c>
      <c r="T47" s="40">
        <f t="shared" si="2"/>
        <v>27627</v>
      </c>
      <c r="U47" s="40">
        <f t="shared" si="3"/>
        <v>25533</v>
      </c>
      <c r="V47" s="40">
        <f t="shared" si="4"/>
        <v>24836</v>
      </c>
      <c r="W47" s="40">
        <f t="shared" si="5"/>
        <v>28561</v>
      </c>
      <c r="X47" s="40">
        <f t="shared" si="6"/>
        <v>22352</v>
      </c>
      <c r="Y47" s="40">
        <f t="shared" si="7"/>
        <v>22633</v>
      </c>
      <c r="Z47" s="40">
        <f t="shared" si="8"/>
        <v>23711</v>
      </c>
      <c r="AA47" s="40">
        <f t="shared" si="9"/>
        <v>20478</v>
      </c>
      <c r="AB47" s="40">
        <f t="shared" si="10"/>
        <v>18119</v>
      </c>
      <c r="AC47" s="37">
        <f>SUM(Table1[[#This Row],[Jan]:[Dec]])</f>
        <v>259863.5</v>
      </c>
      <c r="AD47" s="15">
        <f t="shared" si="22"/>
        <v>0</v>
      </c>
      <c r="AE47" s="15">
        <f t="shared" si="23"/>
        <v>152.56503585599998</v>
      </c>
      <c r="AF47" s="15">
        <f t="shared" si="24"/>
        <v>788.52368019199992</v>
      </c>
      <c r="AG47" s="15">
        <f t="shared" si="25"/>
        <v>565.03978089599991</v>
      </c>
      <c r="AH47" s="15">
        <f t="shared" si="26"/>
        <v>522.2123547839999</v>
      </c>
      <c r="AI47" s="15">
        <f t="shared" si="27"/>
        <v>507.95699852799993</v>
      </c>
      <c r="AJ47" s="15">
        <f t="shared" si="28"/>
        <v>584.14236732799998</v>
      </c>
      <c r="AK47" s="15">
        <f t="shared" si="29"/>
        <v>457.15311769599998</v>
      </c>
      <c r="AL47" s="15">
        <f t="shared" si="30"/>
        <v>462.90025558399998</v>
      </c>
      <c r="AM47" s="15">
        <f t="shared" si="31"/>
        <v>484.94799452799998</v>
      </c>
      <c r="AN47" s="15">
        <f t="shared" si="32"/>
        <v>418.82523014399999</v>
      </c>
      <c r="AO47" s="15">
        <f t="shared" si="33"/>
        <v>370.57790531199998</v>
      </c>
      <c r="AP47" s="10">
        <f t="shared" si="34"/>
        <v>941.08871604799992</v>
      </c>
      <c r="AQ47" s="10">
        <f t="shared" si="35"/>
        <v>1595.2091342079998</v>
      </c>
      <c r="AR47" s="10">
        <f t="shared" si="36"/>
        <v>1504.1957406079998</v>
      </c>
      <c r="AS47" s="10">
        <f t="shared" si="37"/>
        <v>1274.351129984</v>
      </c>
      <c r="AT47" s="10" t="b">
        <f t="shared" si="38"/>
        <v>1</v>
      </c>
      <c r="AU47" s="10">
        <f t="shared" si="12"/>
        <v>2716.209720848</v>
      </c>
      <c r="AV47" s="10">
        <f t="shared" si="13"/>
        <v>0</v>
      </c>
      <c r="AW47" s="10">
        <f t="shared" si="14"/>
        <v>2598.6350000000002</v>
      </c>
      <c r="AX47" s="10">
        <f t="shared" si="15"/>
        <v>0</v>
      </c>
      <c r="AY47" s="10">
        <f t="shared" si="39"/>
        <v>5314.8447208480002</v>
      </c>
      <c r="AZ47" s="19">
        <f>IFERROR(IF($E47="REC",INDEX(A_Type_Volume!$B:$B,MATCH($D47,A_Type_Volume!$A:$A,0),1),IF($E47="VAM",INDEX(C_Type_Volume!$B:$B,MATCH($D47,C_Type_Volume!$A:$A,0),1),"X")),"")</f>
        <v>22493</v>
      </c>
      <c r="BA47" s="19">
        <f>IFERROR(IF($E47="REC",INDEX(A_Type_Volume!$C:$C,MATCH($D47,A_Type_Volume!$A:$A,0),1),IF($E47="VAM",INDEX(C_Type_Volume!$C:$C,MATCH($D47,C_Type_Volume!$A:$A,0),1),"X")),"")</f>
        <v>24865</v>
      </c>
      <c r="BB47" s="19">
        <f>IFERROR(IF($E47="REC",INDEX(A_Type_Volume!$D:$D,MATCH($D47,A_Type_Volume!$A:$A,0),1),IF($E47="VAM",INDEX(C_Type_Volume!$D:$D,MATCH($D47,C_Type_Volume!$A:$A,0),1),"X")),"")</f>
        <v>38554</v>
      </c>
      <c r="BC47" s="19">
        <f>IFERROR(IF($E47="REC",INDEX(A_Type_Volume!$E:$E,MATCH($D47,A_Type_Volume!$A:$A,0),1),IF($E47="VAM",INDEX(C_Type_Volume!$E:$E,MATCH($D47,C_Type_Volume!$A:$A,0),1),"X")),"")</f>
        <v>27627</v>
      </c>
      <c r="BD47" s="19">
        <f>IFERROR(IF($E47="REC",INDEX(A_Type_Volume!$F:$F,MATCH($D47,A_Type_Volume!$A:$A,0),1),IF($E47="VAM",INDEX(C_Type_Volume!$F:$F,MATCH($D47,C_Type_Volume!$A:$A,0),1),"X")),"")</f>
        <v>25533</v>
      </c>
      <c r="BE47" s="19">
        <f>IFERROR(IF($E47="REC",INDEX(A_Type_Volume!$G:$G,MATCH($D47,A_Type_Volume!$A:$A,0),1),IF($E47="VAM",INDEX(C_Type_Volume!$G:$G,MATCH($D47,C_Type_Volume!$A:$A,0),1),"X")),"")</f>
        <v>24836</v>
      </c>
      <c r="BF47" s="19">
        <f>IFERROR(IF($E47="REC",INDEX(A_Type_Volume!$H:$H,MATCH($D47,A_Type_Volume!$A:$A,0),1),IF($E47="VAM",INDEX(C_Type_Volume!$H:$H,MATCH($D47,C_Type_Volume!$A:$A,0),1),"X")),"")</f>
        <v>28561</v>
      </c>
      <c r="BG47" s="19">
        <f>IFERROR(IF($E47="REC",INDEX(A_Type_Volume!$I:$I,MATCH($D47,A_Type_Volume!$A:$A,0),1),IF($E47="VAM",INDEX(C_Type_Volume!$I:$I,MATCH($D47,C_Type_Volume!$A:$A,0),1),"X")),"")</f>
        <v>22352</v>
      </c>
      <c r="BH47" s="19">
        <f>IFERROR(IF($E47="REC",INDEX(A_Type_Volume!$J:$J,MATCH($D47,A_Type_Volume!$A:$A,0),1),IF($E47="VAM",INDEX(C_Type_Volume!$J:$J,MATCH($D47,C_Type_Volume!$A:$A,0),1),"X")),"")</f>
        <v>22633</v>
      </c>
      <c r="BI47" s="19">
        <f>IFERROR(IF($E47="REC",INDEX(A_Type_Volume!$K:$K,MATCH($D47,A_Type_Volume!$A:$A,0),1),IF($E47="VAM",INDEX(C_Type_Volume!$K:$K,MATCH($D47,C_Type_Volume!$A:$A,0),1),"X")),"")</f>
        <v>23711</v>
      </c>
      <c r="BJ47" s="19">
        <f>IFERROR(IF($E47="REC",INDEX(A_Type_Volume!$L:$L,MATCH($D47,A_Type_Volume!$A:$A,0),1),IF($E47="VAM",INDEX(C_Type_Volume!$L:$L,MATCH($D47,C_Type_Volume!$A:$A,0),1),"X")),"")</f>
        <v>20478</v>
      </c>
      <c r="BK47" s="19">
        <f>IFERROR(IF($E47="REC",INDEX(A_Type_Volume!M:M,MATCH($D47,A_Type_Volume!$A:$A,0),1),IF($E47="VAM",INDEX(C_Type_Volume!M:M,MATCH($D47,C_Type_Volume!$A:$A,0),1),"X")),"")</f>
        <v>18119</v>
      </c>
      <c r="BL47" s="38">
        <f>SUM(Table1[[#This Row],[Jan_AVF]:[Dec_AVF]])</f>
        <v>299762</v>
      </c>
      <c r="BM47" s="16">
        <f t="shared" si="40"/>
        <v>460.03691286399993</v>
      </c>
      <c r="BN47" s="16">
        <f t="shared" si="41"/>
        <v>508.55011951999995</v>
      </c>
      <c r="BO47" s="16">
        <f t="shared" si="42"/>
        <v>788.52368019199992</v>
      </c>
      <c r="BP47" s="16">
        <f t="shared" si="43"/>
        <v>565.03978089599991</v>
      </c>
      <c r="BQ47" s="16">
        <f t="shared" si="44"/>
        <v>522.2123547839999</v>
      </c>
      <c r="BR47" s="16">
        <f t="shared" si="45"/>
        <v>507.95699852799993</v>
      </c>
      <c r="BS47" s="16">
        <f t="shared" si="46"/>
        <v>584.14236732799998</v>
      </c>
      <c r="BT47" s="16">
        <f t="shared" si="47"/>
        <v>457.15311769599998</v>
      </c>
      <c r="BU47" s="16">
        <f t="shared" si="48"/>
        <v>462.90025558399998</v>
      </c>
      <c r="BV47" s="16">
        <f t="shared" si="49"/>
        <v>484.94799452799998</v>
      </c>
      <c r="BW47" s="16">
        <f t="shared" si="50"/>
        <v>418.82523014399999</v>
      </c>
      <c r="BX47" s="16">
        <f t="shared" si="51"/>
        <v>370.57790531199998</v>
      </c>
      <c r="BY47" s="10">
        <f t="shared" si="17"/>
        <v>1757.110712576</v>
      </c>
      <c r="BZ47" s="10">
        <f t="shared" si="18"/>
        <v>1595.2091342079998</v>
      </c>
      <c r="CA47" s="10">
        <f t="shared" si="19"/>
        <v>1504.1957406079998</v>
      </c>
      <c r="CB47" s="10">
        <f t="shared" si="20"/>
        <v>1274.351129984</v>
      </c>
      <c r="CC47" s="10">
        <f>IFERROR(Table1[[#This Row],[Labor
Saving]]*Table1[[#This Row],[Annual Volume]],"")</f>
        <v>3133.2467173760001</v>
      </c>
      <c r="CD47" s="10">
        <f>IFERROR(Table1[[#This Row],[Annual Volume]]*Table1[[#This Row],[Yield
Saving]],"")</f>
        <v>0</v>
      </c>
      <c r="CE47" s="10">
        <f>IFERROR(Table1[[#This Row],[Annual Volume]]*Table1[[#This Row],[Material
Saving]],"")</f>
        <v>2997.62</v>
      </c>
      <c r="CF47" s="10">
        <f>IFERROR(Table1[[#This Row],[OH
Saving]]*Table1[[#This Row],[Annual Volume]],"")</f>
        <v>0</v>
      </c>
      <c r="CG47" s="10">
        <f>SUM(Table1[[#This Row],[Labor_ASV]:[OH_ASV]])</f>
        <v>6130.8667173760005</v>
      </c>
    </row>
    <row r="48" spans="1:85" x14ac:dyDescent="0.3">
      <c r="A48" t="str">
        <f>Table1[[#This Row],[Project Name]]&amp;Table1[[#This Row],[Part Number]]</f>
        <v>Diamond blade Supplier ZR8</v>
      </c>
      <c r="B48" t="str">
        <f>IFERROR(Table1[[#This Row],[Project Number]]&amp;Table1[[#This Row],[Part Number]],"")</f>
        <v>AME25-037R8</v>
      </c>
      <c r="C48" s="22" t="s">
        <v>89</v>
      </c>
      <c r="D48" s="24" t="s">
        <v>246</v>
      </c>
      <c r="E48" s="25" t="s">
        <v>58</v>
      </c>
      <c r="F48" s="6">
        <f>INDEX(Proj_Reg!G:G,MATCH($C48,Proj_Reg!$B:$B,0),1)</f>
        <v>46143</v>
      </c>
      <c r="G48" s="6">
        <f>INDEX(Proj_Reg!H:H,MATCH($C48,Proj_Reg!$B:$B,0),1)</f>
        <v>46478</v>
      </c>
      <c r="H48" s="6" t="str">
        <f>IF(INDEX(Proj_Reg!C:C,MATCH($C48,Proj_Reg!$B:$B,0),1)=0,"",INDEX(Proj_Reg!C:C,MATCH($C48,Proj_Reg!$B:$B,0),1))</f>
        <v>Wafer Saw Dicing</v>
      </c>
      <c r="I48" s="6" t="str">
        <f>IF(INDEX(Proj_Reg!D:D,MATCH($C48,Proj_Reg!$B:$B,0),1)=0,"",INDEX(Proj_Reg!D:D,MATCH($C48,Proj_Reg!$B:$B,0),1))</f>
        <v>XCD</v>
      </c>
      <c r="J48" s="6" t="str">
        <f>INDEX(Proj_Reg!E:E,MATCH($C48,Proj_Reg!$B:$B,0),1)</f>
        <v>Diamond blade Supplier Z</v>
      </c>
      <c r="K48" s="21">
        <v>1.0452448E-2</v>
      </c>
      <c r="L48" s="21">
        <v>0</v>
      </c>
      <c r="M48" s="21">
        <v>0.01</v>
      </c>
      <c r="N48" s="21">
        <v>0</v>
      </c>
      <c r="O48" s="11">
        <f>SUM(Table1[[#This Row],[Labor
Saving]:[OH
Saving]])</f>
        <v>2.0452447999999998E-2</v>
      </c>
      <c r="Q48" s="40">
        <f t="shared" si="21"/>
        <v>0</v>
      </c>
      <c r="R48" s="40">
        <f t="shared" si="0"/>
        <v>0</v>
      </c>
      <c r="S48" s="40">
        <f t="shared" si="1"/>
        <v>0</v>
      </c>
      <c r="T48" s="40">
        <f t="shared" si="2"/>
        <v>0</v>
      </c>
      <c r="U48" s="40">
        <f t="shared" si="3"/>
        <v>75600</v>
      </c>
      <c r="V48" s="40">
        <f t="shared" si="4"/>
        <v>252000</v>
      </c>
      <c r="W48" s="40">
        <f t="shared" si="5"/>
        <v>57000</v>
      </c>
      <c r="X48" s="40">
        <f t="shared" si="6"/>
        <v>45000</v>
      </c>
      <c r="Y48" s="40">
        <f t="shared" si="7"/>
        <v>51000</v>
      </c>
      <c r="Z48" s="40">
        <f t="shared" si="8"/>
        <v>51000</v>
      </c>
      <c r="AA48" s="40">
        <f t="shared" si="9"/>
        <v>45000</v>
      </c>
      <c r="AB48" s="40">
        <f t="shared" si="10"/>
        <v>25200</v>
      </c>
      <c r="AC48" s="37">
        <f>SUM(Table1[[#This Row],[Jan]:[Dec]])</f>
        <v>601800</v>
      </c>
      <c r="AD48" s="15">
        <f t="shared" si="22"/>
        <v>0</v>
      </c>
      <c r="AE48" s="15">
        <f t="shared" si="23"/>
        <v>0</v>
      </c>
      <c r="AF48" s="15">
        <f t="shared" si="24"/>
        <v>0</v>
      </c>
      <c r="AG48" s="15">
        <f t="shared" si="25"/>
        <v>0</v>
      </c>
      <c r="AH48" s="15">
        <f t="shared" si="26"/>
        <v>1546.2050687999999</v>
      </c>
      <c r="AI48" s="15">
        <f t="shared" si="27"/>
        <v>5154.0168959999992</v>
      </c>
      <c r="AJ48" s="15">
        <f t="shared" si="28"/>
        <v>1165.789536</v>
      </c>
      <c r="AK48" s="15">
        <f t="shared" si="29"/>
        <v>920.36015999999995</v>
      </c>
      <c r="AL48" s="15">
        <f t="shared" si="30"/>
        <v>1043.074848</v>
      </c>
      <c r="AM48" s="15">
        <f t="shared" si="31"/>
        <v>1043.074848</v>
      </c>
      <c r="AN48" s="15">
        <f t="shared" si="32"/>
        <v>920.36015999999995</v>
      </c>
      <c r="AO48" s="15">
        <f t="shared" si="33"/>
        <v>515.40168959999994</v>
      </c>
      <c r="AP48" s="10">
        <f t="shared" si="34"/>
        <v>0</v>
      </c>
      <c r="AQ48" s="10">
        <f t="shared" si="35"/>
        <v>6700.2219647999991</v>
      </c>
      <c r="AR48" s="10">
        <f t="shared" si="36"/>
        <v>3129.2245439999997</v>
      </c>
      <c r="AS48" s="10">
        <f t="shared" si="37"/>
        <v>2478.8366975999998</v>
      </c>
      <c r="AT48" s="10" t="b">
        <f t="shared" si="38"/>
        <v>1</v>
      </c>
      <c r="AU48" s="10">
        <f t="shared" si="12"/>
        <v>6290.2832063999995</v>
      </c>
      <c r="AV48" s="10">
        <f t="shared" si="13"/>
        <v>0</v>
      </c>
      <c r="AW48" s="10">
        <f t="shared" si="14"/>
        <v>6018</v>
      </c>
      <c r="AX48" s="10">
        <f t="shared" si="15"/>
        <v>0</v>
      </c>
      <c r="AY48" s="10">
        <f t="shared" si="39"/>
        <v>12308.283206399999</v>
      </c>
      <c r="AZ48" s="19">
        <f>IFERROR(IF($E48="REC",INDEX(A_Type_Volume!$B:$B,MATCH($D48,A_Type_Volume!$A:$A,0),1),IF($E48="VAM",INDEX(C_Type_Volume!$B:$B,MATCH($D48,C_Type_Volume!$A:$A,0),1),"X")),"")</f>
        <v>189000</v>
      </c>
      <c r="BA48" s="19">
        <f>IFERROR(IF($E48="REC",INDEX(A_Type_Volume!$C:$C,MATCH($D48,A_Type_Volume!$A:$A,0),1),IF($E48="VAM",INDEX(C_Type_Volume!$C:$C,MATCH($D48,C_Type_Volume!$A:$A,0),1),"X")),"")</f>
        <v>241500</v>
      </c>
      <c r="BB48" s="19">
        <f>IFERROR(IF($E48="REC",INDEX(A_Type_Volume!$D:$D,MATCH($D48,A_Type_Volume!$A:$A,0),1),IF($E48="VAM",INDEX(C_Type_Volume!$D:$D,MATCH($D48,C_Type_Volume!$A:$A,0),1),"X")),"")</f>
        <v>262500</v>
      </c>
      <c r="BC48" s="19">
        <f>IFERROR(IF($E48="REC",INDEX(A_Type_Volume!$E:$E,MATCH($D48,A_Type_Volume!$A:$A,0),1),IF($E48="VAM",INDEX(C_Type_Volume!$E:$E,MATCH($D48,C_Type_Volume!$A:$A,0),1),"X")),"")</f>
        <v>220500</v>
      </c>
      <c r="BD48" s="19">
        <f>IFERROR(IF($E48="REC",INDEX(A_Type_Volume!$F:$F,MATCH($D48,A_Type_Volume!$A:$A,0),1),IF($E48="VAM",INDEX(C_Type_Volume!$F:$F,MATCH($D48,C_Type_Volume!$A:$A,0),1),"X")),"")</f>
        <v>252000</v>
      </c>
      <c r="BE48" s="19">
        <f>IFERROR(IF($E48="REC",INDEX(A_Type_Volume!$G:$G,MATCH($D48,A_Type_Volume!$A:$A,0),1),IF($E48="VAM",INDEX(C_Type_Volume!$G:$G,MATCH($D48,C_Type_Volume!$A:$A,0),1),"X")),"")</f>
        <v>252000</v>
      </c>
      <c r="BF48" s="19">
        <f>IFERROR(IF($E48="REC",INDEX(A_Type_Volume!$H:$H,MATCH($D48,A_Type_Volume!$A:$A,0),1),IF($E48="VAM",INDEX(C_Type_Volume!$H:$H,MATCH($D48,C_Type_Volume!$A:$A,0),1),"X")),"")</f>
        <v>57000</v>
      </c>
      <c r="BG48" s="19">
        <f>IFERROR(IF($E48="REC",INDEX(A_Type_Volume!$I:$I,MATCH($D48,A_Type_Volume!$A:$A,0),1),IF($E48="VAM",INDEX(C_Type_Volume!$I:$I,MATCH($D48,C_Type_Volume!$A:$A,0),1),"X")),"")</f>
        <v>45000</v>
      </c>
      <c r="BH48" s="19">
        <f>IFERROR(IF($E48="REC",INDEX(A_Type_Volume!$J:$J,MATCH($D48,A_Type_Volume!$A:$A,0),1),IF($E48="VAM",INDEX(C_Type_Volume!$J:$J,MATCH($D48,C_Type_Volume!$A:$A,0),1),"X")),"")</f>
        <v>51000</v>
      </c>
      <c r="BI48" s="19">
        <f>IFERROR(IF($E48="REC",INDEX(A_Type_Volume!$K:$K,MATCH($D48,A_Type_Volume!$A:$A,0),1),IF($E48="VAM",INDEX(C_Type_Volume!$K:$K,MATCH($D48,C_Type_Volume!$A:$A,0),1),"X")),"")</f>
        <v>51000</v>
      </c>
      <c r="BJ48" s="19">
        <f>IFERROR(IF($E48="REC",INDEX(A_Type_Volume!$L:$L,MATCH($D48,A_Type_Volume!$A:$A,0),1),IF($E48="VAM",INDEX(C_Type_Volume!$L:$L,MATCH($D48,C_Type_Volume!$A:$A,0),1),"X")),"")</f>
        <v>45000</v>
      </c>
      <c r="BK48" s="19">
        <f>IFERROR(IF($E48="REC",INDEX(A_Type_Volume!M:M,MATCH($D48,A_Type_Volume!$A:$A,0),1),IF($E48="VAM",INDEX(C_Type_Volume!M:M,MATCH($D48,C_Type_Volume!$A:$A,0),1),"X")),"")</f>
        <v>25200</v>
      </c>
      <c r="BL48" s="38">
        <f>SUM(Table1[[#This Row],[Jan_AVF]:[Dec_AVF]])</f>
        <v>1691700</v>
      </c>
      <c r="BM48" s="16">
        <f t="shared" si="40"/>
        <v>3865.5126719999998</v>
      </c>
      <c r="BN48" s="16">
        <f t="shared" si="41"/>
        <v>4939.2661919999991</v>
      </c>
      <c r="BO48" s="16">
        <f t="shared" si="42"/>
        <v>5368.7675999999992</v>
      </c>
      <c r="BP48" s="16">
        <f t="shared" si="43"/>
        <v>4509.764784</v>
      </c>
      <c r="BQ48" s="16">
        <f t="shared" si="44"/>
        <v>5154.0168959999992</v>
      </c>
      <c r="BR48" s="16">
        <f t="shared" si="45"/>
        <v>5154.0168959999992</v>
      </c>
      <c r="BS48" s="16">
        <f t="shared" si="46"/>
        <v>1165.789536</v>
      </c>
      <c r="BT48" s="16">
        <f t="shared" si="47"/>
        <v>920.36015999999995</v>
      </c>
      <c r="BU48" s="16">
        <f t="shared" si="48"/>
        <v>1043.074848</v>
      </c>
      <c r="BV48" s="16">
        <f t="shared" si="49"/>
        <v>1043.074848</v>
      </c>
      <c r="BW48" s="16">
        <f t="shared" si="50"/>
        <v>920.36015999999995</v>
      </c>
      <c r="BX48" s="16">
        <f t="shared" si="51"/>
        <v>515.40168959999994</v>
      </c>
      <c r="BY48" s="10">
        <f t="shared" si="17"/>
        <v>14173.546463999999</v>
      </c>
      <c r="BZ48" s="10">
        <f t="shared" si="18"/>
        <v>14817.798575999999</v>
      </c>
      <c r="CA48" s="10">
        <f t="shared" si="19"/>
        <v>3129.2245439999997</v>
      </c>
      <c r="CB48" s="10">
        <f t="shared" si="20"/>
        <v>2478.8366975999998</v>
      </c>
      <c r="CC48" s="10">
        <f>IFERROR(Table1[[#This Row],[Labor
Saving]]*Table1[[#This Row],[Annual Volume]],"")</f>
        <v>17682.406281600001</v>
      </c>
      <c r="CD48" s="10">
        <f>IFERROR(Table1[[#This Row],[Annual Volume]]*Table1[[#This Row],[Yield
Saving]],"")</f>
        <v>0</v>
      </c>
      <c r="CE48" s="10">
        <f>IFERROR(Table1[[#This Row],[Annual Volume]]*Table1[[#This Row],[Material
Saving]],"")</f>
        <v>16917</v>
      </c>
      <c r="CF48" s="10">
        <f>IFERROR(Table1[[#This Row],[OH
Saving]]*Table1[[#This Row],[Annual Volume]],"")</f>
        <v>0</v>
      </c>
      <c r="CG48" s="10">
        <f>SUM(Table1[[#This Row],[Labor_ASV]:[OH_ASV]])</f>
        <v>34599.406281600001</v>
      </c>
    </row>
    <row r="49" spans="1:85" x14ac:dyDescent="0.3">
      <c r="A49" t="str">
        <f>Table1[[#This Row],[Project Name]]&amp;Table1[[#This Row],[Part Number]]</f>
        <v>Diamond blade Supplier ZR9</v>
      </c>
      <c r="B49" t="str">
        <f>IFERROR(Table1[[#This Row],[Project Number]]&amp;Table1[[#This Row],[Part Number]],"")</f>
        <v>AME25-037R9</v>
      </c>
      <c r="C49" s="22" t="s">
        <v>89</v>
      </c>
      <c r="D49" s="24" t="s">
        <v>247</v>
      </c>
      <c r="E49" s="25" t="s">
        <v>58</v>
      </c>
      <c r="F49" s="6">
        <f>INDEX(Proj_Reg!G:G,MATCH($C49,Proj_Reg!$B:$B,0),1)</f>
        <v>46143</v>
      </c>
      <c r="G49" s="6">
        <f>INDEX(Proj_Reg!H:H,MATCH($C49,Proj_Reg!$B:$B,0),1)</f>
        <v>46478</v>
      </c>
      <c r="H49" s="6" t="str">
        <f>IF(INDEX(Proj_Reg!C:C,MATCH($C49,Proj_Reg!$B:$B,0),1)=0,"",INDEX(Proj_Reg!C:C,MATCH($C49,Proj_Reg!$B:$B,0),1))</f>
        <v>Wafer Saw Dicing</v>
      </c>
      <c r="I49" s="6" t="str">
        <f>IF(INDEX(Proj_Reg!D:D,MATCH($C49,Proj_Reg!$B:$B,0),1)=0,"",INDEX(Proj_Reg!D:D,MATCH($C49,Proj_Reg!$B:$B,0),1))</f>
        <v>XCD</v>
      </c>
      <c r="J49" s="6" t="str">
        <f>INDEX(Proj_Reg!E:E,MATCH($C49,Proj_Reg!$B:$B,0),1)</f>
        <v>Diamond blade Supplier Z</v>
      </c>
      <c r="K49" s="21">
        <v>1.8376159999999989E-3</v>
      </c>
      <c r="L49" s="21">
        <v>0</v>
      </c>
      <c r="M49" s="21">
        <v>3.2731530485999294E-4</v>
      </c>
      <c r="N49" s="21">
        <v>0</v>
      </c>
      <c r="O49" s="11">
        <f>SUM(Table1[[#This Row],[Labor
Saving]:[OH
Saving]])</f>
        <v>2.164931304859992E-3</v>
      </c>
      <c r="Q49" s="40">
        <f t="shared" si="21"/>
        <v>0</v>
      </c>
      <c r="R49" s="40">
        <f t="shared" si="0"/>
        <v>0</v>
      </c>
      <c r="S49" s="40">
        <f t="shared" si="1"/>
        <v>0</v>
      </c>
      <c r="T49" s="40">
        <f t="shared" si="2"/>
        <v>0</v>
      </c>
      <c r="U49" s="40">
        <f t="shared" si="3"/>
        <v>74465.7</v>
      </c>
      <c r="V49" s="40">
        <f t="shared" si="4"/>
        <v>244947</v>
      </c>
      <c r="W49" s="40">
        <f t="shared" si="5"/>
        <v>239480</v>
      </c>
      <c r="X49" s="40">
        <f t="shared" si="6"/>
        <v>186591</v>
      </c>
      <c r="Y49" s="40">
        <f t="shared" si="7"/>
        <v>181099</v>
      </c>
      <c r="Z49" s="40">
        <f t="shared" si="8"/>
        <v>155178</v>
      </c>
      <c r="AA49" s="40">
        <f t="shared" si="9"/>
        <v>171852</v>
      </c>
      <c r="AB49" s="40">
        <f t="shared" si="10"/>
        <v>132769</v>
      </c>
      <c r="AC49" s="37">
        <f>SUM(Table1[[#This Row],[Jan]:[Dec]])</f>
        <v>1386381.7</v>
      </c>
      <c r="AD49" s="15">
        <f t="shared" si="22"/>
        <v>0</v>
      </c>
      <c r="AE49" s="15">
        <f t="shared" si="23"/>
        <v>0</v>
      </c>
      <c r="AF49" s="15">
        <f t="shared" si="24"/>
        <v>0</v>
      </c>
      <c r="AG49" s="15">
        <f t="shared" si="25"/>
        <v>0</v>
      </c>
      <c r="AH49" s="15">
        <f t="shared" si="26"/>
        <v>161.21312506831271</v>
      </c>
      <c r="AI49" s="15">
        <f t="shared" si="27"/>
        <v>530.29342833154044</v>
      </c>
      <c r="AJ49" s="15">
        <f t="shared" si="28"/>
        <v>518.45774888787093</v>
      </c>
      <c r="AK49" s="15">
        <f t="shared" si="29"/>
        <v>403.95669710513079</v>
      </c>
      <c r="AL49" s="15">
        <f t="shared" si="30"/>
        <v>392.06689437883966</v>
      </c>
      <c r="AM49" s="15">
        <f t="shared" si="31"/>
        <v>335.94971002556383</v>
      </c>
      <c r="AN49" s="15">
        <f t="shared" si="32"/>
        <v>372.04777460279934</v>
      </c>
      <c r="AO49" s="15">
        <f t="shared" si="33"/>
        <v>287.43576441495628</v>
      </c>
      <c r="AP49" s="10">
        <f t="shared" si="34"/>
        <v>0</v>
      </c>
      <c r="AQ49" s="10">
        <f t="shared" si="35"/>
        <v>691.50655339985315</v>
      </c>
      <c r="AR49" s="10">
        <f t="shared" si="36"/>
        <v>1314.4813403718413</v>
      </c>
      <c r="AS49" s="10">
        <f t="shared" si="37"/>
        <v>995.43324904331939</v>
      </c>
      <c r="AT49" s="10" t="b">
        <f t="shared" si="38"/>
        <v>1</v>
      </c>
      <c r="AU49" s="10">
        <f t="shared" si="12"/>
        <v>2547.6371940271983</v>
      </c>
      <c r="AV49" s="10">
        <f t="shared" si="13"/>
        <v>0</v>
      </c>
      <c r="AW49" s="10">
        <f t="shared" si="14"/>
        <v>453.78394878781523</v>
      </c>
      <c r="AX49" s="10">
        <f t="shared" si="15"/>
        <v>0</v>
      </c>
      <c r="AY49" s="10">
        <f t="shared" si="39"/>
        <v>3001.4211428150138</v>
      </c>
      <c r="AZ49" s="19">
        <f>IFERROR(IF($E49="REC",INDEX(A_Type_Volume!$B:$B,MATCH($D49,A_Type_Volume!$A:$A,0),1),IF($E49="VAM",INDEX(C_Type_Volume!$B:$B,MATCH($D49,C_Type_Volume!$A:$A,0),1),"X")),"")</f>
        <v>193497</v>
      </c>
      <c r="BA49" s="19">
        <f>IFERROR(IF($E49="REC",INDEX(A_Type_Volume!$C:$C,MATCH($D49,A_Type_Volume!$A:$A,0),1),IF($E49="VAM",INDEX(C_Type_Volume!$C:$C,MATCH($D49,C_Type_Volume!$A:$A,0),1),"X")),"")</f>
        <v>216289</v>
      </c>
      <c r="BB49" s="19">
        <f>IFERROR(IF($E49="REC",INDEX(A_Type_Volume!$D:$D,MATCH($D49,A_Type_Volume!$A:$A,0),1),IF($E49="VAM",INDEX(C_Type_Volume!$D:$D,MATCH($D49,C_Type_Volume!$A:$A,0),1),"X")),"")</f>
        <v>231675</v>
      </c>
      <c r="BC49" s="19">
        <f>IFERROR(IF($E49="REC",INDEX(A_Type_Volume!$E:$E,MATCH($D49,A_Type_Volume!$A:$A,0),1),IF($E49="VAM",INDEX(C_Type_Volume!$E:$E,MATCH($D49,C_Type_Volume!$A:$A,0),1),"X")),"")</f>
        <v>197803</v>
      </c>
      <c r="BD49" s="19">
        <f>IFERROR(IF($E49="REC",INDEX(A_Type_Volume!$F:$F,MATCH($D49,A_Type_Volume!$A:$A,0),1),IF($E49="VAM",INDEX(C_Type_Volume!$F:$F,MATCH($D49,C_Type_Volume!$A:$A,0),1),"X")),"")</f>
        <v>248219</v>
      </c>
      <c r="BE49" s="19">
        <f>IFERROR(IF($E49="REC",INDEX(A_Type_Volume!$G:$G,MATCH($D49,A_Type_Volume!$A:$A,0),1),IF($E49="VAM",INDEX(C_Type_Volume!$G:$G,MATCH($D49,C_Type_Volume!$A:$A,0),1),"X")),"")</f>
        <v>244947</v>
      </c>
      <c r="BF49" s="19">
        <f>IFERROR(IF($E49="REC",INDEX(A_Type_Volume!$H:$H,MATCH($D49,A_Type_Volume!$A:$A,0),1),IF($E49="VAM",INDEX(C_Type_Volume!$H:$H,MATCH($D49,C_Type_Volume!$A:$A,0),1),"X")),"")</f>
        <v>239480</v>
      </c>
      <c r="BG49" s="19">
        <f>IFERROR(IF($E49="REC",INDEX(A_Type_Volume!$I:$I,MATCH($D49,A_Type_Volume!$A:$A,0),1),IF($E49="VAM",INDEX(C_Type_Volume!$I:$I,MATCH($D49,C_Type_Volume!$A:$A,0),1),"X")),"")</f>
        <v>186591</v>
      </c>
      <c r="BH49" s="19">
        <f>IFERROR(IF($E49="REC",INDEX(A_Type_Volume!$J:$J,MATCH($D49,A_Type_Volume!$A:$A,0),1),IF($E49="VAM",INDEX(C_Type_Volume!$J:$J,MATCH($D49,C_Type_Volume!$A:$A,0),1),"X")),"")</f>
        <v>181099</v>
      </c>
      <c r="BI49" s="19">
        <f>IFERROR(IF($E49="REC",INDEX(A_Type_Volume!$K:$K,MATCH($D49,A_Type_Volume!$A:$A,0),1),IF($E49="VAM",INDEX(C_Type_Volume!$K:$K,MATCH($D49,C_Type_Volume!$A:$A,0),1),"X")),"")</f>
        <v>155178</v>
      </c>
      <c r="BJ49" s="19">
        <f>IFERROR(IF($E49="REC",INDEX(A_Type_Volume!$L:$L,MATCH($D49,A_Type_Volume!$A:$A,0),1),IF($E49="VAM",INDEX(C_Type_Volume!$L:$L,MATCH($D49,C_Type_Volume!$A:$A,0),1),"X")),"")</f>
        <v>171852</v>
      </c>
      <c r="BK49" s="19">
        <f>IFERROR(IF($E49="REC",INDEX(A_Type_Volume!M:M,MATCH($D49,A_Type_Volume!$A:$A,0),1),IF($E49="VAM",INDEX(C_Type_Volume!M:M,MATCH($D49,C_Type_Volume!$A:$A,0),1),"X")),"")</f>
        <v>132769</v>
      </c>
      <c r="BL49" s="38">
        <f>SUM(Table1[[#This Row],[Jan_AVF]:[Dec_AVF]])</f>
        <v>2399399</v>
      </c>
      <c r="BM49" s="16">
        <f t="shared" si="40"/>
        <v>418.90771269649389</v>
      </c>
      <c r="BN49" s="16">
        <f t="shared" si="41"/>
        <v>468.25082699686283</v>
      </c>
      <c r="BO49" s="16">
        <f t="shared" si="42"/>
        <v>501.56046005343865</v>
      </c>
      <c r="BP49" s="16">
        <f t="shared" si="43"/>
        <v>428.22990689522101</v>
      </c>
      <c r="BQ49" s="16">
        <f t="shared" si="44"/>
        <v>537.37708356104235</v>
      </c>
      <c r="BR49" s="16">
        <f t="shared" si="45"/>
        <v>530.29342833154044</v>
      </c>
      <c r="BS49" s="16">
        <f t="shared" si="46"/>
        <v>518.45774888787093</v>
      </c>
      <c r="BT49" s="16">
        <f t="shared" si="47"/>
        <v>403.95669710513079</v>
      </c>
      <c r="BU49" s="16">
        <f t="shared" si="48"/>
        <v>392.06689437883966</v>
      </c>
      <c r="BV49" s="16">
        <f t="shared" si="49"/>
        <v>335.94971002556383</v>
      </c>
      <c r="BW49" s="16">
        <f t="shared" si="50"/>
        <v>372.04777460279934</v>
      </c>
      <c r="BX49" s="16">
        <f t="shared" si="51"/>
        <v>287.43576441495628</v>
      </c>
      <c r="BY49" s="10">
        <f t="shared" si="17"/>
        <v>1388.7189997467954</v>
      </c>
      <c r="BZ49" s="10">
        <f t="shared" si="18"/>
        <v>1495.9004187878038</v>
      </c>
      <c r="CA49" s="10">
        <f t="shared" si="19"/>
        <v>1314.4813403718413</v>
      </c>
      <c r="CB49" s="10">
        <f t="shared" si="20"/>
        <v>995.43324904331939</v>
      </c>
      <c r="CC49" s="10">
        <f>IFERROR(Table1[[#This Row],[Labor
Saving]]*Table1[[#This Row],[Annual Volume]],"")</f>
        <v>4409.1739927839972</v>
      </c>
      <c r="CD49" s="10">
        <f>IFERROR(Table1[[#This Row],[Annual Volume]]*Table1[[#This Row],[Yield
Saving]],"")</f>
        <v>0</v>
      </c>
      <c r="CE49" s="10">
        <f>IFERROR(Table1[[#This Row],[Annual Volume]]*Table1[[#This Row],[Material
Saving]],"")</f>
        <v>785.36001516576221</v>
      </c>
      <c r="CF49" s="10">
        <f>IFERROR(Table1[[#This Row],[OH
Saving]]*Table1[[#This Row],[Annual Volume]],"")</f>
        <v>0</v>
      </c>
      <c r="CG49" s="10">
        <f>SUM(Table1[[#This Row],[Labor_ASV]:[OH_ASV]])</f>
        <v>5194.5340079497591</v>
      </c>
    </row>
    <row r="50" spans="1:85" x14ac:dyDescent="0.3">
      <c r="A50" t="str">
        <f>Table1[[#This Row],[Project Name]]&amp;Table1[[#This Row],[Part Number]]</f>
        <v>Thermal Release Tape 1R77</v>
      </c>
      <c r="B50" t="str">
        <f>IFERROR(Table1[[#This Row],[Project Number]]&amp;Table1[[#This Row],[Part Number]],"")</f>
        <v>AME25-038R77</v>
      </c>
      <c r="C50" s="22" t="s">
        <v>90</v>
      </c>
      <c r="D50" s="24" t="s">
        <v>315</v>
      </c>
      <c r="E50" s="25" t="s">
        <v>58</v>
      </c>
      <c r="F50" s="6">
        <f>INDEX(Proj_Reg!G:G,MATCH($C50,Proj_Reg!$B:$B,0),1)</f>
        <v>46113</v>
      </c>
      <c r="G50" s="6">
        <f>INDEX(Proj_Reg!H:H,MATCH($C50,Proj_Reg!$B:$B,0),1)</f>
        <v>46447</v>
      </c>
      <c r="H50" s="6" t="str">
        <f>IF(INDEX(Proj_Reg!C:C,MATCH($C50,Proj_Reg!$B:$B,0),1)=0,"",INDEX(Proj_Reg!C:C,MATCH($C50,Proj_Reg!$B:$B,0),1))</f>
        <v>Wafer Saw Dicing</v>
      </c>
      <c r="I50" s="6" t="str">
        <f>IF(INDEX(Proj_Reg!D:D,MATCH($C50,Proj_Reg!$B:$B,0),1)=0,"",INDEX(Proj_Reg!D:D,MATCH($C50,Proj_Reg!$B:$B,0),1))</f>
        <v>XCD</v>
      </c>
      <c r="J50" s="6" t="str">
        <f>INDEX(Proj_Reg!E:E,MATCH($C50,Proj_Reg!$B:$B,0),1)</f>
        <v>Thermal Release Tape 1</v>
      </c>
      <c r="K50" s="21">
        <v>1.8376159999999989E-3</v>
      </c>
      <c r="L50" s="21">
        <v>0</v>
      </c>
      <c r="M50" s="21">
        <v>3.2731530485999294E-4</v>
      </c>
      <c r="N50" s="21">
        <v>0</v>
      </c>
      <c r="O50" s="11">
        <f>SUM(Table1[[#This Row],[Labor
Saving]:[OH
Saving]])</f>
        <v>2.164931304859992E-3</v>
      </c>
      <c r="Q50" s="40">
        <f t="shared" si="21"/>
        <v>0</v>
      </c>
      <c r="R50" s="40">
        <f t="shared" si="0"/>
        <v>0</v>
      </c>
      <c r="S50" s="40">
        <f t="shared" si="1"/>
        <v>0</v>
      </c>
      <c r="T50" s="40">
        <f t="shared" si="2"/>
        <v>8815.7999999999993</v>
      </c>
      <c r="U50" s="40">
        <f t="shared" si="3"/>
        <v>504</v>
      </c>
      <c r="V50" s="40">
        <f t="shared" si="4"/>
        <v>447</v>
      </c>
      <c r="W50" s="40">
        <f t="shared" si="5"/>
        <v>34310</v>
      </c>
      <c r="X50" s="40">
        <f t="shared" si="6"/>
        <v>24123</v>
      </c>
      <c r="Y50" s="40">
        <f t="shared" si="7"/>
        <v>21023</v>
      </c>
      <c r="Z50" s="40">
        <f t="shared" si="8"/>
        <v>20665</v>
      </c>
      <c r="AA50" s="40">
        <f t="shared" si="9"/>
        <v>19299</v>
      </c>
      <c r="AB50" s="40">
        <f t="shared" si="10"/>
        <v>13820</v>
      </c>
      <c r="AC50" s="37">
        <f>SUM(Table1[[#This Row],[Jan]:[Dec]])</f>
        <v>143006.79999999999</v>
      </c>
      <c r="AD50" s="15">
        <f t="shared" si="22"/>
        <v>0</v>
      </c>
      <c r="AE50" s="15">
        <f t="shared" si="23"/>
        <v>0</v>
      </c>
      <c r="AF50" s="15">
        <f t="shared" si="24"/>
        <v>0</v>
      </c>
      <c r="AG50" s="15">
        <f t="shared" si="25"/>
        <v>19.085601397384718</v>
      </c>
      <c r="AH50" s="15">
        <f t="shared" si="26"/>
        <v>1.0911253776494361</v>
      </c>
      <c r="AI50" s="15">
        <f t="shared" si="27"/>
        <v>0.96772429327241638</v>
      </c>
      <c r="AJ50" s="15">
        <f t="shared" si="28"/>
        <v>74.278793069746328</v>
      </c>
      <c r="AK50" s="15">
        <f t="shared" si="29"/>
        <v>52.224637867137588</v>
      </c>
      <c r="AL50" s="15">
        <f t="shared" si="30"/>
        <v>45.513350822071615</v>
      </c>
      <c r="AM50" s="15">
        <f t="shared" si="31"/>
        <v>44.738305414931737</v>
      </c>
      <c r="AN50" s="15">
        <f t="shared" si="32"/>
        <v>41.781009252492986</v>
      </c>
      <c r="AO50" s="15">
        <f t="shared" si="33"/>
        <v>29.919350633165088</v>
      </c>
      <c r="AP50" s="10">
        <f t="shared" si="34"/>
        <v>0</v>
      </c>
      <c r="AQ50" s="10">
        <f t="shared" si="35"/>
        <v>21.144451068306569</v>
      </c>
      <c r="AR50" s="10">
        <f t="shared" si="36"/>
        <v>172.01678175895552</v>
      </c>
      <c r="AS50" s="10">
        <f t="shared" si="37"/>
        <v>116.4386653005898</v>
      </c>
      <c r="AT50" s="10" t="b">
        <f t="shared" si="38"/>
        <v>1</v>
      </c>
      <c r="AU50" s="10">
        <f t="shared" si="12"/>
        <v>262.79158378879981</v>
      </c>
      <c r="AV50" s="10">
        <f t="shared" si="13"/>
        <v>0</v>
      </c>
      <c r="AW50" s="10">
        <f t="shared" si="14"/>
        <v>46.808314339052032</v>
      </c>
      <c r="AX50" s="10">
        <f t="shared" si="15"/>
        <v>0</v>
      </c>
      <c r="AY50" s="10">
        <f t="shared" si="39"/>
        <v>309.59989812785182</v>
      </c>
      <c r="AZ50" s="19">
        <f>IFERROR(IF($E50="REC",INDEX(A_Type_Volume!$B:$B,MATCH($D50,A_Type_Volume!$A:$A,0),1),IF($E50="VAM",INDEX(C_Type_Volume!$B:$B,MATCH($D50,C_Type_Volume!$A:$A,0),1),"X")),"")</f>
        <v>545</v>
      </c>
      <c r="BA50" s="19">
        <f>IFERROR(IF($E50="REC",INDEX(A_Type_Volume!$C:$C,MATCH($D50,A_Type_Volume!$A:$A,0),1),IF($E50="VAM",INDEX(C_Type_Volume!$C:$C,MATCH($D50,C_Type_Volume!$A:$A,0),1),"X")),"")</f>
        <v>577</v>
      </c>
      <c r="BB50" s="19">
        <f>IFERROR(IF($E50="REC",INDEX(A_Type_Volume!$D:$D,MATCH($D50,A_Type_Volume!$A:$A,0),1),IF($E50="VAM",INDEX(C_Type_Volume!$D:$D,MATCH($D50,C_Type_Volume!$A:$A,0),1),"X")),"")</f>
        <v>32005</v>
      </c>
      <c r="BC50" s="19">
        <f>IFERROR(IF($E50="REC",INDEX(A_Type_Volume!$E:$E,MATCH($D50,A_Type_Volume!$A:$A,0),1),IF($E50="VAM",INDEX(C_Type_Volume!$E:$E,MATCH($D50,C_Type_Volume!$A:$A,0),1),"X")),"")</f>
        <v>29386</v>
      </c>
      <c r="BD50" s="19">
        <f>IFERROR(IF($E50="REC",INDEX(A_Type_Volume!$F:$F,MATCH($D50,A_Type_Volume!$A:$A,0),1),IF($E50="VAM",INDEX(C_Type_Volume!$F:$F,MATCH($D50,C_Type_Volume!$A:$A,0),1),"X")),"")</f>
        <v>504</v>
      </c>
      <c r="BE50" s="19">
        <f>IFERROR(IF($E50="REC",INDEX(A_Type_Volume!$G:$G,MATCH($D50,A_Type_Volume!$A:$A,0),1),IF($E50="VAM",INDEX(C_Type_Volume!$G:$G,MATCH($D50,C_Type_Volume!$A:$A,0),1),"X")),"")</f>
        <v>447</v>
      </c>
      <c r="BF50" s="19">
        <f>IFERROR(IF($E50="REC",INDEX(A_Type_Volume!$H:$H,MATCH($D50,A_Type_Volume!$A:$A,0),1),IF($E50="VAM",INDEX(C_Type_Volume!$H:$H,MATCH($D50,C_Type_Volume!$A:$A,0),1),"X")),"")</f>
        <v>34310</v>
      </c>
      <c r="BG50" s="19">
        <f>IFERROR(IF($E50="REC",INDEX(A_Type_Volume!$I:$I,MATCH($D50,A_Type_Volume!$A:$A,0),1),IF($E50="VAM",INDEX(C_Type_Volume!$I:$I,MATCH($D50,C_Type_Volume!$A:$A,0),1),"X")),"")</f>
        <v>24123</v>
      </c>
      <c r="BH50" s="19">
        <f>IFERROR(IF($E50="REC",INDEX(A_Type_Volume!$J:$J,MATCH($D50,A_Type_Volume!$A:$A,0),1),IF($E50="VAM",INDEX(C_Type_Volume!$J:$J,MATCH($D50,C_Type_Volume!$A:$A,0),1),"X")),"")</f>
        <v>21023</v>
      </c>
      <c r="BI50" s="19">
        <f>IFERROR(IF($E50="REC",INDEX(A_Type_Volume!$K:$K,MATCH($D50,A_Type_Volume!$A:$A,0),1),IF($E50="VAM",INDEX(C_Type_Volume!$K:$K,MATCH($D50,C_Type_Volume!$A:$A,0),1),"X")),"")</f>
        <v>20665</v>
      </c>
      <c r="BJ50" s="19">
        <f>IFERROR(IF($E50="REC",INDEX(A_Type_Volume!$L:$L,MATCH($D50,A_Type_Volume!$A:$A,0),1),IF($E50="VAM",INDEX(C_Type_Volume!$L:$L,MATCH($D50,C_Type_Volume!$A:$A,0),1),"X")),"")</f>
        <v>19299</v>
      </c>
      <c r="BK50" s="19">
        <f>IFERROR(IF($E50="REC",INDEX(A_Type_Volume!M:M,MATCH($D50,A_Type_Volume!$A:$A,0),1),IF($E50="VAM",INDEX(C_Type_Volume!M:M,MATCH($D50,C_Type_Volume!$A:$A,0),1),"X")),"")</f>
        <v>13820</v>
      </c>
      <c r="BL50" s="38">
        <f>SUM(Table1[[#This Row],[Jan_AVF]:[Dec_AVF]])</f>
        <v>196704</v>
      </c>
      <c r="BM50" s="16">
        <f t="shared" si="40"/>
        <v>1.1798875611486956</v>
      </c>
      <c r="BN50" s="16">
        <f t="shared" si="41"/>
        <v>1.2491653629042154</v>
      </c>
      <c r="BO50" s="16">
        <f t="shared" si="42"/>
        <v>69.288626412044039</v>
      </c>
      <c r="BP50" s="16">
        <f t="shared" si="43"/>
        <v>63.618671324615725</v>
      </c>
      <c r="BQ50" s="16">
        <f t="shared" si="44"/>
        <v>1.0911253776494361</v>
      </c>
      <c r="BR50" s="16">
        <f t="shared" si="45"/>
        <v>0.96772429327241638</v>
      </c>
      <c r="BS50" s="16">
        <f t="shared" si="46"/>
        <v>74.278793069746328</v>
      </c>
      <c r="BT50" s="16">
        <f t="shared" si="47"/>
        <v>52.224637867137588</v>
      </c>
      <c r="BU50" s="16">
        <f t="shared" si="48"/>
        <v>45.513350822071615</v>
      </c>
      <c r="BV50" s="16">
        <f t="shared" si="49"/>
        <v>44.738305414931737</v>
      </c>
      <c r="BW50" s="16">
        <f t="shared" si="50"/>
        <v>41.781009252492986</v>
      </c>
      <c r="BX50" s="16">
        <f t="shared" si="51"/>
        <v>29.919350633165088</v>
      </c>
      <c r="BY50" s="10">
        <f t="shared" si="17"/>
        <v>71.71767933609695</v>
      </c>
      <c r="BZ50" s="10">
        <f t="shared" si="18"/>
        <v>65.677520995537577</v>
      </c>
      <c r="CA50" s="10">
        <f t="shared" si="19"/>
        <v>172.01678175895552</v>
      </c>
      <c r="CB50" s="10">
        <f t="shared" si="20"/>
        <v>116.4386653005898</v>
      </c>
      <c r="CC50" s="10">
        <f>IFERROR(Table1[[#This Row],[Labor
Saving]]*Table1[[#This Row],[Annual Volume]],"")</f>
        <v>361.46641766399978</v>
      </c>
      <c r="CD50" s="10">
        <f>IFERROR(Table1[[#This Row],[Annual Volume]]*Table1[[#This Row],[Yield
Saving]],"")</f>
        <v>0</v>
      </c>
      <c r="CE50" s="10">
        <f>IFERROR(Table1[[#This Row],[Annual Volume]]*Table1[[#This Row],[Material
Saving]],"")</f>
        <v>64.384229727180056</v>
      </c>
      <c r="CF50" s="10">
        <f>IFERROR(Table1[[#This Row],[OH
Saving]]*Table1[[#This Row],[Annual Volume]],"")</f>
        <v>0</v>
      </c>
      <c r="CG50" s="10">
        <f>SUM(Table1[[#This Row],[Labor_ASV]:[OH_ASV]])</f>
        <v>425.85064739117985</v>
      </c>
    </row>
    <row r="51" spans="1:85" x14ac:dyDescent="0.3">
      <c r="A51" t="str">
        <f>Table1[[#This Row],[Project Name]]&amp;Table1[[#This Row],[Part Number]]</f>
        <v>Tape Dicing 5R167</v>
      </c>
      <c r="B51" t="str">
        <f>IFERROR(Table1[[#This Row],[Project Number]]&amp;Table1[[#This Row],[Part Number]],"")</f>
        <v>AME25-090R167</v>
      </c>
      <c r="C51" s="22" t="s">
        <v>137</v>
      </c>
      <c r="D51" s="24" t="s">
        <v>405</v>
      </c>
      <c r="E51" s="25" t="s">
        <v>58</v>
      </c>
      <c r="F51" s="6">
        <f>INDEX(Proj_Reg!G:G,MATCH($C51,Proj_Reg!$B:$B,0),1)</f>
        <v>46143</v>
      </c>
      <c r="G51" s="6">
        <f>INDEX(Proj_Reg!H:H,MATCH($C51,Proj_Reg!$B:$B,0),1)</f>
        <v>46478</v>
      </c>
      <c r="H51" s="6" t="str">
        <f>IF(INDEX(Proj_Reg!C:C,MATCH($C51,Proj_Reg!$B:$B,0),1)=0,"",INDEX(Proj_Reg!C:C,MATCH($C51,Proj_Reg!$B:$B,0),1))</f>
        <v>Wafer Saw Dicing</v>
      </c>
      <c r="I51" s="6" t="str">
        <f>IF(INDEX(Proj_Reg!D:D,MATCH($C51,Proj_Reg!$B:$B,0),1)=0,"",INDEX(Proj_Reg!D:D,MATCH($C51,Proj_Reg!$B:$B,0),1))</f>
        <v>XCD</v>
      </c>
      <c r="J51" s="6" t="str">
        <f>INDEX(Proj_Reg!E:E,MATCH($C51,Proj_Reg!$B:$B,0),1)</f>
        <v>Tape Dicing 5</v>
      </c>
      <c r="K51" s="21">
        <v>5.912256000000002E-3</v>
      </c>
      <c r="L51" s="21">
        <v>0</v>
      </c>
      <c r="M51" s="21">
        <v>-5.8302508424000661E-4</v>
      </c>
      <c r="N51" s="21">
        <v>0</v>
      </c>
      <c r="O51" s="11">
        <f>SUM(Table1[[#This Row],[Labor
Saving]:[OH
Saving]])</f>
        <v>5.3292309157599955E-3</v>
      </c>
      <c r="Q51" s="40">
        <f t="shared" si="21"/>
        <v>0</v>
      </c>
      <c r="R51" s="40">
        <f t="shared" si="0"/>
        <v>0</v>
      </c>
      <c r="S51" s="40">
        <f t="shared" si="1"/>
        <v>0</v>
      </c>
      <c r="T51" s="40">
        <f t="shared" si="2"/>
        <v>0</v>
      </c>
      <c r="U51" s="40">
        <f t="shared" si="3"/>
        <v>0</v>
      </c>
      <c r="V51" s="40">
        <f t="shared" si="4"/>
        <v>0</v>
      </c>
      <c r="W51" s="40">
        <f t="shared" si="5"/>
        <v>0</v>
      </c>
      <c r="X51" s="40">
        <f t="shared" si="6"/>
        <v>0</v>
      </c>
      <c r="Y51" s="40">
        <f t="shared" si="7"/>
        <v>0</v>
      </c>
      <c r="Z51" s="40">
        <f t="shared" si="8"/>
        <v>0</v>
      </c>
      <c r="AA51" s="40">
        <f t="shared" si="9"/>
        <v>0</v>
      </c>
      <c r="AB51" s="40">
        <f t="shared" si="10"/>
        <v>0</v>
      </c>
      <c r="AC51" s="37">
        <f>SUM(Table1[[#This Row],[Jan]:[Dec]])</f>
        <v>0</v>
      </c>
      <c r="AD51" s="15">
        <f t="shared" si="22"/>
        <v>0</v>
      </c>
      <c r="AE51" s="15">
        <f t="shared" si="23"/>
        <v>0</v>
      </c>
      <c r="AF51" s="15">
        <f t="shared" si="24"/>
        <v>0</v>
      </c>
      <c r="AG51" s="15">
        <f t="shared" si="25"/>
        <v>0</v>
      </c>
      <c r="AH51" s="15">
        <f t="shared" si="26"/>
        <v>0</v>
      </c>
      <c r="AI51" s="15">
        <f t="shared" si="27"/>
        <v>0</v>
      </c>
      <c r="AJ51" s="15">
        <f t="shared" si="28"/>
        <v>0</v>
      </c>
      <c r="AK51" s="15">
        <f t="shared" si="29"/>
        <v>0</v>
      </c>
      <c r="AL51" s="15">
        <f t="shared" si="30"/>
        <v>0</v>
      </c>
      <c r="AM51" s="15">
        <f t="shared" si="31"/>
        <v>0</v>
      </c>
      <c r="AN51" s="15">
        <f t="shared" si="32"/>
        <v>0</v>
      </c>
      <c r="AO51" s="15">
        <f t="shared" si="33"/>
        <v>0</v>
      </c>
      <c r="AP51" s="10">
        <f t="shared" si="34"/>
        <v>0</v>
      </c>
      <c r="AQ51" s="10">
        <f t="shared" si="35"/>
        <v>0</v>
      </c>
      <c r="AR51" s="10">
        <f t="shared" si="36"/>
        <v>0</v>
      </c>
      <c r="AS51" s="10">
        <f t="shared" si="37"/>
        <v>0</v>
      </c>
      <c r="AT51" s="10" t="b">
        <f t="shared" si="38"/>
        <v>1</v>
      </c>
      <c r="AU51" s="10">
        <f t="shared" si="12"/>
        <v>0</v>
      </c>
      <c r="AV51" s="10">
        <f t="shared" si="13"/>
        <v>0</v>
      </c>
      <c r="AW51" s="10">
        <f t="shared" si="14"/>
        <v>0</v>
      </c>
      <c r="AX51" s="10">
        <f t="shared" si="15"/>
        <v>0</v>
      </c>
      <c r="AY51" s="10">
        <f t="shared" si="39"/>
        <v>0</v>
      </c>
      <c r="AZ51" s="19">
        <f>IFERROR(IF($E51="REC",INDEX(A_Type_Volume!$B:$B,MATCH($D51,A_Type_Volume!$A:$A,0),1),IF($E51="VAM",INDEX(C_Type_Volume!$B:$B,MATCH($D51,C_Type_Volume!$A:$A,0),1),"X")),"")</f>
        <v>0</v>
      </c>
      <c r="BA51" s="19">
        <f>IFERROR(IF($E51="REC",INDEX(A_Type_Volume!$C:$C,MATCH($D51,A_Type_Volume!$A:$A,0),1),IF($E51="VAM",INDEX(C_Type_Volume!$C:$C,MATCH($D51,C_Type_Volume!$A:$A,0),1),"X")),"")</f>
        <v>0</v>
      </c>
      <c r="BB51" s="19">
        <f>IFERROR(IF($E51="REC",INDEX(A_Type_Volume!$D:$D,MATCH($D51,A_Type_Volume!$A:$A,0),1),IF($E51="VAM",INDEX(C_Type_Volume!$D:$D,MATCH($D51,C_Type_Volume!$A:$A,0),1),"X")),"")</f>
        <v>0</v>
      </c>
      <c r="BC51" s="19">
        <f>IFERROR(IF($E51="REC",INDEX(A_Type_Volume!$E:$E,MATCH($D51,A_Type_Volume!$A:$A,0),1),IF($E51="VAM",INDEX(C_Type_Volume!$E:$E,MATCH($D51,C_Type_Volume!$A:$A,0),1),"X")),"")</f>
        <v>0</v>
      </c>
      <c r="BD51" s="19">
        <f>IFERROR(IF($E51="REC",INDEX(A_Type_Volume!$F:$F,MATCH($D51,A_Type_Volume!$A:$A,0),1),IF($E51="VAM",INDEX(C_Type_Volume!$F:$F,MATCH($D51,C_Type_Volume!$A:$A,0),1),"X")),"")</f>
        <v>0</v>
      </c>
      <c r="BE51" s="19">
        <f>IFERROR(IF($E51="REC",INDEX(A_Type_Volume!$G:$G,MATCH($D51,A_Type_Volume!$A:$A,0),1),IF($E51="VAM",INDEX(C_Type_Volume!$G:$G,MATCH($D51,C_Type_Volume!$A:$A,0),1),"X")),"")</f>
        <v>0</v>
      </c>
      <c r="BF51" s="19">
        <f>IFERROR(IF($E51="REC",INDEX(A_Type_Volume!$H:$H,MATCH($D51,A_Type_Volume!$A:$A,0),1),IF($E51="VAM",INDEX(C_Type_Volume!$H:$H,MATCH($D51,C_Type_Volume!$A:$A,0),1),"X")),"")</f>
        <v>0</v>
      </c>
      <c r="BG51" s="19">
        <f>IFERROR(IF($E51="REC",INDEX(A_Type_Volume!$I:$I,MATCH($D51,A_Type_Volume!$A:$A,0),1),IF($E51="VAM",INDEX(C_Type_Volume!$I:$I,MATCH($D51,C_Type_Volume!$A:$A,0),1),"X")),"")</f>
        <v>0</v>
      </c>
      <c r="BH51" s="19">
        <f>IFERROR(IF($E51="REC",INDEX(A_Type_Volume!$J:$J,MATCH($D51,A_Type_Volume!$A:$A,0),1),IF($E51="VAM",INDEX(C_Type_Volume!$J:$J,MATCH($D51,C_Type_Volume!$A:$A,0),1),"X")),"")</f>
        <v>0</v>
      </c>
      <c r="BI51" s="19">
        <f>IFERROR(IF($E51="REC",INDEX(A_Type_Volume!$K:$K,MATCH($D51,A_Type_Volume!$A:$A,0),1),IF($E51="VAM",INDEX(C_Type_Volume!$K:$K,MATCH($D51,C_Type_Volume!$A:$A,0),1),"X")),"")</f>
        <v>0</v>
      </c>
      <c r="BJ51" s="19">
        <f>IFERROR(IF($E51="REC",INDEX(A_Type_Volume!$L:$L,MATCH($D51,A_Type_Volume!$A:$A,0),1),IF($E51="VAM",INDEX(C_Type_Volume!$L:$L,MATCH($D51,C_Type_Volume!$A:$A,0),1),"X")),"")</f>
        <v>0</v>
      </c>
      <c r="BK51" s="19">
        <f>IFERROR(IF($E51="REC",INDEX(A_Type_Volume!M:M,MATCH($D51,A_Type_Volume!$A:$A,0),1),IF($E51="VAM",INDEX(C_Type_Volume!M:M,MATCH($D51,C_Type_Volume!$A:$A,0),1),"X")),"")</f>
        <v>0</v>
      </c>
      <c r="BL51" s="38">
        <f>SUM(Table1[[#This Row],[Jan_AVF]:[Dec_AVF]])</f>
        <v>0</v>
      </c>
      <c r="BM51" s="16">
        <f t="shared" si="40"/>
        <v>0</v>
      </c>
      <c r="BN51" s="16">
        <f t="shared" si="41"/>
        <v>0</v>
      </c>
      <c r="BO51" s="16">
        <f t="shared" si="42"/>
        <v>0</v>
      </c>
      <c r="BP51" s="16">
        <f t="shared" si="43"/>
        <v>0</v>
      </c>
      <c r="BQ51" s="16">
        <f t="shared" si="44"/>
        <v>0</v>
      </c>
      <c r="BR51" s="16">
        <f t="shared" si="45"/>
        <v>0</v>
      </c>
      <c r="BS51" s="16">
        <f t="shared" si="46"/>
        <v>0</v>
      </c>
      <c r="BT51" s="16">
        <f t="shared" si="47"/>
        <v>0</v>
      </c>
      <c r="BU51" s="16">
        <f t="shared" si="48"/>
        <v>0</v>
      </c>
      <c r="BV51" s="16">
        <f t="shared" si="49"/>
        <v>0</v>
      </c>
      <c r="BW51" s="16">
        <f t="shared" si="50"/>
        <v>0</v>
      </c>
      <c r="BX51" s="16">
        <f t="shared" si="51"/>
        <v>0</v>
      </c>
      <c r="BY51" s="10">
        <f t="shared" si="17"/>
        <v>0</v>
      </c>
      <c r="BZ51" s="10">
        <f t="shared" si="18"/>
        <v>0</v>
      </c>
      <c r="CA51" s="10">
        <f t="shared" si="19"/>
        <v>0</v>
      </c>
      <c r="CB51" s="10">
        <f t="shared" si="20"/>
        <v>0</v>
      </c>
      <c r="CC51" s="10">
        <f>IFERROR(Table1[[#This Row],[Labor
Saving]]*Table1[[#This Row],[Annual Volume]],"")</f>
        <v>0</v>
      </c>
      <c r="CD51" s="10">
        <f>IFERROR(Table1[[#This Row],[Annual Volume]]*Table1[[#This Row],[Yield
Saving]],"")</f>
        <v>0</v>
      </c>
      <c r="CE51" s="10">
        <f>IFERROR(Table1[[#This Row],[Annual Volume]]*Table1[[#This Row],[Material
Saving]],"")</f>
        <v>0</v>
      </c>
      <c r="CF51" s="10">
        <f>IFERROR(Table1[[#This Row],[OH
Saving]]*Table1[[#This Row],[Annual Volume]],"")</f>
        <v>0</v>
      </c>
      <c r="CG51" s="10">
        <f>SUM(Table1[[#This Row],[Labor_ASV]:[OH_ASV]])</f>
        <v>0</v>
      </c>
    </row>
    <row r="52" spans="1:85" x14ac:dyDescent="0.3">
      <c r="A52" t="str">
        <f>Table1[[#This Row],[Project Name]]&amp;Table1[[#This Row],[Part Number]]</f>
        <v>Tape Dicing 5R168</v>
      </c>
      <c r="B52" t="str">
        <f>IFERROR(Table1[[#This Row],[Project Number]]&amp;Table1[[#This Row],[Part Number]],"")</f>
        <v>AME25-090R168</v>
      </c>
      <c r="C52" s="22" t="s">
        <v>137</v>
      </c>
      <c r="D52" s="24" t="s">
        <v>406</v>
      </c>
      <c r="E52" s="25" t="s">
        <v>58</v>
      </c>
      <c r="F52" s="6">
        <f>INDEX(Proj_Reg!G:G,MATCH($C52,Proj_Reg!$B:$B,0),1)</f>
        <v>46143</v>
      </c>
      <c r="G52" s="6">
        <f>INDEX(Proj_Reg!H:H,MATCH($C52,Proj_Reg!$B:$B,0),1)</f>
        <v>46478</v>
      </c>
      <c r="H52" s="6" t="str">
        <f>IF(INDEX(Proj_Reg!C:C,MATCH($C52,Proj_Reg!$B:$B,0),1)=0,"",INDEX(Proj_Reg!C:C,MATCH($C52,Proj_Reg!$B:$B,0),1))</f>
        <v>Wafer Saw Dicing</v>
      </c>
      <c r="I52" s="6" t="str">
        <f>IF(INDEX(Proj_Reg!D:D,MATCH($C52,Proj_Reg!$B:$B,0),1)=0,"",INDEX(Proj_Reg!D:D,MATCH($C52,Proj_Reg!$B:$B,0),1))</f>
        <v>XCD</v>
      </c>
      <c r="J52" s="6" t="str">
        <f>INDEX(Proj_Reg!E:E,MATCH($C52,Proj_Reg!$B:$B,0),1)</f>
        <v>Tape Dicing 5</v>
      </c>
      <c r="K52" s="21">
        <v>1.7194975588760087E-2</v>
      </c>
      <c r="L52" s="21">
        <v>0</v>
      </c>
      <c r="M52" s="21">
        <v>0.02</v>
      </c>
      <c r="N52" s="21">
        <v>0</v>
      </c>
      <c r="O52" s="11">
        <f>SUM(Table1[[#This Row],[Labor
Saving]:[OH
Saving]])</f>
        <v>3.7194975588760087E-2</v>
      </c>
      <c r="Q52" s="40">
        <f t="shared" si="21"/>
        <v>0</v>
      </c>
      <c r="R52" s="40">
        <f t="shared" si="0"/>
        <v>0</v>
      </c>
      <c r="S52" s="40">
        <f t="shared" si="1"/>
        <v>0</v>
      </c>
      <c r="T52" s="40">
        <f t="shared" si="2"/>
        <v>0</v>
      </c>
      <c r="U52" s="40">
        <f t="shared" si="3"/>
        <v>0</v>
      </c>
      <c r="V52" s="40">
        <f t="shared" si="4"/>
        <v>0</v>
      </c>
      <c r="W52" s="40">
        <f t="shared" si="5"/>
        <v>0</v>
      </c>
      <c r="X52" s="40">
        <f t="shared" si="6"/>
        <v>0</v>
      </c>
      <c r="Y52" s="40">
        <f t="shared" si="7"/>
        <v>0</v>
      </c>
      <c r="Z52" s="40">
        <f t="shared" si="8"/>
        <v>0</v>
      </c>
      <c r="AA52" s="40">
        <f t="shared" si="9"/>
        <v>0</v>
      </c>
      <c r="AB52" s="40">
        <f t="shared" si="10"/>
        <v>0</v>
      </c>
      <c r="AC52" s="37">
        <f>SUM(Table1[[#This Row],[Jan]:[Dec]])</f>
        <v>0</v>
      </c>
      <c r="AD52" s="15">
        <f t="shared" si="22"/>
        <v>0</v>
      </c>
      <c r="AE52" s="15">
        <f t="shared" si="23"/>
        <v>0</v>
      </c>
      <c r="AF52" s="15">
        <f t="shared" si="24"/>
        <v>0</v>
      </c>
      <c r="AG52" s="15">
        <f t="shared" si="25"/>
        <v>0</v>
      </c>
      <c r="AH52" s="15">
        <f t="shared" si="26"/>
        <v>0</v>
      </c>
      <c r="AI52" s="15">
        <f t="shared" si="27"/>
        <v>0</v>
      </c>
      <c r="AJ52" s="15">
        <f t="shared" si="28"/>
        <v>0</v>
      </c>
      <c r="AK52" s="15">
        <f t="shared" si="29"/>
        <v>0</v>
      </c>
      <c r="AL52" s="15">
        <f t="shared" si="30"/>
        <v>0</v>
      </c>
      <c r="AM52" s="15">
        <f t="shared" si="31"/>
        <v>0</v>
      </c>
      <c r="AN52" s="15">
        <f t="shared" si="32"/>
        <v>0</v>
      </c>
      <c r="AO52" s="15">
        <f t="shared" si="33"/>
        <v>0</v>
      </c>
      <c r="AP52" s="10">
        <f t="shared" si="34"/>
        <v>0</v>
      </c>
      <c r="AQ52" s="10">
        <f t="shared" si="35"/>
        <v>0</v>
      </c>
      <c r="AR52" s="10">
        <f t="shared" si="36"/>
        <v>0</v>
      </c>
      <c r="AS52" s="10">
        <f t="shared" si="37"/>
        <v>0</v>
      </c>
      <c r="AT52" s="10" t="b">
        <f t="shared" si="38"/>
        <v>1</v>
      </c>
      <c r="AU52" s="10">
        <f t="shared" si="12"/>
        <v>0</v>
      </c>
      <c r="AV52" s="10">
        <f t="shared" si="13"/>
        <v>0</v>
      </c>
      <c r="AW52" s="10">
        <f t="shared" si="14"/>
        <v>0</v>
      </c>
      <c r="AX52" s="10">
        <f t="shared" si="15"/>
        <v>0</v>
      </c>
      <c r="AY52" s="10">
        <f t="shared" si="39"/>
        <v>0</v>
      </c>
      <c r="AZ52" s="19">
        <f>IFERROR(IF($E52="REC",INDEX(A_Type_Volume!$B:$B,MATCH($D52,A_Type_Volume!$A:$A,0),1),IF($E52="VAM",INDEX(C_Type_Volume!$B:$B,MATCH($D52,C_Type_Volume!$A:$A,0),1),"X")),"")</f>
        <v>0</v>
      </c>
      <c r="BA52" s="19">
        <f>IFERROR(IF($E52="REC",INDEX(A_Type_Volume!$C:$C,MATCH($D52,A_Type_Volume!$A:$A,0),1),IF($E52="VAM",INDEX(C_Type_Volume!$C:$C,MATCH($D52,C_Type_Volume!$A:$A,0),1),"X")),"")</f>
        <v>0</v>
      </c>
      <c r="BB52" s="19">
        <f>IFERROR(IF($E52="REC",INDEX(A_Type_Volume!$D:$D,MATCH($D52,A_Type_Volume!$A:$A,0),1),IF($E52="VAM",INDEX(C_Type_Volume!$D:$D,MATCH($D52,C_Type_Volume!$A:$A,0),1),"X")),"")</f>
        <v>0</v>
      </c>
      <c r="BC52" s="19">
        <f>IFERROR(IF($E52="REC",INDEX(A_Type_Volume!$E:$E,MATCH($D52,A_Type_Volume!$A:$A,0),1),IF($E52="VAM",INDEX(C_Type_Volume!$E:$E,MATCH($D52,C_Type_Volume!$A:$A,0),1),"X")),"")</f>
        <v>0</v>
      </c>
      <c r="BD52" s="19">
        <f>IFERROR(IF($E52="REC",INDEX(A_Type_Volume!$F:$F,MATCH($D52,A_Type_Volume!$A:$A,0),1),IF($E52="VAM",INDEX(C_Type_Volume!$F:$F,MATCH($D52,C_Type_Volume!$A:$A,0),1),"X")),"")</f>
        <v>0</v>
      </c>
      <c r="BE52" s="19">
        <f>IFERROR(IF($E52="REC",INDEX(A_Type_Volume!$G:$G,MATCH($D52,A_Type_Volume!$A:$A,0),1),IF($E52="VAM",INDEX(C_Type_Volume!$G:$G,MATCH($D52,C_Type_Volume!$A:$A,0),1),"X")),"")</f>
        <v>0</v>
      </c>
      <c r="BF52" s="19">
        <f>IFERROR(IF($E52="REC",INDEX(A_Type_Volume!$H:$H,MATCH($D52,A_Type_Volume!$A:$A,0),1),IF($E52="VAM",INDEX(C_Type_Volume!$H:$H,MATCH($D52,C_Type_Volume!$A:$A,0),1),"X")),"")</f>
        <v>0</v>
      </c>
      <c r="BG52" s="19">
        <f>IFERROR(IF($E52="REC",INDEX(A_Type_Volume!$I:$I,MATCH($D52,A_Type_Volume!$A:$A,0),1),IF($E52="VAM",INDEX(C_Type_Volume!$I:$I,MATCH($D52,C_Type_Volume!$A:$A,0),1),"X")),"")</f>
        <v>0</v>
      </c>
      <c r="BH52" s="19">
        <f>IFERROR(IF($E52="REC",INDEX(A_Type_Volume!$J:$J,MATCH($D52,A_Type_Volume!$A:$A,0),1),IF($E52="VAM",INDEX(C_Type_Volume!$J:$J,MATCH($D52,C_Type_Volume!$A:$A,0),1),"X")),"")</f>
        <v>0</v>
      </c>
      <c r="BI52" s="19">
        <f>IFERROR(IF($E52="REC",INDEX(A_Type_Volume!$K:$K,MATCH($D52,A_Type_Volume!$A:$A,0),1),IF($E52="VAM",INDEX(C_Type_Volume!$K:$K,MATCH($D52,C_Type_Volume!$A:$A,0),1),"X")),"")</f>
        <v>0</v>
      </c>
      <c r="BJ52" s="19">
        <f>IFERROR(IF($E52="REC",INDEX(A_Type_Volume!$L:$L,MATCH($D52,A_Type_Volume!$A:$A,0),1),IF($E52="VAM",INDEX(C_Type_Volume!$L:$L,MATCH($D52,C_Type_Volume!$A:$A,0),1),"X")),"")</f>
        <v>0</v>
      </c>
      <c r="BK52" s="19">
        <f>IFERROR(IF($E52="REC",INDEX(A_Type_Volume!M:M,MATCH($D52,A_Type_Volume!$A:$A,0),1),IF($E52="VAM",INDEX(C_Type_Volume!M:M,MATCH($D52,C_Type_Volume!$A:$A,0),1),"X")),"")</f>
        <v>0</v>
      </c>
      <c r="BL52" s="38">
        <f>SUM(Table1[[#This Row],[Jan_AVF]:[Dec_AVF]])</f>
        <v>0</v>
      </c>
      <c r="BM52" s="16">
        <f t="shared" si="40"/>
        <v>0</v>
      </c>
      <c r="BN52" s="16">
        <f t="shared" si="41"/>
        <v>0</v>
      </c>
      <c r="BO52" s="16">
        <f t="shared" si="42"/>
        <v>0</v>
      </c>
      <c r="BP52" s="16">
        <f t="shared" si="43"/>
        <v>0</v>
      </c>
      <c r="BQ52" s="16">
        <f t="shared" si="44"/>
        <v>0</v>
      </c>
      <c r="BR52" s="16">
        <f t="shared" si="45"/>
        <v>0</v>
      </c>
      <c r="BS52" s="16">
        <f t="shared" si="46"/>
        <v>0</v>
      </c>
      <c r="BT52" s="16">
        <f t="shared" si="47"/>
        <v>0</v>
      </c>
      <c r="BU52" s="16">
        <f t="shared" si="48"/>
        <v>0</v>
      </c>
      <c r="BV52" s="16">
        <f t="shared" si="49"/>
        <v>0</v>
      </c>
      <c r="BW52" s="16">
        <f t="shared" si="50"/>
        <v>0</v>
      </c>
      <c r="BX52" s="16">
        <f t="shared" si="51"/>
        <v>0</v>
      </c>
      <c r="BY52" s="10">
        <f t="shared" si="17"/>
        <v>0</v>
      </c>
      <c r="BZ52" s="10">
        <f t="shared" si="18"/>
        <v>0</v>
      </c>
      <c r="CA52" s="10">
        <f t="shared" si="19"/>
        <v>0</v>
      </c>
      <c r="CB52" s="10">
        <f t="shared" si="20"/>
        <v>0</v>
      </c>
      <c r="CC52" s="10">
        <f>IFERROR(Table1[[#This Row],[Labor
Saving]]*Table1[[#This Row],[Annual Volume]],"")</f>
        <v>0</v>
      </c>
      <c r="CD52" s="10">
        <f>IFERROR(Table1[[#This Row],[Annual Volume]]*Table1[[#This Row],[Yield
Saving]],"")</f>
        <v>0</v>
      </c>
      <c r="CE52" s="10">
        <f>IFERROR(Table1[[#This Row],[Annual Volume]]*Table1[[#This Row],[Material
Saving]],"")</f>
        <v>0</v>
      </c>
      <c r="CF52" s="10">
        <f>IFERROR(Table1[[#This Row],[OH
Saving]]*Table1[[#This Row],[Annual Volume]],"")</f>
        <v>0</v>
      </c>
      <c r="CG52" s="10">
        <f>SUM(Table1[[#This Row],[Labor_ASV]:[OH_ASV]])</f>
        <v>0</v>
      </c>
    </row>
    <row r="53" spans="1:85" x14ac:dyDescent="0.3">
      <c r="A53" t="str">
        <f>Table1[[#This Row],[Project Name]]&amp;Table1[[#This Row],[Part Number]]</f>
        <v>Tape Dicing 5R169</v>
      </c>
      <c r="B53" t="str">
        <f>IFERROR(Table1[[#This Row],[Project Number]]&amp;Table1[[#This Row],[Part Number]],"")</f>
        <v>AME25-090R169</v>
      </c>
      <c r="C53" s="22" t="s">
        <v>137</v>
      </c>
      <c r="D53" s="24" t="s">
        <v>407</v>
      </c>
      <c r="E53" s="25" t="s">
        <v>58</v>
      </c>
      <c r="F53" s="6">
        <f>INDEX(Proj_Reg!G:G,MATCH($C53,Proj_Reg!$B:$B,0),1)</f>
        <v>46143</v>
      </c>
      <c r="G53" s="6">
        <f>INDEX(Proj_Reg!H:H,MATCH($C53,Proj_Reg!$B:$B,0),1)</f>
        <v>46478</v>
      </c>
      <c r="H53" s="6" t="str">
        <f>IF(INDEX(Proj_Reg!C:C,MATCH($C53,Proj_Reg!$B:$B,0),1)=0,"",INDEX(Proj_Reg!C:C,MATCH($C53,Proj_Reg!$B:$B,0),1))</f>
        <v>Wafer Saw Dicing</v>
      </c>
      <c r="I53" s="6" t="str">
        <f>IF(INDEX(Proj_Reg!D:D,MATCH($C53,Proj_Reg!$B:$B,0),1)=0,"",INDEX(Proj_Reg!D:D,MATCH($C53,Proj_Reg!$B:$B,0),1))</f>
        <v>XCD</v>
      </c>
      <c r="J53" s="6" t="str">
        <f>INDEX(Proj_Reg!E:E,MATCH($C53,Proj_Reg!$B:$B,0),1)</f>
        <v>Tape Dicing 5</v>
      </c>
      <c r="K53" s="21">
        <v>1.7194975588760087E-2</v>
      </c>
      <c r="L53" s="21">
        <v>0</v>
      </c>
      <c r="M53" s="21">
        <v>0.02</v>
      </c>
      <c r="N53" s="21">
        <v>0</v>
      </c>
      <c r="O53" s="11">
        <f>SUM(Table1[[#This Row],[Labor
Saving]:[OH
Saving]])</f>
        <v>3.7194975588760087E-2</v>
      </c>
      <c r="Q53" s="40">
        <f t="shared" si="21"/>
        <v>0</v>
      </c>
      <c r="R53" s="40">
        <f t="shared" si="0"/>
        <v>0</v>
      </c>
      <c r="S53" s="40">
        <f t="shared" si="1"/>
        <v>0</v>
      </c>
      <c r="T53" s="40">
        <f t="shared" si="2"/>
        <v>0</v>
      </c>
      <c r="U53" s="40">
        <f t="shared" si="3"/>
        <v>0</v>
      </c>
      <c r="V53" s="40">
        <f t="shared" si="4"/>
        <v>0</v>
      </c>
      <c r="W53" s="40">
        <f t="shared" si="5"/>
        <v>0</v>
      </c>
      <c r="X53" s="40">
        <f t="shared" si="6"/>
        <v>0</v>
      </c>
      <c r="Y53" s="40">
        <f t="shared" si="7"/>
        <v>0</v>
      </c>
      <c r="Z53" s="40">
        <f t="shared" si="8"/>
        <v>0</v>
      </c>
      <c r="AA53" s="40">
        <f t="shared" si="9"/>
        <v>0</v>
      </c>
      <c r="AB53" s="40">
        <f t="shared" si="10"/>
        <v>0</v>
      </c>
      <c r="AC53" s="37">
        <f>SUM(Table1[[#This Row],[Jan]:[Dec]])</f>
        <v>0</v>
      </c>
      <c r="AD53" s="15">
        <f t="shared" si="22"/>
        <v>0</v>
      </c>
      <c r="AE53" s="15">
        <f t="shared" si="23"/>
        <v>0</v>
      </c>
      <c r="AF53" s="15">
        <f t="shared" si="24"/>
        <v>0</v>
      </c>
      <c r="AG53" s="15">
        <f t="shared" si="25"/>
        <v>0</v>
      </c>
      <c r="AH53" s="15">
        <f t="shared" si="26"/>
        <v>0</v>
      </c>
      <c r="AI53" s="15">
        <f t="shared" si="27"/>
        <v>0</v>
      </c>
      <c r="AJ53" s="15">
        <f t="shared" si="28"/>
        <v>0</v>
      </c>
      <c r="AK53" s="15">
        <f t="shared" si="29"/>
        <v>0</v>
      </c>
      <c r="AL53" s="15">
        <f t="shared" si="30"/>
        <v>0</v>
      </c>
      <c r="AM53" s="15">
        <f t="shared" si="31"/>
        <v>0</v>
      </c>
      <c r="AN53" s="15">
        <f t="shared" si="32"/>
        <v>0</v>
      </c>
      <c r="AO53" s="15">
        <f t="shared" si="33"/>
        <v>0</v>
      </c>
      <c r="AP53" s="10">
        <f t="shared" si="34"/>
        <v>0</v>
      </c>
      <c r="AQ53" s="10">
        <f t="shared" si="35"/>
        <v>0</v>
      </c>
      <c r="AR53" s="10">
        <f t="shared" si="36"/>
        <v>0</v>
      </c>
      <c r="AS53" s="10">
        <f t="shared" si="37"/>
        <v>0</v>
      </c>
      <c r="AT53" s="10" t="b">
        <f t="shared" si="38"/>
        <v>1</v>
      </c>
      <c r="AU53" s="10">
        <f t="shared" si="12"/>
        <v>0</v>
      </c>
      <c r="AV53" s="10">
        <f t="shared" si="13"/>
        <v>0</v>
      </c>
      <c r="AW53" s="10">
        <f t="shared" si="14"/>
        <v>0</v>
      </c>
      <c r="AX53" s="10">
        <f t="shared" si="15"/>
        <v>0</v>
      </c>
      <c r="AY53" s="10">
        <f t="shared" si="39"/>
        <v>0</v>
      </c>
      <c r="AZ53" s="19">
        <f>IFERROR(IF($E53="REC",INDEX(A_Type_Volume!$B:$B,MATCH($D53,A_Type_Volume!$A:$A,0),1),IF($E53="VAM",INDEX(C_Type_Volume!$B:$B,MATCH($D53,C_Type_Volume!$A:$A,0),1),"X")),"")</f>
        <v>0</v>
      </c>
      <c r="BA53" s="19">
        <f>IFERROR(IF($E53="REC",INDEX(A_Type_Volume!$C:$C,MATCH($D53,A_Type_Volume!$A:$A,0),1),IF($E53="VAM",INDEX(C_Type_Volume!$C:$C,MATCH($D53,C_Type_Volume!$A:$A,0),1),"X")),"")</f>
        <v>0</v>
      </c>
      <c r="BB53" s="19">
        <f>IFERROR(IF($E53="REC",INDEX(A_Type_Volume!$D:$D,MATCH($D53,A_Type_Volume!$A:$A,0),1),IF($E53="VAM",INDEX(C_Type_Volume!$D:$D,MATCH($D53,C_Type_Volume!$A:$A,0),1),"X")),"")</f>
        <v>0</v>
      </c>
      <c r="BC53" s="19">
        <f>IFERROR(IF($E53="REC",INDEX(A_Type_Volume!$E:$E,MATCH($D53,A_Type_Volume!$A:$A,0),1),IF($E53="VAM",INDEX(C_Type_Volume!$E:$E,MATCH($D53,C_Type_Volume!$A:$A,0),1),"X")),"")</f>
        <v>0</v>
      </c>
      <c r="BD53" s="19">
        <f>IFERROR(IF($E53="REC",INDEX(A_Type_Volume!$F:$F,MATCH($D53,A_Type_Volume!$A:$A,0),1),IF($E53="VAM",INDEX(C_Type_Volume!$F:$F,MATCH($D53,C_Type_Volume!$A:$A,0),1),"X")),"")</f>
        <v>0</v>
      </c>
      <c r="BE53" s="19">
        <f>IFERROR(IF($E53="REC",INDEX(A_Type_Volume!$G:$G,MATCH($D53,A_Type_Volume!$A:$A,0),1),IF($E53="VAM",INDEX(C_Type_Volume!$G:$G,MATCH($D53,C_Type_Volume!$A:$A,0),1),"X")),"")</f>
        <v>0</v>
      </c>
      <c r="BF53" s="19">
        <f>IFERROR(IF($E53="REC",INDEX(A_Type_Volume!$H:$H,MATCH($D53,A_Type_Volume!$A:$A,0),1),IF($E53="VAM",INDEX(C_Type_Volume!$H:$H,MATCH($D53,C_Type_Volume!$A:$A,0),1),"X")),"")</f>
        <v>0</v>
      </c>
      <c r="BG53" s="19">
        <f>IFERROR(IF($E53="REC",INDEX(A_Type_Volume!$I:$I,MATCH($D53,A_Type_Volume!$A:$A,0),1),IF($E53="VAM",INDEX(C_Type_Volume!$I:$I,MATCH($D53,C_Type_Volume!$A:$A,0),1),"X")),"")</f>
        <v>0</v>
      </c>
      <c r="BH53" s="19">
        <f>IFERROR(IF($E53="REC",INDEX(A_Type_Volume!$J:$J,MATCH($D53,A_Type_Volume!$A:$A,0),1),IF($E53="VAM",INDEX(C_Type_Volume!$J:$J,MATCH($D53,C_Type_Volume!$A:$A,0),1),"X")),"")</f>
        <v>0</v>
      </c>
      <c r="BI53" s="19">
        <f>IFERROR(IF($E53="REC",INDEX(A_Type_Volume!$K:$K,MATCH($D53,A_Type_Volume!$A:$A,0),1),IF($E53="VAM",INDEX(C_Type_Volume!$K:$K,MATCH($D53,C_Type_Volume!$A:$A,0),1),"X")),"")</f>
        <v>0</v>
      </c>
      <c r="BJ53" s="19">
        <f>IFERROR(IF($E53="REC",INDEX(A_Type_Volume!$L:$L,MATCH($D53,A_Type_Volume!$A:$A,0),1),IF($E53="VAM",INDEX(C_Type_Volume!$L:$L,MATCH($D53,C_Type_Volume!$A:$A,0),1),"X")),"")</f>
        <v>0</v>
      </c>
      <c r="BK53" s="19">
        <f>IFERROR(IF($E53="REC",INDEX(A_Type_Volume!M:M,MATCH($D53,A_Type_Volume!$A:$A,0),1),IF($E53="VAM",INDEX(C_Type_Volume!M:M,MATCH($D53,C_Type_Volume!$A:$A,0),1),"X")),"")</f>
        <v>0</v>
      </c>
      <c r="BL53" s="38">
        <f>SUM(Table1[[#This Row],[Jan_AVF]:[Dec_AVF]])</f>
        <v>0</v>
      </c>
      <c r="BM53" s="16">
        <f t="shared" si="40"/>
        <v>0</v>
      </c>
      <c r="BN53" s="16">
        <f t="shared" si="41"/>
        <v>0</v>
      </c>
      <c r="BO53" s="16">
        <f t="shared" si="42"/>
        <v>0</v>
      </c>
      <c r="BP53" s="16">
        <f t="shared" si="43"/>
        <v>0</v>
      </c>
      <c r="BQ53" s="16">
        <f t="shared" si="44"/>
        <v>0</v>
      </c>
      <c r="BR53" s="16">
        <f t="shared" si="45"/>
        <v>0</v>
      </c>
      <c r="BS53" s="16">
        <f t="shared" si="46"/>
        <v>0</v>
      </c>
      <c r="BT53" s="16">
        <f t="shared" si="47"/>
        <v>0</v>
      </c>
      <c r="BU53" s="16">
        <f t="shared" si="48"/>
        <v>0</v>
      </c>
      <c r="BV53" s="16">
        <f t="shared" si="49"/>
        <v>0</v>
      </c>
      <c r="BW53" s="16">
        <f t="shared" si="50"/>
        <v>0</v>
      </c>
      <c r="BX53" s="16">
        <f t="shared" si="51"/>
        <v>0</v>
      </c>
      <c r="BY53" s="10">
        <f t="shared" si="17"/>
        <v>0</v>
      </c>
      <c r="BZ53" s="10">
        <f t="shared" si="18"/>
        <v>0</v>
      </c>
      <c r="CA53" s="10">
        <f t="shared" si="19"/>
        <v>0</v>
      </c>
      <c r="CB53" s="10">
        <f t="shared" si="20"/>
        <v>0</v>
      </c>
      <c r="CC53" s="10">
        <f>IFERROR(Table1[[#This Row],[Labor
Saving]]*Table1[[#This Row],[Annual Volume]],"")</f>
        <v>0</v>
      </c>
      <c r="CD53" s="10">
        <f>IFERROR(Table1[[#This Row],[Annual Volume]]*Table1[[#This Row],[Yield
Saving]],"")</f>
        <v>0</v>
      </c>
      <c r="CE53" s="10">
        <f>IFERROR(Table1[[#This Row],[Annual Volume]]*Table1[[#This Row],[Material
Saving]],"")</f>
        <v>0</v>
      </c>
      <c r="CF53" s="10">
        <f>IFERROR(Table1[[#This Row],[OH
Saving]]*Table1[[#This Row],[Annual Volume]],"")</f>
        <v>0</v>
      </c>
      <c r="CG53" s="10">
        <f>SUM(Table1[[#This Row],[Labor_ASV]:[OH_ASV]])</f>
        <v>0</v>
      </c>
    </row>
    <row r="54" spans="1:85" x14ac:dyDescent="0.3">
      <c r="A54" t="str">
        <f>Table1[[#This Row],[Project Name]]&amp;Table1[[#This Row],[Part Number]]</f>
        <v>Tape Dicing 5R170</v>
      </c>
      <c r="B54" t="str">
        <f>IFERROR(Table1[[#This Row],[Project Number]]&amp;Table1[[#This Row],[Part Number]],"")</f>
        <v>AME25-090R170</v>
      </c>
      <c r="C54" s="22" t="s">
        <v>137</v>
      </c>
      <c r="D54" s="24" t="s">
        <v>408</v>
      </c>
      <c r="E54" s="25" t="s">
        <v>58</v>
      </c>
      <c r="F54" s="6">
        <f>INDEX(Proj_Reg!G:G,MATCH($C54,Proj_Reg!$B:$B,0),1)</f>
        <v>46143</v>
      </c>
      <c r="G54" s="6">
        <f>INDEX(Proj_Reg!H:H,MATCH($C54,Proj_Reg!$B:$B,0),1)</f>
        <v>46478</v>
      </c>
      <c r="H54" s="6" t="str">
        <f>IF(INDEX(Proj_Reg!C:C,MATCH($C54,Proj_Reg!$B:$B,0),1)=0,"",INDEX(Proj_Reg!C:C,MATCH($C54,Proj_Reg!$B:$B,0),1))</f>
        <v>Wafer Saw Dicing</v>
      </c>
      <c r="I54" s="6" t="str">
        <f>IF(INDEX(Proj_Reg!D:D,MATCH($C54,Proj_Reg!$B:$B,0),1)=0,"",INDEX(Proj_Reg!D:D,MATCH($C54,Proj_Reg!$B:$B,0),1))</f>
        <v>XCD</v>
      </c>
      <c r="J54" s="6" t="str">
        <f>INDEX(Proj_Reg!E:E,MATCH($C54,Proj_Reg!$B:$B,0),1)</f>
        <v>Tape Dicing 5</v>
      </c>
      <c r="K54" s="21">
        <v>1.7194975588760087E-2</v>
      </c>
      <c r="L54" s="21">
        <v>0</v>
      </c>
      <c r="M54" s="21">
        <v>0.02</v>
      </c>
      <c r="N54" s="21">
        <v>0</v>
      </c>
      <c r="O54" s="11">
        <f>SUM(Table1[[#This Row],[Labor
Saving]:[OH
Saving]])</f>
        <v>3.7194975588760087E-2</v>
      </c>
      <c r="Q54" s="40">
        <f t="shared" si="21"/>
        <v>0</v>
      </c>
      <c r="R54" s="40">
        <f t="shared" si="0"/>
        <v>0</v>
      </c>
      <c r="S54" s="40">
        <f t="shared" si="1"/>
        <v>0</v>
      </c>
      <c r="T54" s="40">
        <f t="shared" si="2"/>
        <v>0</v>
      </c>
      <c r="U54" s="40">
        <f t="shared" si="3"/>
        <v>0</v>
      </c>
      <c r="V54" s="40">
        <f t="shared" si="4"/>
        <v>0</v>
      </c>
      <c r="W54" s="40">
        <f t="shared" si="5"/>
        <v>0</v>
      </c>
      <c r="X54" s="40">
        <f t="shared" si="6"/>
        <v>0</v>
      </c>
      <c r="Y54" s="40">
        <f t="shared" si="7"/>
        <v>0</v>
      </c>
      <c r="Z54" s="40">
        <f t="shared" si="8"/>
        <v>0</v>
      </c>
      <c r="AA54" s="40">
        <f t="shared" si="9"/>
        <v>0</v>
      </c>
      <c r="AB54" s="40">
        <f t="shared" si="10"/>
        <v>0</v>
      </c>
      <c r="AC54" s="37">
        <f>SUM(Table1[[#This Row],[Jan]:[Dec]])</f>
        <v>0</v>
      </c>
      <c r="AD54" s="15">
        <f t="shared" si="22"/>
        <v>0</v>
      </c>
      <c r="AE54" s="15">
        <f t="shared" si="23"/>
        <v>0</v>
      </c>
      <c r="AF54" s="15">
        <f t="shared" si="24"/>
        <v>0</v>
      </c>
      <c r="AG54" s="15">
        <f t="shared" si="25"/>
        <v>0</v>
      </c>
      <c r="AH54" s="15">
        <f t="shared" si="26"/>
        <v>0</v>
      </c>
      <c r="AI54" s="15">
        <f t="shared" si="27"/>
        <v>0</v>
      </c>
      <c r="AJ54" s="15">
        <f t="shared" si="28"/>
        <v>0</v>
      </c>
      <c r="AK54" s="15">
        <f t="shared" si="29"/>
        <v>0</v>
      </c>
      <c r="AL54" s="15">
        <f t="shared" si="30"/>
        <v>0</v>
      </c>
      <c r="AM54" s="15">
        <f t="shared" si="31"/>
        <v>0</v>
      </c>
      <c r="AN54" s="15">
        <f t="shared" si="32"/>
        <v>0</v>
      </c>
      <c r="AO54" s="15">
        <f t="shared" si="33"/>
        <v>0</v>
      </c>
      <c r="AP54" s="10">
        <f t="shared" si="34"/>
        <v>0</v>
      </c>
      <c r="AQ54" s="10">
        <f t="shared" si="35"/>
        <v>0</v>
      </c>
      <c r="AR54" s="10">
        <f t="shared" si="36"/>
        <v>0</v>
      </c>
      <c r="AS54" s="10">
        <f t="shared" si="37"/>
        <v>0</v>
      </c>
      <c r="AT54" s="10" t="b">
        <f t="shared" si="38"/>
        <v>1</v>
      </c>
      <c r="AU54" s="10">
        <f t="shared" si="12"/>
        <v>0</v>
      </c>
      <c r="AV54" s="10">
        <f t="shared" si="13"/>
        <v>0</v>
      </c>
      <c r="AW54" s="10">
        <f t="shared" si="14"/>
        <v>0</v>
      </c>
      <c r="AX54" s="10">
        <f t="shared" si="15"/>
        <v>0</v>
      </c>
      <c r="AY54" s="10">
        <f t="shared" si="39"/>
        <v>0</v>
      </c>
      <c r="AZ54" s="19">
        <f>IFERROR(IF($E54="REC",INDEX(A_Type_Volume!$B:$B,MATCH($D54,A_Type_Volume!$A:$A,0),1),IF($E54="VAM",INDEX(C_Type_Volume!$B:$B,MATCH($D54,C_Type_Volume!$A:$A,0),1),"X")),"")</f>
        <v>0</v>
      </c>
      <c r="BA54" s="19">
        <f>IFERROR(IF($E54="REC",INDEX(A_Type_Volume!$C:$C,MATCH($D54,A_Type_Volume!$A:$A,0),1),IF($E54="VAM",INDEX(C_Type_Volume!$C:$C,MATCH($D54,C_Type_Volume!$A:$A,0),1),"X")),"")</f>
        <v>0</v>
      </c>
      <c r="BB54" s="19">
        <f>IFERROR(IF($E54="REC",INDEX(A_Type_Volume!$D:$D,MATCH($D54,A_Type_Volume!$A:$A,0),1),IF($E54="VAM",INDEX(C_Type_Volume!$D:$D,MATCH($D54,C_Type_Volume!$A:$A,0),1),"X")),"")</f>
        <v>0</v>
      </c>
      <c r="BC54" s="19">
        <f>IFERROR(IF($E54="REC",INDEX(A_Type_Volume!$E:$E,MATCH($D54,A_Type_Volume!$A:$A,0),1),IF($E54="VAM",INDEX(C_Type_Volume!$E:$E,MATCH($D54,C_Type_Volume!$A:$A,0),1),"X")),"")</f>
        <v>0</v>
      </c>
      <c r="BD54" s="19">
        <f>IFERROR(IF($E54="REC",INDEX(A_Type_Volume!$F:$F,MATCH($D54,A_Type_Volume!$A:$A,0),1),IF($E54="VAM",INDEX(C_Type_Volume!$F:$F,MATCH($D54,C_Type_Volume!$A:$A,0),1),"X")),"")</f>
        <v>0</v>
      </c>
      <c r="BE54" s="19">
        <f>IFERROR(IF($E54="REC",INDEX(A_Type_Volume!$G:$G,MATCH($D54,A_Type_Volume!$A:$A,0),1),IF($E54="VAM",INDEX(C_Type_Volume!$G:$G,MATCH($D54,C_Type_Volume!$A:$A,0),1),"X")),"")</f>
        <v>0</v>
      </c>
      <c r="BF54" s="19">
        <f>IFERROR(IF($E54="REC",INDEX(A_Type_Volume!$H:$H,MATCH($D54,A_Type_Volume!$A:$A,0),1),IF($E54="VAM",INDEX(C_Type_Volume!$H:$H,MATCH($D54,C_Type_Volume!$A:$A,0),1),"X")),"")</f>
        <v>0</v>
      </c>
      <c r="BG54" s="19">
        <f>IFERROR(IF($E54="REC",INDEX(A_Type_Volume!$I:$I,MATCH($D54,A_Type_Volume!$A:$A,0),1),IF($E54="VAM",INDEX(C_Type_Volume!$I:$I,MATCH($D54,C_Type_Volume!$A:$A,0),1),"X")),"")</f>
        <v>0</v>
      </c>
      <c r="BH54" s="19">
        <f>IFERROR(IF($E54="REC",INDEX(A_Type_Volume!$J:$J,MATCH($D54,A_Type_Volume!$A:$A,0),1),IF($E54="VAM",INDEX(C_Type_Volume!$J:$J,MATCH($D54,C_Type_Volume!$A:$A,0),1),"X")),"")</f>
        <v>0</v>
      </c>
      <c r="BI54" s="19">
        <f>IFERROR(IF($E54="REC",INDEX(A_Type_Volume!$K:$K,MATCH($D54,A_Type_Volume!$A:$A,0),1),IF($E54="VAM",INDEX(C_Type_Volume!$K:$K,MATCH($D54,C_Type_Volume!$A:$A,0),1),"X")),"")</f>
        <v>0</v>
      </c>
      <c r="BJ54" s="19">
        <f>IFERROR(IF($E54="REC",INDEX(A_Type_Volume!$L:$L,MATCH($D54,A_Type_Volume!$A:$A,0),1),IF($E54="VAM",INDEX(C_Type_Volume!$L:$L,MATCH($D54,C_Type_Volume!$A:$A,0),1),"X")),"")</f>
        <v>0</v>
      </c>
      <c r="BK54" s="19">
        <f>IFERROR(IF($E54="REC",INDEX(A_Type_Volume!M:M,MATCH($D54,A_Type_Volume!$A:$A,0),1),IF($E54="VAM",INDEX(C_Type_Volume!M:M,MATCH($D54,C_Type_Volume!$A:$A,0),1),"X")),"")</f>
        <v>0</v>
      </c>
      <c r="BL54" s="38">
        <f>SUM(Table1[[#This Row],[Jan_AVF]:[Dec_AVF]])</f>
        <v>0</v>
      </c>
      <c r="BM54" s="16">
        <f t="shared" si="40"/>
        <v>0</v>
      </c>
      <c r="BN54" s="16">
        <f t="shared" si="41"/>
        <v>0</v>
      </c>
      <c r="BO54" s="16">
        <f t="shared" si="42"/>
        <v>0</v>
      </c>
      <c r="BP54" s="16">
        <f t="shared" si="43"/>
        <v>0</v>
      </c>
      <c r="BQ54" s="16">
        <f t="shared" si="44"/>
        <v>0</v>
      </c>
      <c r="BR54" s="16">
        <f t="shared" si="45"/>
        <v>0</v>
      </c>
      <c r="BS54" s="16">
        <f t="shared" si="46"/>
        <v>0</v>
      </c>
      <c r="BT54" s="16">
        <f t="shared" si="47"/>
        <v>0</v>
      </c>
      <c r="BU54" s="16">
        <f t="shared" si="48"/>
        <v>0</v>
      </c>
      <c r="BV54" s="16">
        <f t="shared" si="49"/>
        <v>0</v>
      </c>
      <c r="BW54" s="16">
        <f t="shared" si="50"/>
        <v>0</v>
      </c>
      <c r="BX54" s="16">
        <f t="shared" si="51"/>
        <v>0</v>
      </c>
      <c r="BY54" s="10">
        <f t="shared" si="17"/>
        <v>0</v>
      </c>
      <c r="BZ54" s="10">
        <f t="shared" si="18"/>
        <v>0</v>
      </c>
      <c r="CA54" s="10">
        <f t="shared" si="19"/>
        <v>0</v>
      </c>
      <c r="CB54" s="10">
        <f t="shared" si="20"/>
        <v>0</v>
      </c>
      <c r="CC54" s="10">
        <f>IFERROR(Table1[[#This Row],[Labor
Saving]]*Table1[[#This Row],[Annual Volume]],"")</f>
        <v>0</v>
      </c>
      <c r="CD54" s="10">
        <f>IFERROR(Table1[[#This Row],[Annual Volume]]*Table1[[#This Row],[Yield
Saving]],"")</f>
        <v>0</v>
      </c>
      <c r="CE54" s="10">
        <f>IFERROR(Table1[[#This Row],[Annual Volume]]*Table1[[#This Row],[Material
Saving]],"")</f>
        <v>0</v>
      </c>
      <c r="CF54" s="10">
        <f>IFERROR(Table1[[#This Row],[OH
Saving]]*Table1[[#This Row],[Annual Volume]],"")</f>
        <v>0</v>
      </c>
      <c r="CG54" s="10">
        <f>SUM(Table1[[#This Row],[Labor_ASV]:[OH_ASV]])</f>
        <v>0</v>
      </c>
    </row>
    <row r="55" spans="1:85" x14ac:dyDescent="0.3">
      <c r="A55" t="str">
        <f>Table1[[#This Row],[Project Name]]&amp;Table1[[#This Row],[Part Number]]</f>
        <v>Tape Dicing 5R171</v>
      </c>
      <c r="B55" t="str">
        <f>IFERROR(Table1[[#This Row],[Project Number]]&amp;Table1[[#This Row],[Part Number]],"")</f>
        <v>AME25-090R171</v>
      </c>
      <c r="C55" s="22" t="s">
        <v>137</v>
      </c>
      <c r="D55" s="24" t="s">
        <v>409</v>
      </c>
      <c r="E55" s="25" t="s">
        <v>58</v>
      </c>
      <c r="F55" s="6">
        <f>INDEX(Proj_Reg!G:G,MATCH($C55,Proj_Reg!$B:$B,0),1)</f>
        <v>46143</v>
      </c>
      <c r="G55" s="6">
        <f>INDEX(Proj_Reg!H:H,MATCH($C55,Proj_Reg!$B:$B,0),1)</f>
        <v>46478</v>
      </c>
      <c r="H55" s="6" t="str">
        <f>IF(INDEX(Proj_Reg!C:C,MATCH($C55,Proj_Reg!$B:$B,0),1)=0,"",INDEX(Proj_Reg!C:C,MATCH($C55,Proj_Reg!$B:$B,0),1))</f>
        <v>Wafer Saw Dicing</v>
      </c>
      <c r="I55" s="6" t="str">
        <f>IF(INDEX(Proj_Reg!D:D,MATCH($C55,Proj_Reg!$B:$B,0),1)=0,"",INDEX(Proj_Reg!D:D,MATCH($C55,Proj_Reg!$B:$B,0),1))</f>
        <v>XCD</v>
      </c>
      <c r="J55" s="6" t="str">
        <f>INDEX(Proj_Reg!E:E,MATCH($C55,Proj_Reg!$B:$B,0),1)</f>
        <v>Tape Dicing 5</v>
      </c>
      <c r="K55" s="21">
        <v>1.7194975588760087E-2</v>
      </c>
      <c r="L55" s="21">
        <v>0</v>
      </c>
      <c r="M55" s="21">
        <v>0.02</v>
      </c>
      <c r="N55" s="21">
        <v>0</v>
      </c>
      <c r="O55" s="11">
        <f>SUM(Table1[[#This Row],[Labor
Saving]:[OH
Saving]])</f>
        <v>3.7194975588760087E-2</v>
      </c>
      <c r="Q55" s="40">
        <f t="shared" si="21"/>
        <v>0</v>
      </c>
      <c r="R55" s="40">
        <f t="shared" si="0"/>
        <v>0</v>
      </c>
      <c r="S55" s="40">
        <f t="shared" si="1"/>
        <v>0</v>
      </c>
      <c r="T55" s="40">
        <f t="shared" si="2"/>
        <v>0</v>
      </c>
      <c r="U55" s="40">
        <f t="shared" si="3"/>
        <v>0</v>
      </c>
      <c r="V55" s="40">
        <f t="shared" si="4"/>
        <v>0</v>
      </c>
      <c r="W55" s="40">
        <f t="shared" si="5"/>
        <v>0</v>
      </c>
      <c r="X55" s="40">
        <f t="shared" si="6"/>
        <v>0</v>
      </c>
      <c r="Y55" s="40">
        <f t="shared" si="7"/>
        <v>0</v>
      </c>
      <c r="Z55" s="40">
        <f t="shared" si="8"/>
        <v>0</v>
      </c>
      <c r="AA55" s="40">
        <f t="shared" si="9"/>
        <v>0</v>
      </c>
      <c r="AB55" s="40">
        <f t="shared" si="10"/>
        <v>0</v>
      </c>
      <c r="AC55" s="37">
        <f>SUM(Table1[[#This Row],[Jan]:[Dec]])</f>
        <v>0</v>
      </c>
      <c r="AD55" s="15">
        <f t="shared" si="22"/>
        <v>0</v>
      </c>
      <c r="AE55" s="15">
        <f t="shared" si="23"/>
        <v>0</v>
      </c>
      <c r="AF55" s="15">
        <f t="shared" si="24"/>
        <v>0</v>
      </c>
      <c r="AG55" s="15">
        <f t="shared" si="25"/>
        <v>0</v>
      </c>
      <c r="AH55" s="15">
        <f t="shared" si="26"/>
        <v>0</v>
      </c>
      <c r="AI55" s="15">
        <f t="shared" si="27"/>
        <v>0</v>
      </c>
      <c r="AJ55" s="15">
        <f t="shared" si="28"/>
        <v>0</v>
      </c>
      <c r="AK55" s="15">
        <f t="shared" si="29"/>
        <v>0</v>
      </c>
      <c r="AL55" s="15">
        <f t="shared" si="30"/>
        <v>0</v>
      </c>
      <c r="AM55" s="15">
        <f t="shared" si="31"/>
        <v>0</v>
      </c>
      <c r="AN55" s="15">
        <f t="shared" si="32"/>
        <v>0</v>
      </c>
      <c r="AO55" s="15">
        <f t="shared" si="33"/>
        <v>0</v>
      </c>
      <c r="AP55" s="10">
        <f t="shared" si="34"/>
        <v>0</v>
      </c>
      <c r="AQ55" s="10">
        <f t="shared" si="35"/>
        <v>0</v>
      </c>
      <c r="AR55" s="10">
        <f t="shared" si="36"/>
        <v>0</v>
      </c>
      <c r="AS55" s="10">
        <f t="shared" si="37"/>
        <v>0</v>
      </c>
      <c r="AT55" s="10" t="b">
        <f t="shared" si="38"/>
        <v>1</v>
      </c>
      <c r="AU55" s="10">
        <f t="shared" si="12"/>
        <v>0</v>
      </c>
      <c r="AV55" s="10">
        <f t="shared" si="13"/>
        <v>0</v>
      </c>
      <c r="AW55" s="10">
        <f t="shared" si="14"/>
        <v>0</v>
      </c>
      <c r="AX55" s="10">
        <f t="shared" si="15"/>
        <v>0</v>
      </c>
      <c r="AY55" s="10">
        <f t="shared" si="39"/>
        <v>0</v>
      </c>
      <c r="AZ55" s="19">
        <f>IFERROR(IF($E55="REC",INDEX(A_Type_Volume!$B:$B,MATCH($D55,A_Type_Volume!$A:$A,0),1),IF($E55="VAM",INDEX(C_Type_Volume!$B:$B,MATCH($D55,C_Type_Volume!$A:$A,0),1),"X")),"")</f>
        <v>0</v>
      </c>
      <c r="BA55" s="19">
        <f>IFERROR(IF($E55="REC",INDEX(A_Type_Volume!$C:$C,MATCH($D55,A_Type_Volume!$A:$A,0),1),IF($E55="VAM",INDEX(C_Type_Volume!$C:$C,MATCH($D55,C_Type_Volume!$A:$A,0),1),"X")),"")</f>
        <v>0</v>
      </c>
      <c r="BB55" s="19">
        <f>IFERROR(IF($E55="REC",INDEX(A_Type_Volume!$D:$D,MATCH($D55,A_Type_Volume!$A:$A,0),1),IF($E55="VAM",INDEX(C_Type_Volume!$D:$D,MATCH($D55,C_Type_Volume!$A:$A,0),1),"X")),"")</f>
        <v>0</v>
      </c>
      <c r="BC55" s="19">
        <f>IFERROR(IF($E55="REC",INDEX(A_Type_Volume!$E:$E,MATCH($D55,A_Type_Volume!$A:$A,0),1),IF($E55="VAM",INDEX(C_Type_Volume!$E:$E,MATCH($D55,C_Type_Volume!$A:$A,0),1),"X")),"")</f>
        <v>0</v>
      </c>
      <c r="BD55" s="19">
        <f>IFERROR(IF($E55="REC",INDEX(A_Type_Volume!$F:$F,MATCH($D55,A_Type_Volume!$A:$A,0),1),IF($E55="VAM",INDEX(C_Type_Volume!$F:$F,MATCH($D55,C_Type_Volume!$A:$A,0),1),"X")),"")</f>
        <v>0</v>
      </c>
      <c r="BE55" s="19">
        <f>IFERROR(IF($E55="REC",INDEX(A_Type_Volume!$G:$G,MATCH($D55,A_Type_Volume!$A:$A,0),1),IF($E55="VAM",INDEX(C_Type_Volume!$G:$G,MATCH($D55,C_Type_Volume!$A:$A,0),1),"X")),"")</f>
        <v>0</v>
      </c>
      <c r="BF55" s="19">
        <f>IFERROR(IF($E55="REC",INDEX(A_Type_Volume!$H:$H,MATCH($D55,A_Type_Volume!$A:$A,0),1),IF($E55="VAM",INDEX(C_Type_Volume!$H:$H,MATCH($D55,C_Type_Volume!$A:$A,0),1),"X")),"")</f>
        <v>0</v>
      </c>
      <c r="BG55" s="19">
        <f>IFERROR(IF($E55="REC",INDEX(A_Type_Volume!$I:$I,MATCH($D55,A_Type_Volume!$A:$A,0),1),IF($E55="VAM",INDEX(C_Type_Volume!$I:$I,MATCH($D55,C_Type_Volume!$A:$A,0),1),"X")),"")</f>
        <v>0</v>
      </c>
      <c r="BH55" s="19">
        <f>IFERROR(IF($E55="REC",INDEX(A_Type_Volume!$J:$J,MATCH($D55,A_Type_Volume!$A:$A,0),1),IF($E55="VAM",INDEX(C_Type_Volume!$J:$J,MATCH($D55,C_Type_Volume!$A:$A,0),1),"X")),"")</f>
        <v>0</v>
      </c>
      <c r="BI55" s="19">
        <f>IFERROR(IF($E55="REC",INDEX(A_Type_Volume!$K:$K,MATCH($D55,A_Type_Volume!$A:$A,0),1),IF($E55="VAM",INDEX(C_Type_Volume!$K:$K,MATCH($D55,C_Type_Volume!$A:$A,0),1),"X")),"")</f>
        <v>0</v>
      </c>
      <c r="BJ55" s="19">
        <f>IFERROR(IF($E55="REC",INDEX(A_Type_Volume!$L:$L,MATCH($D55,A_Type_Volume!$A:$A,0),1),IF($E55="VAM",INDEX(C_Type_Volume!$L:$L,MATCH($D55,C_Type_Volume!$A:$A,0),1),"X")),"")</f>
        <v>0</v>
      </c>
      <c r="BK55" s="19">
        <f>IFERROR(IF($E55="REC",INDEX(A_Type_Volume!M:M,MATCH($D55,A_Type_Volume!$A:$A,0),1),IF($E55="VAM",INDEX(C_Type_Volume!M:M,MATCH($D55,C_Type_Volume!$A:$A,0),1),"X")),"")</f>
        <v>0</v>
      </c>
      <c r="BL55" s="38">
        <f>SUM(Table1[[#This Row],[Jan_AVF]:[Dec_AVF]])</f>
        <v>0</v>
      </c>
      <c r="BM55" s="16">
        <f t="shared" si="40"/>
        <v>0</v>
      </c>
      <c r="BN55" s="16">
        <f t="shared" si="41"/>
        <v>0</v>
      </c>
      <c r="BO55" s="16">
        <f t="shared" si="42"/>
        <v>0</v>
      </c>
      <c r="BP55" s="16">
        <f t="shared" si="43"/>
        <v>0</v>
      </c>
      <c r="BQ55" s="16">
        <f t="shared" si="44"/>
        <v>0</v>
      </c>
      <c r="BR55" s="16">
        <f t="shared" si="45"/>
        <v>0</v>
      </c>
      <c r="BS55" s="16">
        <f t="shared" si="46"/>
        <v>0</v>
      </c>
      <c r="BT55" s="16">
        <f t="shared" si="47"/>
        <v>0</v>
      </c>
      <c r="BU55" s="16">
        <f t="shared" si="48"/>
        <v>0</v>
      </c>
      <c r="BV55" s="16">
        <f t="shared" si="49"/>
        <v>0</v>
      </c>
      <c r="BW55" s="16">
        <f t="shared" si="50"/>
        <v>0</v>
      </c>
      <c r="BX55" s="16">
        <f t="shared" si="51"/>
        <v>0</v>
      </c>
      <c r="BY55" s="10">
        <f t="shared" si="17"/>
        <v>0</v>
      </c>
      <c r="BZ55" s="10">
        <f t="shared" si="18"/>
        <v>0</v>
      </c>
      <c r="CA55" s="10">
        <f t="shared" si="19"/>
        <v>0</v>
      </c>
      <c r="CB55" s="10">
        <f t="shared" si="20"/>
        <v>0</v>
      </c>
      <c r="CC55" s="10">
        <f>IFERROR(Table1[[#This Row],[Labor
Saving]]*Table1[[#This Row],[Annual Volume]],"")</f>
        <v>0</v>
      </c>
      <c r="CD55" s="10">
        <f>IFERROR(Table1[[#This Row],[Annual Volume]]*Table1[[#This Row],[Yield
Saving]],"")</f>
        <v>0</v>
      </c>
      <c r="CE55" s="10">
        <f>IFERROR(Table1[[#This Row],[Annual Volume]]*Table1[[#This Row],[Material
Saving]],"")</f>
        <v>0</v>
      </c>
      <c r="CF55" s="10">
        <f>IFERROR(Table1[[#This Row],[OH
Saving]]*Table1[[#This Row],[Annual Volume]],"")</f>
        <v>0</v>
      </c>
      <c r="CG55" s="10">
        <f>SUM(Table1[[#This Row],[Labor_ASV]:[OH_ASV]])</f>
        <v>0</v>
      </c>
    </row>
    <row r="56" spans="1:85" x14ac:dyDescent="0.3">
      <c r="A56" t="str">
        <f>Table1[[#This Row],[Project Name]]&amp;Table1[[#This Row],[Part Number]]</f>
        <v>Tape Dicing 5R172</v>
      </c>
      <c r="B56" t="str">
        <f>IFERROR(Table1[[#This Row],[Project Number]]&amp;Table1[[#This Row],[Part Number]],"")</f>
        <v>AME25-090R172</v>
      </c>
      <c r="C56" s="22" t="s">
        <v>137</v>
      </c>
      <c r="D56" s="24" t="s">
        <v>410</v>
      </c>
      <c r="E56" s="25" t="s">
        <v>58</v>
      </c>
      <c r="F56" s="6">
        <f>INDEX(Proj_Reg!G:G,MATCH($C56,Proj_Reg!$B:$B,0),1)</f>
        <v>46143</v>
      </c>
      <c r="G56" s="6">
        <f>INDEX(Proj_Reg!H:H,MATCH($C56,Proj_Reg!$B:$B,0),1)</f>
        <v>46478</v>
      </c>
      <c r="H56" s="6" t="str">
        <f>IF(INDEX(Proj_Reg!C:C,MATCH($C56,Proj_Reg!$B:$B,0),1)=0,"",INDEX(Proj_Reg!C:C,MATCH($C56,Proj_Reg!$B:$B,0),1))</f>
        <v>Wafer Saw Dicing</v>
      </c>
      <c r="I56" s="6" t="str">
        <f>IF(INDEX(Proj_Reg!D:D,MATCH($C56,Proj_Reg!$B:$B,0),1)=0,"",INDEX(Proj_Reg!D:D,MATCH($C56,Proj_Reg!$B:$B,0),1))</f>
        <v>XCD</v>
      </c>
      <c r="J56" s="6" t="str">
        <f>INDEX(Proj_Reg!E:E,MATCH($C56,Proj_Reg!$B:$B,0),1)</f>
        <v>Tape Dicing 5</v>
      </c>
      <c r="K56" s="21">
        <v>1.7194975588760087E-2</v>
      </c>
      <c r="L56" s="21">
        <v>0</v>
      </c>
      <c r="M56" s="21">
        <v>0.02</v>
      </c>
      <c r="N56" s="21">
        <v>0</v>
      </c>
      <c r="O56" s="11">
        <f>SUM(Table1[[#This Row],[Labor
Saving]:[OH
Saving]])</f>
        <v>3.7194975588760087E-2</v>
      </c>
      <c r="Q56" s="40">
        <f t="shared" si="21"/>
        <v>0</v>
      </c>
      <c r="R56" s="40">
        <f t="shared" si="0"/>
        <v>0</v>
      </c>
      <c r="S56" s="40">
        <f t="shared" si="1"/>
        <v>0</v>
      </c>
      <c r="T56" s="40">
        <f t="shared" si="2"/>
        <v>0</v>
      </c>
      <c r="U56" s="40">
        <f t="shared" si="3"/>
        <v>0</v>
      </c>
      <c r="V56" s="40">
        <f t="shared" si="4"/>
        <v>0</v>
      </c>
      <c r="W56" s="40">
        <f t="shared" si="5"/>
        <v>0</v>
      </c>
      <c r="X56" s="40">
        <f t="shared" si="6"/>
        <v>0</v>
      </c>
      <c r="Y56" s="40">
        <f t="shared" si="7"/>
        <v>0</v>
      </c>
      <c r="Z56" s="40">
        <f t="shared" si="8"/>
        <v>0</v>
      </c>
      <c r="AA56" s="40">
        <f t="shared" si="9"/>
        <v>0</v>
      </c>
      <c r="AB56" s="40">
        <f t="shared" si="10"/>
        <v>0</v>
      </c>
      <c r="AC56" s="37">
        <f>SUM(Table1[[#This Row],[Jan]:[Dec]])</f>
        <v>0</v>
      </c>
      <c r="AD56" s="15">
        <f t="shared" si="22"/>
        <v>0</v>
      </c>
      <c r="AE56" s="15">
        <f t="shared" si="23"/>
        <v>0</v>
      </c>
      <c r="AF56" s="15">
        <f t="shared" si="24"/>
        <v>0</v>
      </c>
      <c r="AG56" s="15">
        <f t="shared" si="25"/>
        <v>0</v>
      </c>
      <c r="AH56" s="15">
        <f t="shared" si="26"/>
        <v>0</v>
      </c>
      <c r="AI56" s="15">
        <f t="shared" si="27"/>
        <v>0</v>
      </c>
      <c r="AJ56" s="15">
        <f t="shared" si="28"/>
        <v>0</v>
      </c>
      <c r="AK56" s="15">
        <f t="shared" si="29"/>
        <v>0</v>
      </c>
      <c r="AL56" s="15">
        <f t="shared" si="30"/>
        <v>0</v>
      </c>
      <c r="AM56" s="15">
        <f t="shared" si="31"/>
        <v>0</v>
      </c>
      <c r="AN56" s="15">
        <f t="shared" si="32"/>
        <v>0</v>
      </c>
      <c r="AO56" s="15">
        <f t="shared" si="33"/>
        <v>0</v>
      </c>
      <c r="AP56" s="10">
        <f t="shared" si="34"/>
        <v>0</v>
      </c>
      <c r="AQ56" s="10">
        <f t="shared" si="35"/>
        <v>0</v>
      </c>
      <c r="AR56" s="10">
        <f t="shared" si="36"/>
        <v>0</v>
      </c>
      <c r="AS56" s="10">
        <f t="shared" si="37"/>
        <v>0</v>
      </c>
      <c r="AT56" s="10" t="b">
        <f t="shared" si="38"/>
        <v>1</v>
      </c>
      <c r="AU56" s="10">
        <f t="shared" si="12"/>
        <v>0</v>
      </c>
      <c r="AV56" s="10">
        <f t="shared" si="13"/>
        <v>0</v>
      </c>
      <c r="AW56" s="10">
        <f t="shared" si="14"/>
        <v>0</v>
      </c>
      <c r="AX56" s="10">
        <f t="shared" si="15"/>
        <v>0</v>
      </c>
      <c r="AY56" s="10">
        <f t="shared" si="39"/>
        <v>0</v>
      </c>
      <c r="AZ56" s="19">
        <f>IFERROR(IF($E56="REC",INDEX(A_Type_Volume!$B:$B,MATCH($D56,A_Type_Volume!$A:$A,0),1),IF($E56="VAM",INDEX(C_Type_Volume!$B:$B,MATCH($D56,C_Type_Volume!$A:$A,0),1),"X")),"")</f>
        <v>0</v>
      </c>
      <c r="BA56" s="19">
        <f>IFERROR(IF($E56="REC",INDEX(A_Type_Volume!$C:$C,MATCH($D56,A_Type_Volume!$A:$A,0),1),IF($E56="VAM",INDEX(C_Type_Volume!$C:$C,MATCH($D56,C_Type_Volume!$A:$A,0),1),"X")),"")</f>
        <v>0</v>
      </c>
      <c r="BB56" s="19">
        <f>IFERROR(IF($E56="REC",INDEX(A_Type_Volume!$D:$D,MATCH($D56,A_Type_Volume!$A:$A,0),1),IF($E56="VAM",INDEX(C_Type_Volume!$D:$D,MATCH($D56,C_Type_Volume!$A:$A,0),1),"X")),"")</f>
        <v>0</v>
      </c>
      <c r="BC56" s="19">
        <f>IFERROR(IF($E56="REC",INDEX(A_Type_Volume!$E:$E,MATCH($D56,A_Type_Volume!$A:$A,0),1),IF($E56="VAM",INDEX(C_Type_Volume!$E:$E,MATCH($D56,C_Type_Volume!$A:$A,0),1),"X")),"")</f>
        <v>0</v>
      </c>
      <c r="BD56" s="19">
        <f>IFERROR(IF($E56="REC",INDEX(A_Type_Volume!$F:$F,MATCH($D56,A_Type_Volume!$A:$A,0),1),IF($E56="VAM",INDEX(C_Type_Volume!$F:$F,MATCH($D56,C_Type_Volume!$A:$A,0),1),"X")),"")</f>
        <v>0</v>
      </c>
      <c r="BE56" s="19">
        <f>IFERROR(IF($E56="REC",INDEX(A_Type_Volume!$G:$G,MATCH($D56,A_Type_Volume!$A:$A,0),1),IF($E56="VAM",INDEX(C_Type_Volume!$G:$G,MATCH($D56,C_Type_Volume!$A:$A,0),1),"X")),"")</f>
        <v>0</v>
      </c>
      <c r="BF56" s="19">
        <f>IFERROR(IF($E56="REC",INDEX(A_Type_Volume!$H:$H,MATCH($D56,A_Type_Volume!$A:$A,0),1),IF($E56="VAM",INDEX(C_Type_Volume!$H:$H,MATCH($D56,C_Type_Volume!$A:$A,0),1),"X")),"")</f>
        <v>0</v>
      </c>
      <c r="BG56" s="19">
        <f>IFERROR(IF($E56="REC",INDEX(A_Type_Volume!$I:$I,MATCH($D56,A_Type_Volume!$A:$A,0),1),IF($E56="VAM",INDEX(C_Type_Volume!$I:$I,MATCH($D56,C_Type_Volume!$A:$A,0),1),"X")),"")</f>
        <v>0</v>
      </c>
      <c r="BH56" s="19">
        <f>IFERROR(IF($E56="REC",INDEX(A_Type_Volume!$J:$J,MATCH($D56,A_Type_Volume!$A:$A,0),1),IF($E56="VAM",INDEX(C_Type_Volume!$J:$J,MATCH($D56,C_Type_Volume!$A:$A,0),1),"X")),"")</f>
        <v>0</v>
      </c>
      <c r="BI56" s="19">
        <f>IFERROR(IF($E56="REC",INDEX(A_Type_Volume!$K:$K,MATCH($D56,A_Type_Volume!$A:$A,0),1),IF($E56="VAM",INDEX(C_Type_Volume!$K:$K,MATCH($D56,C_Type_Volume!$A:$A,0),1),"X")),"")</f>
        <v>0</v>
      </c>
      <c r="BJ56" s="19">
        <f>IFERROR(IF($E56="REC",INDEX(A_Type_Volume!$L:$L,MATCH($D56,A_Type_Volume!$A:$A,0),1),IF($E56="VAM",INDEX(C_Type_Volume!$L:$L,MATCH($D56,C_Type_Volume!$A:$A,0),1),"X")),"")</f>
        <v>0</v>
      </c>
      <c r="BK56" s="19">
        <f>IFERROR(IF($E56="REC",INDEX(A_Type_Volume!M:M,MATCH($D56,A_Type_Volume!$A:$A,0),1),IF($E56="VAM",INDEX(C_Type_Volume!M:M,MATCH($D56,C_Type_Volume!$A:$A,0),1),"X")),"")</f>
        <v>0</v>
      </c>
      <c r="BL56" s="38">
        <f>SUM(Table1[[#This Row],[Jan_AVF]:[Dec_AVF]])</f>
        <v>0</v>
      </c>
      <c r="BM56" s="16">
        <f t="shared" si="40"/>
        <v>0</v>
      </c>
      <c r="BN56" s="16">
        <f t="shared" si="41"/>
        <v>0</v>
      </c>
      <c r="BO56" s="16">
        <f t="shared" si="42"/>
        <v>0</v>
      </c>
      <c r="BP56" s="16">
        <f t="shared" si="43"/>
        <v>0</v>
      </c>
      <c r="BQ56" s="16">
        <f t="shared" si="44"/>
        <v>0</v>
      </c>
      <c r="BR56" s="16">
        <f t="shared" si="45"/>
        <v>0</v>
      </c>
      <c r="BS56" s="16">
        <f t="shared" si="46"/>
        <v>0</v>
      </c>
      <c r="BT56" s="16">
        <f t="shared" si="47"/>
        <v>0</v>
      </c>
      <c r="BU56" s="16">
        <f t="shared" si="48"/>
        <v>0</v>
      </c>
      <c r="BV56" s="16">
        <f t="shared" si="49"/>
        <v>0</v>
      </c>
      <c r="BW56" s="16">
        <f t="shared" si="50"/>
        <v>0</v>
      </c>
      <c r="BX56" s="16">
        <f t="shared" si="51"/>
        <v>0</v>
      </c>
      <c r="BY56" s="10">
        <f t="shared" si="17"/>
        <v>0</v>
      </c>
      <c r="BZ56" s="10">
        <f t="shared" si="18"/>
        <v>0</v>
      </c>
      <c r="CA56" s="10">
        <f t="shared" si="19"/>
        <v>0</v>
      </c>
      <c r="CB56" s="10">
        <f t="shared" si="20"/>
        <v>0</v>
      </c>
      <c r="CC56" s="10">
        <f>IFERROR(Table1[[#This Row],[Labor
Saving]]*Table1[[#This Row],[Annual Volume]],"")</f>
        <v>0</v>
      </c>
      <c r="CD56" s="10">
        <f>IFERROR(Table1[[#This Row],[Annual Volume]]*Table1[[#This Row],[Yield
Saving]],"")</f>
        <v>0</v>
      </c>
      <c r="CE56" s="10">
        <f>IFERROR(Table1[[#This Row],[Annual Volume]]*Table1[[#This Row],[Material
Saving]],"")</f>
        <v>0</v>
      </c>
      <c r="CF56" s="10">
        <f>IFERROR(Table1[[#This Row],[OH
Saving]]*Table1[[#This Row],[Annual Volume]],"")</f>
        <v>0</v>
      </c>
      <c r="CG56" s="10">
        <f>SUM(Table1[[#This Row],[Labor_ASV]:[OH_ASV]])</f>
        <v>0</v>
      </c>
    </row>
    <row r="57" spans="1:85" x14ac:dyDescent="0.3">
      <c r="A57" t="str">
        <f>Table1[[#This Row],[Project Name]]&amp;Table1[[#This Row],[Part Number]]</f>
        <v>Tape Dicing 5R174</v>
      </c>
      <c r="B57" t="str">
        <f>IFERROR(Table1[[#This Row],[Project Number]]&amp;Table1[[#This Row],[Part Number]],"")</f>
        <v>AME25-090R174</v>
      </c>
      <c r="C57" s="22" t="s">
        <v>137</v>
      </c>
      <c r="D57" s="24" t="s">
        <v>412</v>
      </c>
      <c r="E57" s="25" t="s">
        <v>58</v>
      </c>
      <c r="F57" s="6">
        <f>INDEX(Proj_Reg!G:G,MATCH($C57,Proj_Reg!$B:$B,0),1)</f>
        <v>46143</v>
      </c>
      <c r="G57" s="6">
        <f>INDEX(Proj_Reg!H:H,MATCH($C57,Proj_Reg!$B:$B,0),1)</f>
        <v>46478</v>
      </c>
      <c r="H57" s="6" t="str">
        <f>IF(INDEX(Proj_Reg!C:C,MATCH($C57,Proj_Reg!$B:$B,0),1)=0,"",INDEX(Proj_Reg!C:C,MATCH($C57,Proj_Reg!$B:$B,0),1))</f>
        <v>Wafer Saw Dicing</v>
      </c>
      <c r="I57" s="6" t="str">
        <f>IF(INDEX(Proj_Reg!D:D,MATCH($C57,Proj_Reg!$B:$B,0),1)=0,"",INDEX(Proj_Reg!D:D,MATCH($C57,Proj_Reg!$B:$B,0),1))</f>
        <v>XCD</v>
      </c>
      <c r="J57" s="6" t="str">
        <f>INDEX(Proj_Reg!E:E,MATCH($C57,Proj_Reg!$B:$B,0),1)</f>
        <v>Tape Dicing 5</v>
      </c>
      <c r="K57" s="21">
        <v>1.7194975588760087E-2</v>
      </c>
      <c r="L57" s="21">
        <v>0</v>
      </c>
      <c r="M57" s="21">
        <v>0.02</v>
      </c>
      <c r="N57" s="21">
        <v>0</v>
      </c>
      <c r="O57" s="11">
        <f>SUM(Table1[[#This Row],[Labor
Saving]:[OH
Saving]])</f>
        <v>3.7194975588760087E-2</v>
      </c>
      <c r="Q57" s="40">
        <f t="shared" si="21"/>
        <v>0</v>
      </c>
      <c r="R57" s="40">
        <f t="shared" si="0"/>
        <v>0</v>
      </c>
      <c r="S57" s="40">
        <f t="shared" si="1"/>
        <v>0</v>
      </c>
      <c r="T57" s="40">
        <f t="shared" si="2"/>
        <v>0</v>
      </c>
      <c r="U57" s="40">
        <f t="shared" si="3"/>
        <v>0</v>
      </c>
      <c r="V57" s="40">
        <f t="shared" si="4"/>
        <v>0</v>
      </c>
      <c r="W57" s="40">
        <f t="shared" si="5"/>
        <v>0</v>
      </c>
      <c r="X57" s="40">
        <f t="shared" si="6"/>
        <v>0</v>
      </c>
      <c r="Y57" s="40">
        <f t="shared" si="7"/>
        <v>0</v>
      </c>
      <c r="Z57" s="40">
        <f t="shared" si="8"/>
        <v>0</v>
      </c>
      <c r="AA57" s="40">
        <f t="shared" si="9"/>
        <v>0</v>
      </c>
      <c r="AB57" s="40">
        <f t="shared" si="10"/>
        <v>0</v>
      </c>
      <c r="AC57" s="37">
        <f>SUM(Table1[[#This Row],[Jan]:[Dec]])</f>
        <v>0</v>
      </c>
      <c r="AD57" s="15">
        <f t="shared" si="22"/>
        <v>0</v>
      </c>
      <c r="AE57" s="15">
        <f t="shared" si="23"/>
        <v>0</v>
      </c>
      <c r="AF57" s="15">
        <f t="shared" si="24"/>
        <v>0</v>
      </c>
      <c r="AG57" s="15">
        <f t="shared" si="25"/>
        <v>0</v>
      </c>
      <c r="AH57" s="15">
        <f t="shared" si="26"/>
        <v>0</v>
      </c>
      <c r="AI57" s="15">
        <f t="shared" si="27"/>
        <v>0</v>
      </c>
      <c r="AJ57" s="15">
        <f t="shared" si="28"/>
        <v>0</v>
      </c>
      <c r="AK57" s="15">
        <f t="shared" si="29"/>
        <v>0</v>
      </c>
      <c r="AL57" s="15">
        <f t="shared" si="30"/>
        <v>0</v>
      </c>
      <c r="AM57" s="15">
        <f t="shared" si="31"/>
        <v>0</v>
      </c>
      <c r="AN57" s="15">
        <f t="shared" si="32"/>
        <v>0</v>
      </c>
      <c r="AO57" s="15">
        <f t="shared" si="33"/>
        <v>0</v>
      </c>
      <c r="AP57" s="10">
        <f t="shared" si="34"/>
        <v>0</v>
      </c>
      <c r="AQ57" s="10">
        <f t="shared" si="35"/>
        <v>0</v>
      </c>
      <c r="AR57" s="10">
        <f t="shared" si="36"/>
        <v>0</v>
      </c>
      <c r="AS57" s="10">
        <f t="shared" si="37"/>
        <v>0</v>
      </c>
      <c r="AT57" s="10" t="b">
        <f t="shared" si="38"/>
        <v>1</v>
      </c>
      <c r="AU57" s="10">
        <f t="shared" si="12"/>
        <v>0</v>
      </c>
      <c r="AV57" s="10">
        <f t="shared" si="13"/>
        <v>0</v>
      </c>
      <c r="AW57" s="10">
        <f t="shared" si="14"/>
        <v>0</v>
      </c>
      <c r="AX57" s="10">
        <f t="shared" si="15"/>
        <v>0</v>
      </c>
      <c r="AY57" s="10">
        <f t="shared" si="39"/>
        <v>0</v>
      </c>
      <c r="AZ57" s="19">
        <f>IFERROR(IF($E57="REC",INDEX(A_Type_Volume!$B:$B,MATCH($D57,A_Type_Volume!$A:$A,0),1),IF($E57="VAM",INDEX(C_Type_Volume!$B:$B,MATCH($D57,C_Type_Volume!$A:$A,0),1),"X")),"")</f>
        <v>0</v>
      </c>
      <c r="BA57" s="19">
        <f>IFERROR(IF($E57="REC",INDEX(A_Type_Volume!$C:$C,MATCH($D57,A_Type_Volume!$A:$A,0),1),IF($E57="VAM",INDEX(C_Type_Volume!$C:$C,MATCH($D57,C_Type_Volume!$A:$A,0),1),"X")),"")</f>
        <v>0</v>
      </c>
      <c r="BB57" s="19">
        <f>IFERROR(IF($E57="REC",INDEX(A_Type_Volume!$D:$D,MATCH($D57,A_Type_Volume!$A:$A,0),1),IF($E57="VAM",INDEX(C_Type_Volume!$D:$D,MATCH($D57,C_Type_Volume!$A:$A,0),1),"X")),"")</f>
        <v>0</v>
      </c>
      <c r="BC57" s="19">
        <f>IFERROR(IF($E57="REC",INDEX(A_Type_Volume!$E:$E,MATCH($D57,A_Type_Volume!$A:$A,0),1),IF($E57="VAM",INDEX(C_Type_Volume!$E:$E,MATCH($D57,C_Type_Volume!$A:$A,0),1),"X")),"")</f>
        <v>0</v>
      </c>
      <c r="BD57" s="19">
        <f>IFERROR(IF($E57="REC",INDEX(A_Type_Volume!$F:$F,MATCH($D57,A_Type_Volume!$A:$A,0),1),IF($E57="VAM",INDEX(C_Type_Volume!$F:$F,MATCH($D57,C_Type_Volume!$A:$A,0),1),"X")),"")</f>
        <v>0</v>
      </c>
      <c r="BE57" s="19">
        <f>IFERROR(IF($E57="REC",INDEX(A_Type_Volume!$G:$G,MATCH($D57,A_Type_Volume!$A:$A,0),1),IF($E57="VAM",INDEX(C_Type_Volume!$G:$G,MATCH($D57,C_Type_Volume!$A:$A,0),1),"X")),"")</f>
        <v>0</v>
      </c>
      <c r="BF57" s="19">
        <f>IFERROR(IF($E57="REC",INDEX(A_Type_Volume!$H:$H,MATCH($D57,A_Type_Volume!$A:$A,0),1),IF($E57="VAM",INDEX(C_Type_Volume!$H:$H,MATCH($D57,C_Type_Volume!$A:$A,0),1),"X")),"")</f>
        <v>0</v>
      </c>
      <c r="BG57" s="19">
        <f>IFERROR(IF($E57="REC",INDEX(A_Type_Volume!$I:$I,MATCH($D57,A_Type_Volume!$A:$A,0),1),IF($E57="VAM",INDEX(C_Type_Volume!$I:$I,MATCH($D57,C_Type_Volume!$A:$A,0),1),"X")),"")</f>
        <v>0</v>
      </c>
      <c r="BH57" s="19">
        <f>IFERROR(IF($E57="REC",INDEX(A_Type_Volume!$J:$J,MATCH($D57,A_Type_Volume!$A:$A,0),1),IF($E57="VAM",INDEX(C_Type_Volume!$J:$J,MATCH($D57,C_Type_Volume!$A:$A,0),1),"X")),"")</f>
        <v>0</v>
      </c>
      <c r="BI57" s="19">
        <f>IFERROR(IF($E57="REC",INDEX(A_Type_Volume!$K:$K,MATCH($D57,A_Type_Volume!$A:$A,0),1),IF($E57="VAM",INDEX(C_Type_Volume!$K:$K,MATCH($D57,C_Type_Volume!$A:$A,0),1),"X")),"")</f>
        <v>0</v>
      </c>
      <c r="BJ57" s="19">
        <f>IFERROR(IF($E57="REC",INDEX(A_Type_Volume!$L:$L,MATCH($D57,A_Type_Volume!$A:$A,0),1),IF($E57="VAM",INDEX(C_Type_Volume!$L:$L,MATCH($D57,C_Type_Volume!$A:$A,0),1),"X")),"")</f>
        <v>0</v>
      </c>
      <c r="BK57" s="19">
        <f>IFERROR(IF($E57="REC",INDEX(A_Type_Volume!M:M,MATCH($D57,A_Type_Volume!$A:$A,0),1),IF($E57="VAM",INDEX(C_Type_Volume!M:M,MATCH($D57,C_Type_Volume!$A:$A,0),1),"X")),"")</f>
        <v>0</v>
      </c>
      <c r="BL57" s="38">
        <f>SUM(Table1[[#This Row],[Jan_AVF]:[Dec_AVF]])</f>
        <v>0</v>
      </c>
      <c r="BM57" s="16">
        <f t="shared" si="40"/>
        <v>0</v>
      </c>
      <c r="BN57" s="16">
        <f t="shared" si="41"/>
        <v>0</v>
      </c>
      <c r="BO57" s="16">
        <f t="shared" si="42"/>
        <v>0</v>
      </c>
      <c r="BP57" s="16">
        <f t="shared" si="43"/>
        <v>0</v>
      </c>
      <c r="BQ57" s="16">
        <f t="shared" si="44"/>
        <v>0</v>
      </c>
      <c r="BR57" s="16">
        <f t="shared" si="45"/>
        <v>0</v>
      </c>
      <c r="BS57" s="16">
        <f t="shared" si="46"/>
        <v>0</v>
      </c>
      <c r="BT57" s="16">
        <f t="shared" si="47"/>
        <v>0</v>
      </c>
      <c r="BU57" s="16">
        <f t="shared" si="48"/>
        <v>0</v>
      </c>
      <c r="BV57" s="16">
        <f t="shared" si="49"/>
        <v>0</v>
      </c>
      <c r="BW57" s="16">
        <f t="shared" si="50"/>
        <v>0</v>
      </c>
      <c r="BX57" s="16">
        <f t="shared" si="51"/>
        <v>0</v>
      </c>
      <c r="BY57" s="10">
        <f t="shared" si="17"/>
        <v>0</v>
      </c>
      <c r="BZ57" s="10">
        <f t="shared" si="18"/>
        <v>0</v>
      </c>
      <c r="CA57" s="10">
        <f t="shared" si="19"/>
        <v>0</v>
      </c>
      <c r="CB57" s="10">
        <f t="shared" si="20"/>
        <v>0</v>
      </c>
      <c r="CC57" s="10">
        <f>IFERROR(Table1[[#This Row],[Labor
Saving]]*Table1[[#This Row],[Annual Volume]],"")</f>
        <v>0</v>
      </c>
      <c r="CD57" s="10">
        <f>IFERROR(Table1[[#This Row],[Annual Volume]]*Table1[[#This Row],[Yield
Saving]],"")</f>
        <v>0</v>
      </c>
      <c r="CE57" s="10">
        <f>IFERROR(Table1[[#This Row],[Annual Volume]]*Table1[[#This Row],[Material
Saving]],"")</f>
        <v>0</v>
      </c>
      <c r="CF57" s="10">
        <f>IFERROR(Table1[[#This Row],[OH
Saving]]*Table1[[#This Row],[Annual Volume]],"")</f>
        <v>0</v>
      </c>
      <c r="CG57" s="10">
        <f>SUM(Table1[[#This Row],[Labor_ASV]:[OH_ASV]])</f>
        <v>0</v>
      </c>
    </row>
    <row r="58" spans="1:85" x14ac:dyDescent="0.3">
      <c r="A58" t="str">
        <f>Table1[[#This Row],[Project Name]]&amp;Table1[[#This Row],[Part Number]]</f>
        <v>Tape Dicing 5R176</v>
      </c>
      <c r="B58" t="str">
        <f>IFERROR(Table1[[#This Row],[Project Number]]&amp;Table1[[#This Row],[Part Number]],"")</f>
        <v>AME25-090R176</v>
      </c>
      <c r="C58" s="22" t="s">
        <v>137</v>
      </c>
      <c r="D58" s="24" t="s">
        <v>414</v>
      </c>
      <c r="E58" s="25" t="s">
        <v>58</v>
      </c>
      <c r="F58" s="6">
        <f>INDEX(Proj_Reg!G:G,MATCH($C58,Proj_Reg!$B:$B,0),1)</f>
        <v>46143</v>
      </c>
      <c r="G58" s="6">
        <f>INDEX(Proj_Reg!H:H,MATCH($C58,Proj_Reg!$B:$B,0),1)</f>
        <v>46478</v>
      </c>
      <c r="H58" s="6" t="str">
        <f>IF(INDEX(Proj_Reg!C:C,MATCH($C58,Proj_Reg!$B:$B,0),1)=0,"",INDEX(Proj_Reg!C:C,MATCH($C58,Proj_Reg!$B:$B,0),1))</f>
        <v>Wafer Saw Dicing</v>
      </c>
      <c r="I58" s="6" t="str">
        <f>IF(INDEX(Proj_Reg!D:D,MATCH($C58,Proj_Reg!$B:$B,0),1)=0,"",INDEX(Proj_Reg!D:D,MATCH($C58,Proj_Reg!$B:$B,0),1))</f>
        <v>XCD</v>
      </c>
      <c r="J58" s="6" t="str">
        <f>INDEX(Proj_Reg!E:E,MATCH($C58,Proj_Reg!$B:$B,0),1)</f>
        <v>Tape Dicing 5</v>
      </c>
      <c r="K58" s="21">
        <v>1.7194975588760087E-2</v>
      </c>
      <c r="L58" s="21">
        <v>0</v>
      </c>
      <c r="M58" s="21">
        <v>0.02</v>
      </c>
      <c r="N58" s="21">
        <v>0</v>
      </c>
      <c r="O58" s="11">
        <f>SUM(Table1[[#This Row],[Labor
Saving]:[OH
Saving]])</f>
        <v>3.7194975588760087E-2</v>
      </c>
      <c r="Q58" s="40">
        <f t="shared" si="21"/>
        <v>0</v>
      </c>
      <c r="R58" s="40">
        <f t="shared" si="0"/>
        <v>0</v>
      </c>
      <c r="S58" s="40">
        <f t="shared" si="1"/>
        <v>0</v>
      </c>
      <c r="T58" s="40">
        <f t="shared" si="2"/>
        <v>0</v>
      </c>
      <c r="U58" s="40">
        <f t="shared" si="3"/>
        <v>0</v>
      </c>
      <c r="V58" s="40">
        <f t="shared" si="4"/>
        <v>0</v>
      </c>
      <c r="W58" s="40">
        <f t="shared" si="5"/>
        <v>0</v>
      </c>
      <c r="X58" s="40">
        <f t="shared" si="6"/>
        <v>0</v>
      </c>
      <c r="Y58" s="40">
        <f t="shared" si="7"/>
        <v>0</v>
      </c>
      <c r="Z58" s="40">
        <f t="shared" si="8"/>
        <v>0</v>
      </c>
      <c r="AA58" s="40">
        <f t="shared" si="9"/>
        <v>0</v>
      </c>
      <c r="AB58" s="40">
        <f t="shared" si="10"/>
        <v>0</v>
      </c>
      <c r="AC58" s="37">
        <f>SUM(Table1[[#This Row],[Jan]:[Dec]])</f>
        <v>0</v>
      </c>
      <c r="AD58" s="15">
        <f t="shared" si="22"/>
        <v>0</v>
      </c>
      <c r="AE58" s="15">
        <f t="shared" si="23"/>
        <v>0</v>
      </c>
      <c r="AF58" s="15">
        <f t="shared" si="24"/>
        <v>0</v>
      </c>
      <c r="AG58" s="15">
        <f t="shared" si="25"/>
        <v>0</v>
      </c>
      <c r="AH58" s="15">
        <f t="shared" si="26"/>
        <v>0</v>
      </c>
      <c r="AI58" s="15">
        <f t="shared" si="27"/>
        <v>0</v>
      </c>
      <c r="AJ58" s="15">
        <f t="shared" si="28"/>
        <v>0</v>
      </c>
      <c r="AK58" s="15">
        <f t="shared" si="29"/>
        <v>0</v>
      </c>
      <c r="AL58" s="15">
        <f t="shared" si="30"/>
        <v>0</v>
      </c>
      <c r="AM58" s="15">
        <f t="shared" si="31"/>
        <v>0</v>
      </c>
      <c r="AN58" s="15">
        <f t="shared" si="32"/>
        <v>0</v>
      </c>
      <c r="AO58" s="15">
        <f t="shared" si="33"/>
        <v>0</v>
      </c>
      <c r="AP58" s="10">
        <f t="shared" si="34"/>
        <v>0</v>
      </c>
      <c r="AQ58" s="10">
        <f t="shared" si="35"/>
        <v>0</v>
      </c>
      <c r="AR58" s="10">
        <f t="shared" si="36"/>
        <v>0</v>
      </c>
      <c r="AS58" s="10">
        <f t="shared" si="37"/>
        <v>0</v>
      </c>
      <c r="AT58" s="10" t="b">
        <f t="shared" si="38"/>
        <v>1</v>
      </c>
      <c r="AU58" s="10">
        <f t="shared" si="12"/>
        <v>0</v>
      </c>
      <c r="AV58" s="10">
        <f t="shared" si="13"/>
        <v>0</v>
      </c>
      <c r="AW58" s="10">
        <f t="shared" si="14"/>
        <v>0</v>
      </c>
      <c r="AX58" s="10">
        <f t="shared" si="15"/>
        <v>0</v>
      </c>
      <c r="AY58" s="10">
        <f t="shared" si="39"/>
        <v>0</v>
      </c>
      <c r="AZ58" s="19">
        <f>IFERROR(IF($E58="REC",INDEX(A_Type_Volume!$B:$B,MATCH($D58,A_Type_Volume!$A:$A,0),1),IF($E58="VAM",INDEX(C_Type_Volume!$B:$B,MATCH($D58,C_Type_Volume!$A:$A,0),1),"X")),"")</f>
        <v>0</v>
      </c>
      <c r="BA58" s="19">
        <f>IFERROR(IF($E58="REC",INDEX(A_Type_Volume!$C:$C,MATCH($D58,A_Type_Volume!$A:$A,0),1),IF($E58="VAM",INDEX(C_Type_Volume!$C:$C,MATCH($D58,C_Type_Volume!$A:$A,0),1),"X")),"")</f>
        <v>0</v>
      </c>
      <c r="BB58" s="19">
        <f>IFERROR(IF($E58="REC",INDEX(A_Type_Volume!$D:$D,MATCH($D58,A_Type_Volume!$A:$A,0),1),IF($E58="VAM",INDEX(C_Type_Volume!$D:$D,MATCH($D58,C_Type_Volume!$A:$A,0),1),"X")),"")</f>
        <v>0</v>
      </c>
      <c r="BC58" s="19">
        <f>IFERROR(IF($E58="REC",INDEX(A_Type_Volume!$E:$E,MATCH($D58,A_Type_Volume!$A:$A,0),1),IF($E58="VAM",INDEX(C_Type_Volume!$E:$E,MATCH($D58,C_Type_Volume!$A:$A,0),1),"X")),"")</f>
        <v>0</v>
      </c>
      <c r="BD58" s="19">
        <f>IFERROR(IF($E58="REC",INDEX(A_Type_Volume!$F:$F,MATCH($D58,A_Type_Volume!$A:$A,0),1),IF($E58="VAM",INDEX(C_Type_Volume!$F:$F,MATCH($D58,C_Type_Volume!$A:$A,0),1),"X")),"")</f>
        <v>0</v>
      </c>
      <c r="BE58" s="19">
        <f>IFERROR(IF($E58="REC",INDEX(A_Type_Volume!$G:$G,MATCH($D58,A_Type_Volume!$A:$A,0),1),IF($E58="VAM",INDEX(C_Type_Volume!$G:$G,MATCH($D58,C_Type_Volume!$A:$A,0),1),"X")),"")</f>
        <v>0</v>
      </c>
      <c r="BF58" s="19">
        <f>IFERROR(IF($E58="REC",INDEX(A_Type_Volume!$H:$H,MATCH($D58,A_Type_Volume!$A:$A,0),1),IF($E58="VAM",INDEX(C_Type_Volume!$H:$H,MATCH($D58,C_Type_Volume!$A:$A,0),1),"X")),"")</f>
        <v>0</v>
      </c>
      <c r="BG58" s="19">
        <f>IFERROR(IF($E58="REC",INDEX(A_Type_Volume!$I:$I,MATCH($D58,A_Type_Volume!$A:$A,0),1),IF($E58="VAM",INDEX(C_Type_Volume!$I:$I,MATCH($D58,C_Type_Volume!$A:$A,0),1),"X")),"")</f>
        <v>0</v>
      </c>
      <c r="BH58" s="19">
        <f>IFERROR(IF($E58="REC",INDEX(A_Type_Volume!$J:$J,MATCH($D58,A_Type_Volume!$A:$A,0),1),IF($E58="VAM",INDEX(C_Type_Volume!$J:$J,MATCH($D58,C_Type_Volume!$A:$A,0),1),"X")),"")</f>
        <v>0</v>
      </c>
      <c r="BI58" s="19">
        <f>IFERROR(IF($E58="REC",INDEX(A_Type_Volume!$K:$K,MATCH($D58,A_Type_Volume!$A:$A,0),1),IF($E58="VAM",INDEX(C_Type_Volume!$K:$K,MATCH($D58,C_Type_Volume!$A:$A,0),1),"X")),"")</f>
        <v>0</v>
      </c>
      <c r="BJ58" s="19">
        <f>IFERROR(IF($E58="REC",INDEX(A_Type_Volume!$L:$L,MATCH($D58,A_Type_Volume!$A:$A,0),1),IF($E58="VAM",INDEX(C_Type_Volume!$L:$L,MATCH($D58,C_Type_Volume!$A:$A,0),1),"X")),"")</f>
        <v>0</v>
      </c>
      <c r="BK58" s="19">
        <f>IFERROR(IF($E58="REC",INDEX(A_Type_Volume!M:M,MATCH($D58,A_Type_Volume!$A:$A,0),1),IF($E58="VAM",INDEX(C_Type_Volume!M:M,MATCH($D58,C_Type_Volume!$A:$A,0),1),"X")),"")</f>
        <v>0</v>
      </c>
      <c r="BL58" s="38">
        <f>SUM(Table1[[#This Row],[Jan_AVF]:[Dec_AVF]])</f>
        <v>0</v>
      </c>
      <c r="BM58" s="16">
        <f t="shared" si="40"/>
        <v>0</v>
      </c>
      <c r="BN58" s="16">
        <f t="shared" si="41"/>
        <v>0</v>
      </c>
      <c r="BO58" s="16">
        <f t="shared" si="42"/>
        <v>0</v>
      </c>
      <c r="BP58" s="16">
        <f t="shared" si="43"/>
        <v>0</v>
      </c>
      <c r="BQ58" s="16">
        <f t="shared" si="44"/>
        <v>0</v>
      </c>
      <c r="BR58" s="16">
        <f t="shared" si="45"/>
        <v>0</v>
      </c>
      <c r="BS58" s="16">
        <f t="shared" si="46"/>
        <v>0</v>
      </c>
      <c r="BT58" s="16">
        <f t="shared" si="47"/>
        <v>0</v>
      </c>
      <c r="BU58" s="16">
        <f t="shared" si="48"/>
        <v>0</v>
      </c>
      <c r="BV58" s="16">
        <f t="shared" si="49"/>
        <v>0</v>
      </c>
      <c r="BW58" s="16">
        <f t="shared" si="50"/>
        <v>0</v>
      </c>
      <c r="BX58" s="16">
        <f t="shared" si="51"/>
        <v>0</v>
      </c>
      <c r="BY58" s="10">
        <f t="shared" si="17"/>
        <v>0</v>
      </c>
      <c r="BZ58" s="10">
        <f t="shared" si="18"/>
        <v>0</v>
      </c>
      <c r="CA58" s="10">
        <f t="shared" si="19"/>
        <v>0</v>
      </c>
      <c r="CB58" s="10">
        <f t="shared" si="20"/>
        <v>0</v>
      </c>
      <c r="CC58" s="10">
        <f>IFERROR(Table1[[#This Row],[Labor
Saving]]*Table1[[#This Row],[Annual Volume]],"")</f>
        <v>0</v>
      </c>
      <c r="CD58" s="10">
        <f>IFERROR(Table1[[#This Row],[Annual Volume]]*Table1[[#This Row],[Yield
Saving]],"")</f>
        <v>0</v>
      </c>
      <c r="CE58" s="10">
        <f>IFERROR(Table1[[#This Row],[Annual Volume]]*Table1[[#This Row],[Material
Saving]],"")</f>
        <v>0</v>
      </c>
      <c r="CF58" s="10">
        <f>IFERROR(Table1[[#This Row],[OH
Saving]]*Table1[[#This Row],[Annual Volume]],"")</f>
        <v>0</v>
      </c>
      <c r="CG58" s="10">
        <f>SUM(Table1[[#This Row],[Labor_ASV]:[OH_ASV]])</f>
        <v>0</v>
      </c>
    </row>
    <row r="59" spans="1:85" x14ac:dyDescent="0.3">
      <c r="A59" t="str">
        <f>Table1[[#This Row],[Project Name]]&amp;Table1[[#This Row],[Part Number]]</f>
        <v>Tape Dicing 5R178</v>
      </c>
      <c r="B59" t="str">
        <f>IFERROR(Table1[[#This Row],[Project Number]]&amp;Table1[[#This Row],[Part Number]],"")</f>
        <v>AME25-090R178</v>
      </c>
      <c r="C59" s="22" t="s">
        <v>137</v>
      </c>
      <c r="D59" s="24" t="s">
        <v>416</v>
      </c>
      <c r="E59" s="25" t="s">
        <v>58</v>
      </c>
      <c r="F59" s="6">
        <f>INDEX(Proj_Reg!G:G,MATCH($C59,Proj_Reg!$B:$B,0),1)</f>
        <v>46143</v>
      </c>
      <c r="G59" s="6">
        <f>INDEX(Proj_Reg!H:H,MATCH($C59,Proj_Reg!$B:$B,0),1)</f>
        <v>46478</v>
      </c>
      <c r="H59" s="6" t="str">
        <f>IF(INDEX(Proj_Reg!C:C,MATCH($C59,Proj_Reg!$B:$B,0),1)=0,"",INDEX(Proj_Reg!C:C,MATCH($C59,Proj_Reg!$B:$B,0),1))</f>
        <v>Wafer Saw Dicing</v>
      </c>
      <c r="I59" s="6" t="str">
        <f>IF(INDEX(Proj_Reg!D:D,MATCH($C59,Proj_Reg!$B:$B,0),1)=0,"",INDEX(Proj_Reg!D:D,MATCH($C59,Proj_Reg!$B:$B,0),1))</f>
        <v>XCD</v>
      </c>
      <c r="J59" s="6" t="str">
        <f>INDEX(Proj_Reg!E:E,MATCH($C59,Proj_Reg!$B:$B,0),1)</f>
        <v>Tape Dicing 5</v>
      </c>
      <c r="K59" s="21">
        <v>1.7194975588760087E-2</v>
      </c>
      <c r="L59" s="21">
        <v>0</v>
      </c>
      <c r="M59" s="21">
        <v>0.02</v>
      </c>
      <c r="N59" s="21">
        <v>0</v>
      </c>
      <c r="O59" s="11">
        <f>SUM(Table1[[#This Row],[Labor
Saving]:[OH
Saving]])</f>
        <v>3.7194975588760087E-2</v>
      </c>
      <c r="Q59" s="40">
        <f t="shared" si="21"/>
        <v>0</v>
      </c>
      <c r="R59" s="40">
        <f t="shared" si="0"/>
        <v>0</v>
      </c>
      <c r="S59" s="40">
        <f t="shared" si="1"/>
        <v>0</v>
      </c>
      <c r="T59" s="40">
        <f t="shared" si="2"/>
        <v>0</v>
      </c>
      <c r="U59" s="40">
        <f t="shared" si="3"/>
        <v>0</v>
      </c>
      <c r="V59" s="40">
        <f t="shared" si="4"/>
        <v>0</v>
      </c>
      <c r="W59" s="40">
        <f t="shared" si="5"/>
        <v>0</v>
      </c>
      <c r="X59" s="40">
        <f t="shared" si="6"/>
        <v>0</v>
      </c>
      <c r="Y59" s="40">
        <f t="shared" si="7"/>
        <v>0</v>
      </c>
      <c r="Z59" s="40">
        <f t="shared" si="8"/>
        <v>0</v>
      </c>
      <c r="AA59" s="40">
        <f t="shared" si="9"/>
        <v>0</v>
      </c>
      <c r="AB59" s="40">
        <f t="shared" si="10"/>
        <v>0</v>
      </c>
      <c r="AC59" s="37">
        <f>SUM(Table1[[#This Row],[Jan]:[Dec]])</f>
        <v>0</v>
      </c>
      <c r="AD59" s="15">
        <f t="shared" si="22"/>
        <v>0</v>
      </c>
      <c r="AE59" s="15">
        <f t="shared" si="23"/>
        <v>0</v>
      </c>
      <c r="AF59" s="15">
        <f t="shared" si="24"/>
        <v>0</v>
      </c>
      <c r="AG59" s="15">
        <f t="shared" si="25"/>
        <v>0</v>
      </c>
      <c r="AH59" s="15">
        <f t="shared" si="26"/>
        <v>0</v>
      </c>
      <c r="AI59" s="15">
        <f t="shared" si="27"/>
        <v>0</v>
      </c>
      <c r="AJ59" s="15">
        <f t="shared" si="28"/>
        <v>0</v>
      </c>
      <c r="AK59" s="15">
        <f t="shared" si="29"/>
        <v>0</v>
      </c>
      <c r="AL59" s="15">
        <f t="shared" si="30"/>
        <v>0</v>
      </c>
      <c r="AM59" s="15">
        <f t="shared" si="31"/>
        <v>0</v>
      </c>
      <c r="AN59" s="15">
        <f t="shared" si="32"/>
        <v>0</v>
      </c>
      <c r="AO59" s="15">
        <f t="shared" si="33"/>
        <v>0</v>
      </c>
      <c r="AP59" s="10">
        <f t="shared" si="34"/>
        <v>0</v>
      </c>
      <c r="AQ59" s="10">
        <f t="shared" si="35"/>
        <v>0</v>
      </c>
      <c r="AR59" s="10">
        <f t="shared" si="36"/>
        <v>0</v>
      </c>
      <c r="AS59" s="10">
        <f t="shared" si="37"/>
        <v>0</v>
      </c>
      <c r="AT59" s="10" t="b">
        <f t="shared" si="38"/>
        <v>1</v>
      </c>
      <c r="AU59" s="10">
        <f t="shared" si="12"/>
        <v>0</v>
      </c>
      <c r="AV59" s="10">
        <f t="shared" si="13"/>
        <v>0</v>
      </c>
      <c r="AW59" s="10">
        <f t="shared" si="14"/>
        <v>0</v>
      </c>
      <c r="AX59" s="10">
        <f t="shared" si="15"/>
        <v>0</v>
      </c>
      <c r="AY59" s="10">
        <f t="shared" si="39"/>
        <v>0</v>
      </c>
      <c r="AZ59" s="19">
        <f>IFERROR(IF($E59="REC",INDEX(A_Type_Volume!$B:$B,MATCH($D59,A_Type_Volume!$A:$A,0),1),IF($E59="VAM",INDEX(C_Type_Volume!$B:$B,MATCH($D59,C_Type_Volume!$A:$A,0),1),"X")),"")</f>
        <v>0</v>
      </c>
      <c r="BA59" s="19">
        <f>IFERROR(IF($E59="REC",INDEX(A_Type_Volume!$C:$C,MATCH($D59,A_Type_Volume!$A:$A,0),1),IF($E59="VAM",INDEX(C_Type_Volume!$C:$C,MATCH($D59,C_Type_Volume!$A:$A,0),1),"X")),"")</f>
        <v>0</v>
      </c>
      <c r="BB59" s="19">
        <f>IFERROR(IF($E59="REC",INDEX(A_Type_Volume!$D:$D,MATCH($D59,A_Type_Volume!$A:$A,0),1),IF($E59="VAM",INDEX(C_Type_Volume!$D:$D,MATCH($D59,C_Type_Volume!$A:$A,0),1),"X")),"")</f>
        <v>0</v>
      </c>
      <c r="BC59" s="19">
        <f>IFERROR(IF($E59="REC",INDEX(A_Type_Volume!$E:$E,MATCH($D59,A_Type_Volume!$A:$A,0),1),IF($E59="VAM",INDEX(C_Type_Volume!$E:$E,MATCH($D59,C_Type_Volume!$A:$A,0),1),"X")),"")</f>
        <v>0</v>
      </c>
      <c r="BD59" s="19">
        <f>IFERROR(IF($E59="REC",INDEX(A_Type_Volume!$F:$F,MATCH($D59,A_Type_Volume!$A:$A,0),1),IF($E59="VAM",INDEX(C_Type_Volume!$F:$F,MATCH($D59,C_Type_Volume!$A:$A,0),1),"X")),"")</f>
        <v>0</v>
      </c>
      <c r="BE59" s="19">
        <f>IFERROR(IF($E59="REC",INDEX(A_Type_Volume!$G:$G,MATCH($D59,A_Type_Volume!$A:$A,0),1),IF($E59="VAM",INDEX(C_Type_Volume!$G:$G,MATCH($D59,C_Type_Volume!$A:$A,0),1),"X")),"")</f>
        <v>0</v>
      </c>
      <c r="BF59" s="19">
        <f>IFERROR(IF($E59="REC",INDEX(A_Type_Volume!$H:$H,MATCH($D59,A_Type_Volume!$A:$A,0),1),IF($E59="VAM",INDEX(C_Type_Volume!$H:$H,MATCH($D59,C_Type_Volume!$A:$A,0),1),"X")),"")</f>
        <v>0</v>
      </c>
      <c r="BG59" s="19">
        <f>IFERROR(IF($E59="REC",INDEX(A_Type_Volume!$I:$I,MATCH($D59,A_Type_Volume!$A:$A,0),1),IF($E59="VAM",INDEX(C_Type_Volume!$I:$I,MATCH($D59,C_Type_Volume!$A:$A,0),1),"X")),"")</f>
        <v>0</v>
      </c>
      <c r="BH59" s="19">
        <f>IFERROR(IF($E59="REC",INDEX(A_Type_Volume!$J:$J,MATCH($D59,A_Type_Volume!$A:$A,0),1),IF($E59="VAM",INDEX(C_Type_Volume!$J:$J,MATCH($D59,C_Type_Volume!$A:$A,0),1),"X")),"")</f>
        <v>0</v>
      </c>
      <c r="BI59" s="19">
        <f>IFERROR(IF($E59="REC",INDEX(A_Type_Volume!$K:$K,MATCH($D59,A_Type_Volume!$A:$A,0),1),IF($E59="VAM",INDEX(C_Type_Volume!$K:$K,MATCH($D59,C_Type_Volume!$A:$A,0),1),"X")),"")</f>
        <v>0</v>
      </c>
      <c r="BJ59" s="19">
        <f>IFERROR(IF($E59="REC",INDEX(A_Type_Volume!$L:$L,MATCH($D59,A_Type_Volume!$A:$A,0),1),IF($E59="VAM",INDEX(C_Type_Volume!$L:$L,MATCH($D59,C_Type_Volume!$A:$A,0),1),"X")),"")</f>
        <v>0</v>
      </c>
      <c r="BK59" s="19">
        <f>IFERROR(IF($E59="REC",INDEX(A_Type_Volume!M:M,MATCH($D59,A_Type_Volume!$A:$A,0),1),IF($E59="VAM",INDEX(C_Type_Volume!M:M,MATCH($D59,C_Type_Volume!$A:$A,0),1),"X")),"")</f>
        <v>0</v>
      </c>
      <c r="BL59" s="38">
        <f>SUM(Table1[[#This Row],[Jan_AVF]:[Dec_AVF]])</f>
        <v>0</v>
      </c>
      <c r="BM59" s="16">
        <f t="shared" si="40"/>
        <v>0</v>
      </c>
      <c r="BN59" s="16">
        <f t="shared" si="41"/>
        <v>0</v>
      </c>
      <c r="BO59" s="16">
        <f t="shared" si="42"/>
        <v>0</v>
      </c>
      <c r="BP59" s="16">
        <f t="shared" si="43"/>
        <v>0</v>
      </c>
      <c r="BQ59" s="16">
        <f t="shared" si="44"/>
        <v>0</v>
      </c>
      <c r="BR59" s="16">
        <f t="shared" si="45"/>
        <v>0</v>
      </c>
      <c r="BS59" s="16">
        <f t="shared" si="46"/>
        <v>0</v>
      </c>
      <c r="BT59" s="16">
        <f t="shared" si="47"/>
        <v>0</v>
      </c>
      <c r="BU59" s="16">
        <f t="shared" si="48"/>
        <v>0</v>
      </c>
      <c r="BV59" s="16">
        <f t="shared" si="49"/>
        <v>0</v>
      </c>
      <c r="BW59" s="16">
        <f t="shared" si="50"/>
        <v>0</v>
      </c>
      <c r="BX59" s="16">
        <f t="shared" si="51"/>
        <v>0</v>
      </c>
      <c r="BY59" s="10">
        <f t="shared" si="17"/>
        <v>0</v>
      </c>
      <c r="BZ59" s="10">
        <f t="shared" si="18"/>
        <v>0</v>
      </c>
      <c r="CA59" s="10">
        <f t="shared" si="19"/>
        <v>0</v>
      </c>
      <c r="CB59" s="10">
        <f t="shared" si="20"/>
        <v>0</v>
      </c>
      <c r="CC59" s="10">
        <f>IFERROR(Table1[[#This Row],[Labor
Saving]]*Table1[[#This Row],[Annual Volume]],"")</f>
        <v>0</v>
      </c>
      <c r="CD59" s="10">
        <f>IFERROR(Table1[[#This Row],[Annual Volume]]*Table1[[#This Row],[Yield
Saving]],"")</f>
        <v>0</v>
      </c>
      <c r="CE59" s="10">
        <f>IFERROR(Table1[[#This Row],[Annual Volume]]*Table1[[#This Row],[Material
Saving]],"")</f>
        <v>0</v>
      </c>
      <c r="CF59" s="10">
        <f>IFERROR(Table1[[#This Row],[OH
Saving]]*Table1[[#This Row],[Annual Volume]],"")</f>
        <v>0</v>
      </c>
      <c r="CG59" s="10">
        <f>SUM(Table1[[#This Row],[Labor_ASV]:[OH_ASV]])</f>
        <v>0</v>
      </c>
    </row>
    <row r="60" spans="1:85" x14ac:dyDescent="0.3">
      <c r="A60" t="str">
        <f>Table1[[#This Row],[Project Name]]&amp;Table1[[#This Row],[Part Number]]</f>
        <v>Thermal Release Tape 3R34</v>
      </c>
      <c r="B60" t="str">
        <f>IFERROR(Table1[[#This Row],[Project Number]]&amp;Table1[[#This Row],[Part Number]],"")</f>
        <v>AME25-040R34</v>
      </c>
      <c r="C60" s="22" t="s">
        <v>92</v>
      </c>
      <c r="D60" s="24" t="s">
        <v>272</v>
      </c>
      <c r="E60" s="25" t="s">
        <v>58</v>
      </c>
      <c r="F60" s="6">
        <f>INDEX(Proj_Reg!G:G,MATCH($C60,Proj_Reg!$B:$B,0),1)</f>
        <v>46113</v>
      </c>
      <c r="G60" s="6">
        <f>INDEX(Proj_Reg!H:H,MATCH($C60,Proj_Reg!$B:$B,0),1)</f>
        <v>46447</v>
      </c>
      <c r="H60" s="6" t="str">
        <f>IF(INDEX(Proj_Reg!C:C,MATCH($C60,Proj_Reg!$B:$B,0),1)=0,"",INDEX(Proj_Reg!C:C,MATCH($C60,Proj_Reg!$B:$B,0),1))</f>
        <v>Wafer Saw Dicing</v>
      </c>
      <c r="I60" s="6" t="str">
        <f>IF(INDEX(Proj_Reg!D:D,MATCH($C60,Proj_Reg!$B:$B,0),1)=0,"",INDEX(Proj_Reg!D:D,MATCH($C60,Proj_Reg!$B:$B,0),1))</f>
        <v>XCD</v>
      </c>
      <c r="J60" s="6" t="str">
        <f>INDEX(Proj_Reg!E:E,MATCH($C60,Proj_Reg!$B:$B,0),1)</f>
        <v>Thermal Release Tape 3</v>
      </c>
      <c r="K60" s="21">
        <v>1.7194975588760087E-2</v>
      </c>
      <c r="L60" s="21">
        <v>0</v>
      </c>
      <c r="M60" s="21">
        <v>0.02</v>
      </c>
      <c r="N60" s="21">
        <v>0</v>
      </c>
      <c r="O60" s="11">
        <f>SUM(Table1[[#This Row],[Labor
Saving]:[OH
Saving]])</f>
        <v>3.7194975588760087E-2</v>
      </c>
      <c r="Q60" s="40">
        <f t="shared" si="21"/>
        <v>0</v>
      </c>
      <c r="R60" s="40">
        <f t="shared" si="0"/>
        <v>0</v>
      </c>
      <c r="S60" s="40">
        <f t="shared" si="1"/>
        <v>0</v>
      </c>
      <c r="T60" s="40">
        <f t="shared" si="2"/>
        <v>2329.5</v>
      </c>
      <c r="U60" s="40">
        <f t="shared" si="3"/>
        <v>4130</v>
      </c>
      <c r="V60" s="40">
        <f t="shared" si="4"/>
        <v>4909</v>
      </c>
      <c r="W60" s="40">
        <f t="shared" si="5"/>
        <v>5646</v>
      </c>
      <c r="X60" s="40">
        <f t="shared" si="6"/>
        <v>4418</v>
      </c>
      <c r="Y60" s="40">
        <f t="shared" si="7"/>
        <v>4474</v>
      </c>
      <c r="Z60" s="40">
        <f t="shared" si="8"/>
        <v>4687</v>
      </c>
      <c r="AA60" s="40">
        <f t="shared" si="9"/>
        <v>4048</v>
      </c>
      <c r="AB60" s="40">
        <f t="shared" si="10"/>
        <v>3582</v>
      </c>
      <c r="AC60" s="37">
        <f>SUM(Table1[[#This Row],[Jan]:[Dec]])</f>
        <v>38223.5</v>
      </c>
      <c r="AD60" s="15">
        <f t="shared" si="22"/>
        <v>0</v>
      </c>
      <c r="AE60" s="15">
        <f t="shared" si="23"/>
        <v>0</v>
      </c>
      <c r="AF60" s="15">
        <f t="shared" si="24"/>
        <v>0</v>
      </c>
      <c r="AG60" s="15">
        <f t="shared" si="25"/>
        <v>86.645695634016619</v>
      </c>
      <c r="AH60" s="15">
        <f t="shared" si="26"/>
        <v>153.61524918157917</v>
      </c>
      <c r="AI60" s="15">
        <f t="shared" si="27"/>
        <v>182.59013516522327</v>
      </c>
      <c r="AJ60" s="15">
        <f t="shared" si="28"/>
        <v>210.00283217413946</v>
      </c>
      <c r="AK60" s="15">
        <f t="shared" si="29"/>
        <v>164.32740215114205</v>
      </c>
      <c r="AL60" s="15">
        <f t="shared" si="30"/>
        <v>166.41032078411263</v>
      </c>
      <c r="AM60" s="15">
        <f t="shared" si="31"/>
        <v>174.33285058451852</v>
      </c>
      <c r="AN60" s="15">
        <f t="shared" si="32"/>
        <v>150.56526118330083</v>
      </c>
      <c r="AO60" s="15">
        <f t="shared" si="33"/>
        <v>133.23240255893865</v>
      </c>
      <c r="AP60" s="10">
        <f t="shared" si="34"/>
        <v>0</v>
      </c>
      <c r="AQ60" s="10">
        <f t="shared" si="35"/>
        <v>422.85107998081907</v>
      </c>
      <c r="AR60" s="10">
        <f t="shared" si="36"/>
        <v>540.74055510939411</v>
      </c>
      <c r="AS60" s="10">
        <f t="shared" si="37"/>
        <v>458.13051432675803</v>
      </c>
      <c r="AT60" s="10" t="b">
        <f t="shared" si="38"/>
        <v>1</v>
      </c>
      <c r="AU60" s="10">
        <f t="shared" si="12"/>
        <v>657.25214941697118</v>
      </c>
      <c r="AV60" s="10">
        <f t="shared" si="13"/>
        <v>0</v>
      </c>
      <c r="AW60" s="10">
        <f t="shared" si="14"/>
        <v>764.47</v>
      </c>
      <c r="AX60" s="10">
        <f t="shared" si="15"/>
        <v>0</v>
      </c>
      <c r="AY60" s="10">
        <f t="shared" si="39"/>
        <v>1421.7221494169712</v>
      </c>
      <c r="AZ60" s="19">
        <f>IFERROR(IF($E60="REC",INDEX(A_Type_Volume!$B:$B,MATCH($D60,A_Type_Volume!$A:$A,0),1),IF($E60="VAM",INDEX(C_Type_Volume!$B:$B,MATCH($D60,C_Type_Volume!$A:$A,0),1),"X")),"")</f>
        <v>5587</v>
      </c>
      <c r="BA60" s="19">
        <f>IFERROR(IF($E60="REC",INDEX(A_Type_Volume!$C:$C,MATCH($D60,A_Type_Volume!$A:$A,0),1),IF($E60="VAM",INDEX(C_Type_Volume!$C:$C,MATCH($D60,C_Type_Volume!$A:$A,0),1),"X")),"")</f>
        <v>6267</v>
      </c>
      <c r="BB60" s="19">
        <f>IFERROR(IF($E60="REC",INDEX(A_Type_Volume!$D:$D,MATCH($D60,A_Type_Volume!$A:$A,0),1),IF($E60="VAM",INDEX(C_Type_Volume!$D:$D,MATCH($D60,C_Type_Volume!$A:$A,0),1),"X")),"")</f>
        <v>9670</v>
      </c>
      <c r="BC60" s="19">
        <f>IFERROR(IF($E60="REC",INDEX(A_Type_Volume!$E:$E,MATCH($D60,A_Type_Volume!$A:$A,0),1),IF($E60="VAM",INDEX(C_Type_Volume!$E:$E,MATCH($D60,C_Type_Volume!$A:$A,0),1),"X")),"")</f>
        <v>7765</v>
      </c>
      <c r="BD60" s="19">
        <f>IFERROR(IF($E60="REC",INDEX(A_Type_Volume!$F:$F,MATCH($D60,A_Type_Volume!$A:$A,0),1),IF($E60="VAM",INDEX(C_Type_Volume!$F:$F,MATCH($D60,C_Type_Volume!$A:$A,0),1),"X")),"")</f>
        <v>4130</v>
      </c>
      <c r="BE60" s="19">
        <f>IFERROR(IF($E60="REC",INDEX(A_Type_Volume!$G:$G,MATCH($D60,A_Type_Volume!$A:$A,0),1),IF($E60="VAM",INDEX(C_Type_Volume!$G:$G,MATCH($D60,C_Type_Volume!$A:$A,0),1),"X")),"")</f>
        <v>4909</v>
      </c>
      <c r="BF60" s="19">
        <f>IFERROR(IF($E60="REC",INDEX(A_Type_Volume!$H:$H,MATCH($D60,A_Type_Volume!$A:$A,0),1),IF($E60="VAM",INDEX(C_Type_Volume!$H:$H,MATCH($D60,C_Type_Volume!$A:$A,0),1),"X")),"")</f>
        <v>5646</v>
      </c>
      <c r="BG60" s="19">
        <f>IFERROR(IF($E60="REC",INDEX(A_Type_Volume!$I:$I,MATCH($D60,A_Type_Volume!$A:$A,0),1),IF($E60="VAM",INDEX(C_Type_Volume!$I:$I,MATCH($D60,C_Type_Volume!$A:$A,0),1),"X")),"")</f>
        <v>4418</v>
      </c>
      <c r="BH60" s="19">
        <f>IFERROR(IF($E60="REC",INDEX(A_Type_Volume!$J:$J,MATCH($D60,A_Type_Volume!$A:$A,0),1),IF($E60="VAM",INDEX(C_Type_Volume!$J:$J,MATCH($D60,C_Type_Volume!$A:$A,0),1),"X")),"")</f>
        <v>4474</v>
      </c>
      <c r="BI60" s="19">
        <f>IFERROR(IF($E60="REC",INDEX(A_Type_Volume!$K:$K,MATCH($D60,A_Type_Volume!$A:$A,0),1),IF($E60="VAM",INDEX(C_Type_Volume!$K:$K,MATCH($D60,C_Type_Volume!$A:$A,0),1),"X")),"")</f>
        <v>4687</v>
      </c>
      <c r="BJ60" s="19">
        <f>IFERROR(IF($E60="REC",INDEX(A_Type_Volume!$L:$L,MATCH($D60,A_Type_Volume!$A:$A,0),1),IF($E60="VAM",INDEX(C_Type_Volume!$L:$L,MATCH($D60,C_Type_Volume!$A:$A,0),1),"X")),"")</f>
        <v>4048</v>
      </c>
      <c r="BK60" s="19">
        <f>IFERROR(IF($E60="REC",INDEX(A_Type_Volume!M:M,MATCH($D60,A_Type_Volume!$A:$A,0),1),IF($E60="VAM",INDEX(C_Type_Volume!M:M,MATCH($D60,C_Type_Volume!$A:$A,0),1),"X")),"")</f>
        <v>3582</v>
      </c>
      <c r="BL60" s="38">
        <f>SUM(Table1[[#This Row],[Jan_AVF]:[Dec_AVF]])</f>
        <v>65183</v>
      </c>
      <c r="BM60" s="16">
        <f t="shared" si="40"/>
        <v>207.8083286144026</v>
      </c>
      <c r="BN60" s="16">
        <f t="shared" si="41"/>
        <v>233.10091201475947</v>
      </c>
      <c r="BO60" s="16">
        <f t="shared" si="42"/>
        <v>359.67541394331005</v>
      </c>
      <c r="BP60" s="16">
        <f t="shared" si="43"/>
        <v>288.81898544672208</v>
      </c>
      <c r="BQ60" s="16">
        <f t="shared" si="44"/>
        <v>153.61524918157917</v>
      </c>
      <c r="BR60" s="16">
        <f t="shared" si="45"/>
        <v>182.59013516522327</v>
      </c>
      <c r="BS60" s="16">
        <f t="shared" si="46"/>
        <v>210.00283217413946</v>
      </c>
      <c r="BT60" s="16">
        <f t="shared" si="47"/>
        <v>164.32740215114205</v>
      </c>
      <c r="BU60" s="16">
        <f t="shared" si="48"/>
        <v>166.41032078411263</v>
      </c>
      <c r="BV60" s="16">
        <f t="shared" si="49"/>
        <v>174.33285058451852</v>
      </c>
      <c r="BW60" s="16">
        <f t="shared" si="50"/>
        <v>150.56526118330083</v>
      </c>
      <c r="BX60" s="16">
        <f t="shared" si="51"/>
        <v>133.23240255893865</v>
      </c>
      <c r="BY60" s="10">
        <f t="shared" si="17"/>
        <v>800.58465457247212</v>
      </c>
      <c r="BZ60" s="10">
        <f t="shared" si="18"/>
        <v>625.02436979352456</v>
      </c>
      <c r="CA60" s="10">
        <f t="shared" si="19"/>
        <v>540.74055510939411</v>
      </c>
      <c r="CB60" s="10">
        <f t="shared" si="20"/>
        <v>458.13051432675803</v>
      </c>
      <c r="CC60" s="10">
        <f>IFERROR(Table1[[#This Row],[Labor
Saving]]*Table1[[#This Row],[Annual Volume]],"")</f>
        <v>1120.8200938021487</v>
      </c>
      <c r="CD60" s="10">
        <f>IFERROR(Table1[[#This Row],[Annual Volume]]*Table1[[#This Row],[Yield
Saving]],"")</f>
        <v>0</v>
      </c>
      <c r="CE60" s="10">
        <f>IFERROR(Table1[[#This Row],[Annual Volume]]*Table1[[#This Row],[Material
Saving]],"")</f>
        <v>1303.6600000000001</v>
      </c>
      <c r="CF60" s="10">
        <f>IFERROR(Table1[[#This Row],[OH
Saving]]*Table1[[#This Row],[Annual Volume]],"")</f>
        <v>0</v>
      </c>
      <c r="CG60" s="10">
        <f>SUM(Table1[[#This Row],[Labor_ASV]:[OH_ASV]])</f>
        <v>2424.480093802149</v>
      </c>
    </row>
    <row r="61" spans="1:85" x14ac:dyDescent="0.3">
      <c r="A61" t="str">
        <f>Table1[[#This Row],[Project Name]]&amp;Table1[[#This Row],[Part Number]]</f>
        <v>Thermal Release Tape 3R35</v>
      </c>
      <c r="B61" t="str">
        <f>IFERROR(Table1[[#This Row],[Project Number]]&amp;Table1[[#This Row],[Part Number]],"")</f>
        <v>AME25-040R35</v>
      </c>
      <c r="C61" s="22" t="s">
        <v>92</v>
      </c>
      <c r="D61" s="24" t="s">
        <v>273</v>
      </c>
      <c r="E61" s="25" t="s">
        <v>58</v>
      </c>
      <c r="F61" s="6">
        <f>INDEX(Proj_Reg!G:G,MATCH($C61,Proj_Reg!$B:$B,0),1)</f>
        <v>46113</v>
      </c>
      <c r="G61" s="6">
        <f>INDEX(Proj_Reg!H:H,MATCH($C61,Proj_Reg!$B:$B,0),1)</f>
        <v>46447</v>
      </c>
      <c r="H61" s="6" t="str">
        <f>IF(INDEX(Proj_Reg!C:C,MATCH($C61,Proj_Reg!$B:$B,0),1)=0,"",INDEX(Proj_Reg!C:C,MATCH($C61,Proj_Reg!$B:$B,0),1))</f>
        <v>Wafer Saw Dicing</v>
      </c>
      <c r="I61" s="6" t="str">
        <f>IF(INDEX(Proj_Reg!D:D,MATCH($C61,Proj_Reg!$B:$B,0),1)=0,"",INDEX(Proj_Reg!D:D,MATCH($C61,Proj_Reg!$B:$B,0),1))</f>
        <v>XCD</v>
      </c>
      <c r="J61" s="6" t="str">
        <f>INDEX(Proj_Reg!E:E,MATCH($C61,Proj_Reg!$B:$B,0),1)</f>
        <v>Thermal Release Tape 3</v>
      </c>
      <c r="K61" s="21">
        <v>1.7194975588760087E-2</v>
      </c>
      <c r="L61" s="21">
        <v>0</v>
      </c>
      <c r="M61" s="21">
        <v>0.02</v>
      </c>
      <c r="N61" s="21">
        <v>0</v>
      </c>
      <c r="O61" s="11">
        <f>SUM(Table1[[#This Row],[Labor
Saving]:[OH
Saving]])</f>
        <v>3.7194975588760087E-2</v>
      </c>
      <c r="Q61" s="40">
        <f t="shared" si="21"/>
        <v>0</v>
      </c>
      <c r="R61" s="40">
        <f t="shared" si="0"/>
        <v>0</v>
      </c>
      <c r="S61" s="40">
        <f t="shared" si="1"/>
        <v>0</v>
      </c>
      <c r="T61" s="40">
        <f t="shared" si="2"/>
        <v>2191.7999999999997</v>
      </c>
      <c r="U61" s="40">
        <f t="shared" si="3"/>
        <v>4114</v>
      </c>
      <c r="V61" s="40">
        <f t="shared" si="4"/>
        <v>4605</v>
      </c>
      <c r="W61" s="40">
        <f t="shared" si="5"/>
        <v>5295</v>
      </c>
      <c r="X61" s="40">
        <f t="shared" si="6"/>
        <v>4144</v>
      </c>
      <c r="Y61" s="40">
        <f t="shared" si="7"/>
        <v>4196</v>
      </c>
      <c r="Z61" s="40">
        <f t="shared" si="8"/>
        <v>4396</v>
      </c>
      <c r="AA61" s="40">
        <f t="shared" si="9"/>
        <v>3797</v>
      </c>
      <c r="AB61" s="40">
        <f t="shared" si="10"/>
        <v>3359</v>
      </c>
      <c r="AC61" s="37">
        <f>SUM(Table1[[#This Row],[Jan]:[Dec]])</f>
        <v>36097.800000000003</v>
      </c>
      <c r="AD61" s="15">
        <f t="shared" si="22"/>
        <v>0</v>
      </c>
      <c r="AE61" s="15">
        <f t="shared" si="23"/>
        <v>0</v>
      </c>
      <c r="AF61" s="15">
        <f t="shared" si="24"/>
        <v>0</v>
      </c>
      <c r="AG61" s="15">
        <f t="shared" si="25"/>
        <v>81.523947495444347</v>
      </c>
      <c r="AH61" s="15">
        <f t="shared" si="26"/>
        <v>153.02012957215899</v>
      </c>
      <c r="AI61" s="15">
        <f t="shared" si="27"/>
        <v>171.28286258624021</v>
      </c>
      <c r="AJ61" s="15">
        <f t="shared" si="28"/>
        <v>196.94739574248467</v>
      </c>
      <c r="AK61" s="15">
        <f t="shared" si="29"/>
        <v>154.1359788398218</v>
      </c>
      <c r="AL61" s="15">
        <f t="shared" si="30"/>
        <v>156.07011757043733</v>
      </c>
      <c r="AM61" s="15">
        <f t="shared" si="31"/>
        <v>163.50911268818933</v>
      </c>
      <c r="AN61" s="15">
        <f t="shared" si="32"/>
        <v>141.22932231052206</v>
      </c>
      <c r="AO61" s="15">
        <f t="shared" si="33"/>
        <v>124.93792300264514</v>
      </c>
      <c r="AP61" s="10">
        <f t="shared" si="34"/>
        <v>0</v>
      </c>
      <c r="AQ61" s="10">
        <f t="shared" si="35"/>
        <v>405.82693965384351</v>
      </c>
      <c r="AR61" s="10">
        <f t="shared" si="36"/>
        <v>507.15349215274381</v>
      </c>
      <c r="AS61" s="10">
        <f t="shared" si="37"/>
        <v>429.67635800135656</v>
      </c>
      <c r="AT61" s="10" t="b">
        <f t="shared" si="38"/>
        <v>1</v>
      </c>
      <c r="AU61" s="10">
        <f t="shared" si="12"/>
        <v>620.70078980794392</v>
      </c>
      <c r="AV61" s="10">
        <f t="shared" si="13"/>
        <v>0</v>
      </c>
      <c r="AW61" s="10">
        <f t="shared" si="14"/>
        <v>721.95600000000002</v>
      </c>
      <c r="AX61" s="10">
        <f t="shared" si="15"/>
        <v>0</v>
      </c>
      <c r="AY61" s="10">
        <f t="shared" si="39"/>
        <v>1342.6567898079438</v>
      </c>
      <c r="AZ61" s="19">
        <f>IFERROR(IF($E61="REC",INDEX(A_Type_Volume!$B:$B,MATCH($D61,A_Type_Volume!$A:$A,0),1),IF($E61="VAM",INDEX(C_Type_Volume!$B:$B,MATCH($D61,C_Type_Volume!$A:$A,0),1),"X")),"")</f>
        <v>5429</v>
      </c>
      <c r="BA61" s="19">
        <f>IFERROR(IF($E61="REC",INDEX(A_Type_Volume!$C:$C,MATCH($D61,A_Type_Volume!$A:$A,0),1),IF($E61="VAM",INDEX(C_Type_Volume!$C:$C,MATCH($D61,C_Type_Volume!$A:$A,0),1),"X")),"")</f>
        <v>6322</v>
      </c>
      <c r="BB61" s="19">
        <f>IFERROR(IF($E61="REC",INDEX(A_Type_Volume!$D:$D,MATCH($D61,A_Type_Volume!$A:$A,0),1),IF($E61="VAM",INDEX(C_Type_Volume!$D:$D,MATCH($D61,C_Type_Volume!$A:$A,0),1),"X")),"")</f>
        <v>8540</v>
      </c>
      <c r="BC61" s="19">
        <f>IFERROR(IF($E61="REC",INDEX(A_Type_Volume!$E:$E,MATCH($D61,A_Type_Volume!$A:$A,0),1),IF($E61="VAM",INDEX(C_Type_Volume!$E:$E,MATCH($D61,C_Type_Volume!$A:$A,0),1),"X")),"")</f>
        <v>7306</v>
      </c>
      <c r="BD61" s="19">
        <f>IFERROR(IF($E61="REC",INDEX(A_Type_Volume!$F:$F,MATCH($D61,A_Type_Volume!$A:$A,0),1),IF($E61="VAM",INDEX(C_Type_Volume!$F:$F,MATCH($D61,C_Type_Volume!$A:$A,0),1),"X")),"")</f>
        <v>4114</v>
      </c>
      <c r="BE61" s="19">
        <f>IFERROR(IF($E61="REC",INDEX(A_Type_Volume!$G:$G,MATCH($D61,A_Type_Volume!$A:$A,0),1),IF($E61="VAM",INDEX(C_Type_Volume!$G:$G,MATCH($D61,C_Type_Volume!$A:$A,0),1),"X")),"")</f>
        <v>4605</v>
      </c>
      <c r="BF61" s="19">
        <f>IFERROR(IF($E61="REC",INDEX(A_Type_Volume!$H:$H,MATCH($D61,A_Type_Volume!$A:$A,0),1),IF($E61="VAM",INDEX(C_Type_Volume!$H:$H,MATCH($D61,C_Type_Volume!$A:$A,0),1),"X")),"")</f>
        <v>5295</v>
      </c>
      <c r="BG61" s="19">
        <f>IFERROR(IF($E61="REC",INDEX(A_Type_Volume!$I:$I,MATCH($D61,A_Type_Volume!$A:$A,0),1),IF($E61="VAM",INDEX(C_Type_Volume!$I:$I,MATCH($D61,C_Type_Volume!$A:$A,0),1),"X")),"")</f>
        <v>4144</v>
      </c>
      <c r="BH61" s="19">
        <f>IFERROR(IF($E61="REC",INDEX(A_Type_Volume!$J:$J,MATCH($D61,A_Type_Volume!$A:$A,0),1),IF($E61="VAM",INDEX(C_Type_Volume!$J:$J,MATCH($D61,C_Type_Volume!$A:$A,0),1),"X")),"")</f>
        <v>4196</v>
      </c>
      <c r="BI61" s="19">
        <f>IFERROR(IF($E61="REC",INDEX(A_Type_Volume!$K:$K,MATCH($D61,A_Type_Volume!$A:$A,0),1),IF($E61="VAM",INDEX(C_Type_Volume!$K:$K,MATCH($D61,C_Type_Volume!$A:$A,0),1),"X")),"")</f>
        <v>4396</v>
      </c>
      <c r="BJ61" s="19">
        <f>IFERROR(IF($E61="REC",INDEX(A_Type_Volume!$L:$L,MATCH($D61,A_Type_Volume!$A:$A,0),1),IF($E61="VAM",INDEX(C_Type_Volume!$L:$L,MATCH($D61,C_Type_Volume!$A:$A,0),1),"X")),"")</f>
        <v>3797</v>
      </c>
      <c r="BK61" s="19">
        <f>IFERROR(IF($E61="REC",INDEX(A_Type_Volume!M:M,MATCH($D61,A_Type_Volume!$A:$A,0),1),IF($E61="VAM",INDEX(C_Type_Volume!M:M,MATCH($D61,C_Type_Volume!$A:$A,0),1),"X")),"")</f>
        <v>3359</v>
      </c>
      <c r="BL61" s="38">
        <f>SUM(Table1[[#This Row],[Jan_AVF]:[Dec_AVF]])</f>
        <v>61503</v>
      </c>
      <c r="BM61" s="16">
        <f t="shared" si="40"/>
        <v>201.93152247137851</v>
      </c>
      <c r="BN61" s="16">
        <f t="shared" si="41"/>
        <v>235.14663567214129</v>
      </c>
      <c r="BO61" s="16">
        <f t="shared" si="42"/>
        <v>317.64509152801116</v>
      </c>
      <c r="BP61" s="16">
        <f t="shared" si="43"/>
        <v>271.74649165148122</v>
      </c>
      <c r="BQ61" s="16">
        <f t="shared" si="44"/>
        <v>153.02012957215899</v>
      </c>
      <c r="BR61" s="16">
        <f t="shared" si="45"/>
        <v>171.28286258624021</v>
      </c>
      <c r="BS61" s="16">
        <f t="shared" si="46"/>
        <v>196.94739574248467</v>
      </c>
      <c r="BT61" s="16">
        <f t="shared" si="47"/>
        <v>154.1359788398218</v>
      </c>
      <c r="BU61" s="16">
        <f t="shared" si="48"/>
        <v>156.07011757043733</v>
      </c>
      <c r="BV61" s="16">
        <f t="shared" si="49"/>
        <v>163.50911268818933</v>
      </c>
      <c r="BW61" s="16">
        <f t="shared" si="50"/>
        <v>141.22932231052206</v>
      </c>
      <c r="BX61" s="16">
        <f t="shared" si="51"/>
        <v>124.93792300264514</v>
      </c>
      <c r="BY61" s="10">
        <f t="shared" si="17"/>
        <v>754.72324967153099</v>
      </c>
      <c r="BZ61" s="10">
        <f t="shared" si="18"/>
        <v>596.04948380988037</v>
      </c>
      <c r="CA61" s="10">
        <f t="shared" si="19"/>
        <v>507.15349215274381</v>
      </c>
      <c r="CB61" s="10">
        <f t="shared" si="20"/>
        <v>429.67635800135656</v>
      </c>
      <c r="CC61" s="10">
        <f>IFERROR(Table1[[#This Row],[Labor
Saving]]*Table1[[#This Row],[Annual Volume]],"")</f>
        <v>1057.5425836355116</v>
      </c>
      <c r="CD61" s="10">
        <f>IFERROR(Table1[[#This Row],[Annual Volume]]*Table1[[#This Row],[Yield
Saving]],"")</f>
        <v>0</v>
      </c>
      <c r="CE61" s="10">
        <f>IFERROR(Table1[[#This Row],[Annual Volume]]*Table1[[#This Row],[Material
Saving]],"")</f>
        <v>1230.06</v>
      </c>
      <c r="CF61" s="10">
        <f>IFERROR(Table1[[#This Row],[OH
Saving]]*Table1[[#This Row],[Annual Volume]],"")</f>
        <v>0</v>
      </c>
      <c r="CG61" s="10">
        <f>SUM(Table1[[#This Row],[Labor_ASV]:[OH_ASV]])</f>
        <v>2287.6025836355116</v>
      </c>
    </row>
    <row r="62" spans="1:85" x14ac:dyDescent="0.3">
      <c r="A62" t="str">
        <f>Table1[[#This Row],[Project Name]]&amp;Table1[[#This Row],[Part Number]]</f>
        <v>Thermal Release Tape 3R36</v>
      </c>
      <c r="B62" t="str">
        <f>IFERROR(Table1[[#This Row],[Project Number]]&amp;Table1[[#This Row],[Part Number]],"")</f>
        <v>AME25-040R36</v>
      </c>
      <c r="C62" s="22" t="s">
        <v>92</v>
      </c>
      <c r="D62" s="24" t="s">
        <v>274</v>
      </c>
      <c r="E62" s="25" t="s">
        <v>58</v>
      </c>
      <c r="F62" s="6">
        <f>INDEX(Proj_Reg!G:G,MATCH($C62,Proj_Reg!$B:$B,0),1)</f>
        <v>46113</v>
      </c>
      <c r="G62" s="6">
        <f>INDEX(Proj_Reg!H:H,MATCH($C62,Proj_Reg!$B:$B,0),1)</f>
        <v>46447</v>
      </c>
      <c r="H62" s="6" t="str">
        <f>IF(INDEX(Proj_Reg!C:C,MATCH($C62,Proj_Reg!$B:$B,0),1)=0,"",INDEX(Proj_Reg!C:C,MATCH($C62,Proj_Reg!$B:$B,0),1))</f>
        <v>Wafer Saw Dicing</v>
      </c>
      <c r="I62" s="6" t="str">
        <f>IF(INDEX(Proj_Reg!D:D,MATCH($C62,Proj_Reg!$B:$B,0),1)=0,"",INDEX(Proj_Reg!D:D,MATCH($C62,Proj_Reg!$B:$B,0),1))</f>
        <v>XCD</v>
      </c>
      <c r="J62" s="6" t="str">
        <f>INDEX(Proj_Reg!E:E,MATCH($C62,Proj_Reg!$B:$B,0),1)</f>
        <v>Thermal Release Tape 3</v>
      </c>
      <c r="K62" s="21">
        <v>1.7194975588760087E-2</v>
      </c>
      <c r="L62" s="21">
        <v>0</v>
      </c>
      <c r="M62" s="21">
        <v>0.02</v>
      </c>
      <c r="N62" s="21">
        <v>0</v>
      </c>
      <c r="O62" s="11">
        <f>SUM(Table1[[#This Row],[Labor
Saving]:[OH
Saving]])</f>
        <v>3.7194975588760087E-2</v>
      </c>
      <c r="Q62" s="40">
        <f t="shared" si="21"/>
        <v>0</v>
      </c>
      <c r="R62" s="40">
        <f t="shared" si="0"/>
        <v>0</v>
      </c>
      <c r="S62" s="40">
        <f t="shared" si="1"/>
        <v>0</v>
      </c>
      <c r="T62" s="40">
        <f t="shared" si="2"/>
        <v>4962.5999999999995</v>
      </c>
      <c r="U62" s="40">
        <f t="shared" si="3"/>
        <v>17089</v>
      </c>
      <c r="V62" s="40">
        <f t="shared" si="4"/>
        <v>16734</v>
      </c>
      <c r="W62" s="40">
        <f t="shared" si="5"/>
        <v>19244</v>
      </c>
      <c r="X62" s="40">
        <f t="shared" si="6"/>
        <v>15060</v>
      </c>
      <c r="Y62" s="40">
        <f t="shared" si="7"/>
        <v>15250</v>
      </c>
      <c r="Z62" s="40">
        <f t="shared" si="8"/>
        <v>15976</v>
      </c>
      <c r="AA62" s="40">
        <f t="shared" si="9"/>
        <v>13797</v>
      </c>
      <c r="AB62" s="40">
        <f t="shared" si="10"/>
        <v>12208</v>
      </c>
      <c r="AC62" s="37">
        <f>SUM(Table1[[#This Row],[Jan]:[Dec]])</f>
        <v>130320.6</v>
      </c>
      <c r="AD62" s="15">
        <f t="shared" si="22"/>
        <v>0</v>
      </c>
      <c r="AE62" s="15">
        <f t="shared" si="23"/>
        <v>0</v>
      </c>
      <c r="AF62" s="15">
        <f t="shared" si="24"/>
        <v>0</v>
      </c>
      <c r="AG62" s="15">
        <f t="shared" si="25"/>
        <v>184.58378585678079</v>
      </c>
      <c r="AH62" s="15">
        <f t="shared" si="26"/>
        <v>635.62493783632112</v>
      </c>
      <c r="AI62" s="15">
        <f t="shared" si="27"/>
        <v>622.42072150231127</v>
      </c>
      <c r="AJ62" s="15">
        <f t="shared" si="28"/>
        <v>715.78011023009913</v>
      </c>
      <c r="AK62" s="15">
        <f t="shared" si="29"/>
        <v>560.15633236672693</v>
      </c>
      <c r="AL62" s="15">
        <f t="shared" si="30"/>
        <v>567.22337772859134</v>
      </c>
      <c r="AM62" s="15">
        <f t="shared" si="31"/>
        <v>594.22693000603113</v>
      </c>
      <c r="AN62" s="15">
        <f t="shared" si="32"/>
        <v>513.17907819812297</v>
      </c>
      <c r="AO62" s="15">
        <f t="shared" si="33"/>
        <v>454.07626198758317</v>
      </c>
      <c r="AP62" s="10">
        <f t="shared" si="34"/>
        <v>0</v>
      </c>
      <c r="AQ62" s="10">
        <f t="shared" si="35"/>
        <v>1442.6294451954132</v>
      </c>
      <c r="AR62" s="10">
        <f t="shared" si="36"/>
        <v>1843.1598203254175</v>
      </c>
      <c r="AS62" s="10">
        <f t="shared" si="37"/>
        <v>1561.4822701917374</v>
      </c>
      <c r="AT62" s="10" t="b">
        <f t="shared" si="38"/>
        <v>1</v>
      </c>
      <c r="AU62" s="10">
        <f t="shared" si="12"/>
        <v>2240.8595357125678</v>
      </c>
      <c r="AV62" s="10">
        <f t="shared" si="13"/>
        <v>0</v>
      </c>
      <c r="AW62" s="10">
        <f t="shared" si="14"/>
        <v>2606.4120000000003</v>
      </c>
      <c r="AX62" s="10">
        <f t="shared" si="15"/>
        <v>0</v>
      </c>
      <c r="AY62" s="10">
        <f t="shared" si="39"/>
        <v>4847.271535712568</v>
      </c>
      <c r="AZ62" s="19">
        <f>IFERROR(IF($E62="REC",INDEX(A_Type_Volume!$B:$B,MATCH($D62,A_Type_Volume!$A:$A,0),1),IF($E62="VAM",INDEX(C_Type_Volume!$B:$B,MATCH($D62,C_Type_Volume!$A:$A,0),1),"X")),"")</f>
        <v>18601</v>
      </c>
      <c r="BA62" s="19">
        <f>IFERROR(IF($E62="REC",INDEX(A_Type_Volume!$C:$C,MATCH($D62,A_Type_Volume!$A:$A,0),1),IF($E62="VAM",INDEX(C_Type_Volume!$C:$C,MATCH($D62,C_Type_Volume!$A:$A,0),1),"X")),"")</f>
        <v>17399</v>
      </c>
      <c r="BB62" s="19">
        <f>IFERROR(IF($E62="REC",INDEX(A_Type_Volume!$D:$D,MATCH($D62,A_Type_Volume!$A:$A,0),1),IF($E62="VAM",INDEX(C_Type_Volume!$D:$D,MATCH($D62,C_Type_Volume!$A:$A,0),1),"X")),"")</f>
        <v>27733</v>
      </c>
      <c r="BC62" s="19">
        <f>IFERROR(IF($E62="REC",INDEX(A_Type_Volume!$E:$E,MATCH($D62,A_Type_Volume!$A:$A,0),1),IF($E62="VAM",INDEX(C_Type_Volume!$E:$E,MATCH($D62,C_Type_Volume!$A:$A,0),1),"X")),"")</f>
        <v>16542</v>
      </c>
      <c r="BD62" s="19">
        <f>IFERROR(IF($E62="REC",INDEX(A_Type_Volume!$F:$F,MATCH($D62,A_Type_Volume!$A:$A,0),1),IF($E62="VAM",INDEX(C_Type_Volume!$F:$F,MATCH($D62,C_Type_Volume!$A:$A,0),1),"X")),"")</f>
        <v>17089</v>
      </c>
      <c r="BE62" s="19">
        <f>IFERROR(IF($E62="REC",INDEX(A_Type_Volume!$G:$G,MATCH($D62,A_Type_Volume!$A:$A,0),1),IF($E62="VAM",INDEX(C_Type_Volume!$G:$G,MATCH($D62,C_Type_Volume!$A:$A,0),1),"X")),"")</f>
        <v>16734</v>
      </c>
      <c r="BF62" s="19">
        <f>IFERROR(IF($E62="REC",INDEX(A_Type_Volume!$H:$H,MATCH($D62,A_Type_Volume!$A:$A,0),1),IF($E62="VAM",INDEX(C_Type_Volume!$H:$H,MATCH($D62,C_Type_Volume!$A:$A,0),1),"X")),"")</f>
        <v>19244</v>
      </c>
      <c r="BG62" s="19">
        <f>IFERROR(IF($E62="REC",INDEX(A_Type_Volume!$I:$I,MATCH($D62,A_Type_Volume!$A:$A,0),1),IF($E62="VAM",INDEX(C_Type_Volume!$I:$I,MATCH($D62,C_Type_Volume!$A:$A,0),1),"X")),"")</f>
        <v>15060</v>
      </c>
      <c r="BH62" s="19">
        <f>IFERROR(IF($E62="REC",INDEX(A_Type_Volume!$J:$J,MATCH($D62,A_Type_Volume!$A:$A,0),1),IF($E62="VAM",INDEX(C_Type_Volume!$J:$J,MATCH($D62,C_Type_Volume!$A:$A,0),1),"X")),"")</f>
        <v>15250</v>
      </c>
      <c r="BI62" s="19">
        <f>IFERROR(IF($E62="REC",INDEX(A_Type_Volume!$K:$K,MATCH($D62,A_Type_Volume!$A:$A,0),1),IF($E62="VAM",INDEX(C_Type_Volume!$K:$K,MATCH($D62,C_Type_Volume!$A:$A,0),1),"X")),"")</f>
        <v>15976</v>
      </c>
      <c r="BJ62" s="19">
        <f>IFERROR(IF($E62="REC",INDEX(A_Type_Volume!$L:$L,MATCH($D62,A_Type_Volume!$A:$A,0),1),IF($E62="VAM",INDEX(C_Type_Volume!$L:$L,MATCH($D62,C_Type_Volume!$A:$A,0),1),"X")),"")</f>
        <v>13797</v>
      </c>
      <c r="BK62" s="19">
        <f>IFERROR(IF($E62="REC",INDEX(A_Type_Volume!M:M,MATCH($D62,A_Type_Volume!$A:$A,0),1),IF($E62="VAM",INDEX(C_Type_Volume!M:M,MATCH($D62,C_Type_Volume!$A:$A,0),1),"X")),"")</f>
        <v>12208</v>
      </c>
      <c r="BL62" s="38">
        <f>SUM(Table1[[#This Row],[Jan_AVF]:[Dec_AVF]])</f>
        <v>205633</v>
      </c>
      <c r="BM62" s="16">
        <f t="shared" si="40"/>
        <v>691.86374092652636</v>
      </c>
      <c r="BN62" s="16">
        <f t="shared" si="41"/>
        <v>647.15538026883678</v>
      </c>
      <c r="BO62" s="16">
        <f t="shared" si="42"/>
        <v>1031.5282580030835</v>
      </c>
      <c r="BP62" s="16">
        <f t="shared" si="43"/>
        <v>615.27928618926933</v>
      </c>
      <c r="BQ62" s="16">
        <f t="shared" si="44"/>
        <v>635.62493783632112</v>
      </c>
      <c r="BR62" s="16">
        <f t="shared" si="45"/>
        <v>622.42072150231127</v>
      </c>
      <c r="BS62" s="16">
        <f t="shared" si="46"/>
        <v>715.78011023009913</v>
      </c>
      <c r="BT62" s="16">
        <f t="shared" si="47"/>
        <v>560.15633236672693</v>
      </c>
      <c r="BU62" s="16">
        <f t="shared" si="48"/>
        <v>567.22337772859134</v>
      </c>
      <c r="BV62" s="16">
        <f t="shared" si="49"/>
        <v>594.22693000603113</v>
      </c>
      <c r="BW62" s="16">
        <f t="shared" si="50"/>
        <v>513.17907819812297</v>
      </c>
      <c r="BX62" s="16">
        <f t="shared" si="51"/>
        <v>454.07626198758317</v>
      </c>
      <c r="BY62" s="10">
        <f t="shared" si="17"/>
        <v>2370.5473791984468</v>
      </c>
      <c r="BZ62" s="10">
        <f t="shared" si="18"/>
        <v>1873.3249455279015</v>
      </c>
      <c r="CA62" s="10">
        <f t="shared" si="19"/>
        <v>1843.1598203254175</v>
      </c>
      <c r="CB62" s="10">
        <f t="shared" si="20"/>
        <v>1561.4822701917374</v>
      </c>
      <c r="CC62" s="10">
        <f>IFERROR(Table1[[#This Row],[Labor
Saving]]*Table1[[#This Row],[Annual Volume]],"")</f>
        <v>3535.8544152435029</v>
      </c>
      <c r="CD62" s="10">
        <f>IFERROR(Table1[[#This Row],[Annual Volume]]*Table1[[#This Row],[Yield
Saving]],"")</f>
        <v>0</v>
      </c>
      <c r="CE62" s="10">
        <f>IFERROR(Table1[[#This Row],[Annual Volume]]*Table1[[#This Row],[Material
Saving]],"")</f>
        <v>4112.66</v>
      </c>
      <c r="CF62" s="10">
        <f>IFERROR(Table1[[#This Row],[OH
Saving]]*Table1[[#This Row],[Annual Volume]],"")</f>
        <v>0</v>
      </c>
      <c r="CG62" s="10">
        <f>SUM(Table1[[#This Row],[Labor_ASV]:[OH_ASV]])</f>
        <v>7648.5144152435023</v>
      </c>
    </row>
    <row r="63" spans="1:85" x14ac:dyDescent="0.3">
      <c r="A63" t="str">
        <f>Table1[[#This Row],[Project Name]]&amp;Table1[[#This Row],[Part Number]]</f>
        <v>Thermal Release Tape 3R37</v>
      </c>
      <c r="B63" t="str">
        <f>IFERROR(Table1[[#This Row],[Project Number]]&amp;Table1[[#This Row],[Part Number]],"")</f>
        <v>AME25-040R37</v>
      </c>
      <c r="C63" s="22" t="s">
        <v>92</v>
      </c>
      <c r="D63" s="24" t="s">
        <v>275</v>
      </c>
      <c r="E63" s="25" t="s">
        <v>58</v>
      </c>
      <c r="F63" s="6">
        <f>INDEX(Proj_Reg!G:G,MATCH($C63,Proj_Reg!$B:$B,0),1)</f>
        <v>46113</v>
      </c>
      <c r="G63" s="6">
        <f>INDEX(Proj_Reg!H:H,MATCH($C63,Proj_Reg!$B:$B,0),1)</f>
        <v>46447</v>
      </c>
      <c r="H63" s="6" t="str">
        <f>IF(INDEX(Proj_Reg!C:C,MATCH($C63,Proj_Reg!$B:$B,0),1)=0,"",INDEX(Proj_Reg!C:C,MATCH($C63,Proj_Reg!$B:$B,0),1))</f>
        <v>Wafer Saw Dicing</v>
      </c>
      <c r="I63" s="6" t="str">
        <f>IF(INDEX(Proj_Reg!D:D,MATCH($C63,Proj_Reg!$B:$B,0),1)=0,"",INDEX(Proj_Reg!D:D,MATCH($C63,Proj_Reg!$B:$B,0),1))</f>
        <v>XCD</v>
      </c>
      <c r="J63" s="6" t="str">
        <f>INDEX(Proj_Reg!E:E,MATCH($C63,Proj_Reg!$B:$B,0),1)</f>
        <v>Thermal Release Tape 3</v>
      </c>
      <c r="K63" s="21">
        <v>1.7194975588760087E-2</v>
      </c>
      <c r="L63" s="21">
        <v>0</v>
      </c>
      <c r="M63" s="21">
        <v>0.02</v>
      </c>
      <c r="N63" s="21">
        <v>0</v>
      </c>
      <c r="O63" s="11">
        <f>SUM(Table1[[#This Row],[Labor
Saving]:[OH
Saving]])</f>
        <v>3.7194975588760087E-2</v>
      </c>
      <c r="Q63" s="40">
        <f t="shared" si="21"/>
        <v>0</v>
      </c>
      <c r="R63" s="40">
        <f t="shared" si="0"/>
        <v>0</v>
      </c>
      <c r="S63" s="40">
        <f t="shared" si="1"/>
        <v>0</v>
      </c>
      <c r="T63" s="40">
        <f t="shared" si="2"/>
        <v>4957.8</v>
      </c>
      <c r="U63" s="40">
        <f t="shared" si="3"/>
        <v>16950</v>
      </c>
      <c r="V63" s="40">
        <f t="shared" si="4"/>
        <v>16172</v>
      </c>
      <c r="W63" s="40">
        <f t="shared" si="5"/>
        <v>18598</v>
      </c>
      <c r="X63" s="40">
        <f t="shared" si="6"/>
        <v>14555</v>
      </c>
      <c r="Y63" s="40">
        <f t="shared" si="7"/>
        <v>14738</v>
      </c>
      <c r="Z63" s="40">
        <f t="shared" si="8"/>
        <v>15440</v>
      </c>
      <c r="AA63" s="40">
        <f t="shared" si="9"/>
        <v>13334</v>
      </c>
      <c r="AB63" s="40">
        <f t="shared" si="10"/>
        <v>11798</v>
      </c>
      <c r="AC63" s="37">
        <f>SUM(Table1[[#This Row],[Jan]:[Dec]])</f>
        <v>126542.8</v>
      </c>
      <c r="AD63" s="15">
        <f t="shared" si="22"/>
        <v>0</v>
      </c>
      <c r="AE63" s="15">
        <f t="shared" si="23"/>
        <v>0</v>
      </c>
      <c r="AF63" s="15">
        <f t="shared" si="24"/>
        <v>0</v>
      </c>
      <c r="AG63" s="15">
        <f t="shared" si="25"/>
        <v>184.40524997395477</v>
      </c>
      <c r="AH63" s="15">
        <f t="shared" si="26"/>
        <v>630.45483622948348</v>
      </c>
      <c r="AI63" s="15">
        <f t="shared" si="27"/>
        <v>601.51714522142811</v>
      </c>
      <c r="AJ63" s="15">
        <f t="shared" si="28"/>
        <v>691.75215599976013</v>
      </c>
      <c r="AK63" s="15">
        <f t="shared" si="29"/>
        <v>541.37286969440311</v>
      </c>
      <c r="AL63" s="15">
        <f t="shared" si="30"/>
        <v>548.17955022714614</v>
      </c>
      <c r="AM63" s="15">
        <f t="shared" si="31"/>
        <v>574.29042309045576</v>
      </c>
      <c r="AN63" s="15">
        <f t="shared" si="32"/>
        <v>495.957804500527</v>
      </c>
      <c r="AO63" s="15">
        <f t="shared" si="33"/>
        <v>438.8263219961915</v>
      </c>
      <c r="AP63" s="10">
        <f t="shared" si="34"/>
        <v>0</v>
      </c>
      <c r="AQ63" s="10">
        <f t="shared" si="35"/>
        <v>1416.3772314248663</v>
      </c>
      <c r="AR63" s="10">
        <f t="shared" si="36"/>
        <v>1781.3045759213094</v>
      </c>
      <c r="AS63" s="10">
        <f t="shared" si="37"/>
        <v>1509.0745495871743</v>
      </c>
      <c r="AT63" s="10" t="b">
        <f t="shared" si="38"/>
        <v>1</v>
      </c>
      <c r="AU63" s="10">
        <f t="shared" si="12"/>
        <v>2175.9003569333499</v>
      </c>
      <c r="AV63" s="10">
        <f t="shared" si="13"/>
        <v>0</v>
      </c>
      <c r="AW63" s="10">
        <f t="shared" si="14"/>
        <v>2530.8560000000002</v>
      </c>
      <c r="AX63" s="10">
        <f t="shared" si="15"/>
        <v>0</v>
      </c>
      <c r="AY63" s="10">
        <f t="shared" si="39"/>
        <v>4706.7563569333506</v>
      </c>
      <c r="AZ63" s="19">
        <f>IFERROR(IF($E63="REC",INDEX(A_Type_Volume!$B:$B,MATCH($D63,A_Type_Volume!$A:$A,0),1),IF($E63="VAM",INDEX(C_Type_Volume!$B:$B,MATCH($D63,C_Type_Volume!$A:$A,0),1),"X")),"")</f>
        <v>20152</v>
      </c>
      <c r="BA63" s="19">
        <f>IFERROR(IF($E63="REC",INDEX(A_Type_Volume!$C:$C,MATCH($D63,A_Type_Volume!$A:$A,0),1),IF($E63="VAM",INDEX(C_Type_Volume!$C:$C,MATCH($D63,C_Type_Volume!$A:$A,0),1),"X")),"")</f>
        <v>20096</v>
      </c>
      <c r="BB63" s="19">
        <f>IFERROR(IF($E63="REC",INDEX(A_Type_Volume!$D:$D,MATCH($D63,A_Type_Volume!$A:$A,0),1),IF($E63="VAM",INDEX(C_Type_Volume!$D:$D,MATCH($D63,C_Type_Volume!$A:$A,0),1),"X")),"")</f>
        <v>27440</v>
      </c>
      <c r="BC63" s="19">
        <f>IFERROR(IF($E63="REC",INDEX(A_Type_Volume!$E:$E,MATCH($D63,A_Type_Volume!$A:$A,0),1),IF($E63="VAM",INDEX(C_Type_Volume!$E:$E,MATCH($D63,C_Type_Volume!$A:$A,0),1),"X")),"")</f>
        <v>16526</v>
      </c>
      <c r="BD63" s="19">
        <f>IFERROR(IF($E63="REC",INDEX(A_Type_Volume!$F:$F,MATCH($D63,A_Type_Volume!$A:$A,0),1),IF($E63="VAM",INDEX(C_Type_Volume!$F:$F,MATCH($D63,C_Type_Volume!$A:$A,0),1),"X")),"")</f>
        <v>16950</v>
      </c>
      <c r="BE63" s="19">
        <f>IFERROR(IF($E63="REC",INDEX(A_Type_Volume!$G:$G,MATCH($D63,A_Type_Volume!$A:$A,0),1),IF($E63="VAM",INDEX(C_Type_Volume!$G:$G,MATCH($D63,C_Type_Volume!$A:$A,0),1),"X")),"")</f>
        <v>16172</v>
      </c>
      <c r="BF63" s="19">
        <f>IFERROR(IF($E63="REC",INDEX(A_Type_Volume!$H:$H,MATCH($D63,A_Type_Volume!$A:$A,0),1),IF($E63="VAM",INDEX(C_Type_Volume!$H:$H,MATCH($D63,C_Type_Volume!$A:$A,0),1),"X")),"")</f>
        <v>18598</v>
      </c>
      <c r="BG63" s="19">
        <f>IFERROR(IF($E63="REC",INDEX(A_Type_Volume!$I:$I,MATCH($D63,A_Type_Volume!$A:$A,0),1),IF($E63="VAM",INDEX(C_Type_Volume!$I:$I,MATCH($D63,C_Type_Volume!$A:$A,0),1),"X")),"")</f>
        <v>14555</v>
      </c>
      <c r="BH63" s="19">
        <f>IFERROR(IF($E63="REC",INDEX(A_Type_Volume!$J:$J,MATCH($D63,A_Type_Volume!$A:$A,0),1),IF($E63="VAM",INDEX(C_Type_Volume!$J:$J,MATCH($D63,C_Type_Volume!$A:$A,0),1),"X")),"")</f>
        <v>14738</v>
      </c>
      <c r="BI63" s="19">
        <f>IFERROR(IF($E63="REC",INDEX(A_Type_Volume!$K:$K,MATCH($D63,A_Type_Volume!$A:$A,0),1),IF($E63="VAM",INDEX(C_Type_Volume!$K:$K,MATCH($D63,C_Type_Volume!$A:$A,0),1),"X")),"")</f>
        <v>15440</v>
      </c>
      <c r="BJ63" s="19">
        <f>IFERROR(IF($E63="REC",INDEX(A_Type_Volume!$L:$L,MATCH($D63,A_Type_Volume!$A:$A,0),1),IF($E63="VAM",INDEX(C_Type_Volume!$L:$L,MATCH($D63,C_Type_Volume!$A:$A,0),1),"X")),"")</f>
        <v>13334</v>
      </c>
      <c r="BK63" s="19">
        <f>IFERROR(IF($E63="REC",INDEX(A_Type_Volume!M:M,MATCH($D63,A_Type_Volume!$A:$A,0),1),IF($E63="VAM",INDEX(C_Type_Volume!M:M,MATCH($D63,C_Type_Volume!$A:$A,0),1),"X")),"")</f>
        <v>11798</v>
      </c>
      <c r="BL63" s="38">
        <f>SUM(Table1[[#This Row],[Jan_AVF]:[Dec_AVF]])</f>
        <v>205799</v>
      </c>
      <c r="BM63" s="16">
        <f t="shared" si="40"/>
        <v>749.55314806469323</v>
      </c>
      <c r="BN63" s="16">
        <f t="shared" si="41"/>
        <v>747.47022943172271</v>
      </c>
      <c r="BO63" s="16">
        <f t="shared" si="42"/>
        <v>1020.6301301555768</v>
      </c>
      <c r="BP63" s="16">
        <f t="shared" si="43"/>
        <v>614.68416657984926</v>
      </c>
      <c r="BQ63" s="16">
        <f t="shared" si="44"/>
        <v>630.45483622948348</v>
      </c>
      <c r="BR63" s="16">
        <f t="shared" si="45"/>
        <v>601.51714522142811</v>
      </c>
      <c r="BS63" s="16">
        <f t="shared" si="46"/>
        <v>691.75215599976013</v>
      </c>
      <c r="BT63" s="16">
        <f t="shared" si="47"/>
        <v>541.37286969440311</v>
      </c>
      <c r="BU63" s="16">
        <f t="shared" si="48"/>
        <v>548.17955022714614</v>
      </c>
      <c r="BV63" s="16">
        <f t="shared" si="49"/>
        <v>574.29042309045576</v>
      </c>
      <c r="BW63" s="16">
        <f t="shared" si="50"/>
        <v>495.957804500527</v>
      </c>
      <c r="BX63" s="16">
        <f t="shared" si="51"/>
        <v>438.8263219961915</v>
      </c>
      <c r="BY63" s="10">
        <f t="shared" si="17"/>
        <v>2517.6535076519926</v>
      </c>
      <c r="BZ63" s="10">
        <f t="shared" si="18"/>
        <v>1846.656148030761</v>
      </c>
      <c r="CA63" s="10">
        <f t="shared" si="19"/>
        <v>1781.3045759213094</v>
      </c>
      <c r="CB63" s="10">
        <f t="shared" si="20"/>
        <v>1509.0745495871743</v>
      </c>
      <c r="CC63" s="10">
        <f>IFERROR(Table1[[#This Row],[Labor
Saving]]*Table1[[#This Row],[Annual Volume]],"")</f>
        <v>3538.708781191237</v>
      </c>
      <c r="CD63" s="10">
        <f>IFERROR(Table1[[#This Row],[Annual Volume]]*Table1[[#This Row],[Yield
Saving]],"")</f>
        <v>0</v>
      </c>
      <c r="CE63" s="10">
        <f>IFERROR(Table1[[#This Row],[Annual Volume]]*Table1[[#This Row],[Material
Saving]],"")</f>
        <v>4115.9800000000005</v>
      </c>
      <c r="CF63" s="10">
        <f>IFERROR(Table1[[#This Row],[OH
Saving]]*Table1[[#This Row],[Annual Volume]],"")</f>
        <v>0</v>
      </c>
      <c r="CG63" s="10">
        <f>SUM(Table1[[#This Row],[Labor_ASV]:[OH_ASV]])</f>
        <v>7654.6887811912375</v>
      </c>
    </row>
    <row r="64" spans="1:85" x14ac:dyDescent="0.3">
      <c r="A64" t="str">
        <f>Table1[[#This Row],[Project Name]]&amp;Table1[[#This Row],[Part Number]]</f>
        <v>Thermal Release Tape 3R38</v>
      </c>
      <c r="B64" t="str">
        <f>IFERROR(Table1[[#This Row],[Project Number]]&amp;Table1[[#This Row],[Part Number]],"")</f>
        <v>AME25-040R38</v>
      </c>
      <c r="C64" s="22" t="s">
        <v>92</v>
      </c>
      <c r="D64" s="24" t="s">
        <v>276</v>
      </c>
      <c r="E64" s="25" t="s">
        <v>58</v>
      </c>
      <c r="F64" s="6">
        <f>INDEX(Proj_Reg!G:G,MATCH($C64,Proj_Reg!$B:$B,0),1)</f>
        <v>46113</v>
      </c>
      <c r="G64" s="6">
        <f>INDEX(Proj_Reg!H:H,MATCH($C64,Proj_Reg!$B:$B,0),1)</f>
        <v>46447</v>
      </c>
      <c r="H64" s="6" t="str">
        <f>IF(INDEX(Proj_Reg!C:C,MATCH($C64,Proj_Reg!$B:$B,0),1)=0,"",INDEX(Proj_Reg!C:C,MATCH($C64,Proj_Reg!$B:$B,0),1))</f>
        <v>Wafer Saw Dicing</v>
      </c>
      <c r="I64" s="6" t="str">
        <f>IF(INDEX(Proj_Reg!D:D,MATCH($C64,Proj_Reg!$B:$B,0),1)=0,"",INDEX(Proj_Reg!D:D,MATCH($C64,Proj_Reg!$B:$B,0),1))</f>
        <v>XCD</v>
      </c>
      <c r="J64" s="6" t="str">
        <f>INDEX(Proj_Reg!E:E,MATCH($C64,Proj_Reg!$B:$B,0),1)</f>
        <v>Thermal Release Tape 3</v>
      </c>
      <c r="K64" s="21">
        <v>1.7194975588760087E-2</v>
      </c>
      <c r="L64" s="21">
        <v>0</v>
      </c>
      <c r="M64" s="21">
        <v>0.02</v>
      </c>
      <c r="N64" s="21">
        <v>0</v>
      </c>
      <c r="O64" s="11">
        <f>SUM(Table1[[#This Row],[Labor
Saving]:[OH
Saving]])</f>
        <v>3.7194975588760087E-2</v>
      </c>
      <c r="Q64" s="40">
        <f t="shared" si="21"/>
        <v>0</v>
      </c>
      <c r="R64" s="40">
        <f t="shared" si="0"/>
        <v>0</v>
      </c>
      <c r="S64" s="40">
        <f t="shared" si="1"/>
        <v>0</v>
      </c>
      <c r="T64" s="40">
        <f t="shared" si="2"/>
        <v>18393.3</v>
      </c>
      <c r="U64" s="40">
        <f t="shared" si="3"/>
        <v>61868</v>
      </c>
      <c r="V64" s="40">
        <f t="shared" si="4"/>
        <v>60661</v>
      </c>
      <c r="W64" s="40">
        <f t="shared" si="5"/>
        <v>69761</v>
      </c>
      <c r="X64" s="40">
        <f t="shared" si="6"/>
        <v>54595</v>
      </c>
      <c r="Y64" s="40">
        <f t="shared" si="7"/>
        <v>55282</v>
      </c>
      <c r="Z64" s="40">
        <f t="shared" si="8"/>
        <v>57914</v>
      </c>
      <c r="AA64" s="40">
        <f t="shared" si="9"/>
        <v>50017</v>
      </c>
      <c r="AB64" s="40">
        <f t="shared" si="10"/>
        <v>44255</v>
      </c>
      <c r="AC64" s="37">
        <f>SUM(Table1[[#This Row],[Jan]:[Dec]])</f>
        <v>472746.3</v>
      </c>
      <c r="AD64" s="15">
        <f t="shared" si="22"/>
        <v>0</v>
      </c>
      <c r="AE64" s="15">
        <f t="shared" si="23"/>
        <v>0</v>
      </c>
      <c r="AF64" s="15">
        <f t="shared" si="24"/>
        <v>0</v>
      </c>
      <c r="AG64" s="15">
        <f t="shared" si="25"/>
        <v>684.13834449674084</v>
      </c>
      <c r="AH64" s="15">
        <f t="shared" si="26"/>
        <v>2301.178749725409</v>
      </c>
      <c r="AI64" s="15">
        <f t="shared" si="27"/>
        <v>2256.2844141897758</v>
      </c>
      <c r="AJ64" s="15">
        <f t="shared" si="28"/>
        <v>2594.7586920474923</v>
      </c>
      <c r="AK64" s="15">
        <f t="shared" si="29"/>
        <v>2030.659692268357</v>
      </c>
      <c r="AL64" s="15">
        <f t="shared" si="30"/>
        <v>2056.2126404978353</v>
      </c>
      <c r="AM64" s="15">
        <f t="shared" si="31"/>
        <v>2154.1098162474518</v>
      </c>
      <c r="AN64" s="15">
        <f t="shared" si="32"/>
        <v>1860.3810940230132</v>
      </c>
      <c r="AO64" s="15">
        <f t="shared" si="33"/>
        <v>1646.0636446805777</v>
      </c>
      <c r="AP64" s="10">
        <f t="shared" si="34"/>
        <v>0</v>
      </c>
      <c r="AQ64" s="10">
        <f t="shared" si="35"/>
        <v>5241.6015084119263</v>
      </c>
      <c r="AR64" s="10">
        <f t="shared" si="36"/>
        <v>6681.6310248136851</v>
      </c>
      <c r="AS64" s="10">
        <f t="shared" si="37"/>
        <v>5660.5545549510425</v>
      </c>
      <c r="AT64" s="10" t="b">
        <f t="shared" si="38"/>
        <v>1</v>
      </c>
      <c r="AU64" s="10">
        <f t="shared" si="12"/>
        <v>8128.8610881766526</v>
      </c>
      <c r="AV64" s="10">
        <f t="shared" si="13"/>
        <v>0</v>
      </c>
      <c r="AW64" s="10">
        <f t="shared" si="14"/>
        <v>9454.9259999999995</v>
      </c>
      <c r="AX64" s="10">
        <f t="shared" si="15"/>
        <v>0</v>
      </c>
      <c r="AY64" s="10">
        <f t="shared" si="39"/>
        <v>17583.78708817665</v>
      </c>
      <c r="AZ64" s="19">
        <f>IFERROR(IF($E64="REC",INDEX(A_Type_Volume!$B:$B,MATCH($D64,A_Type_Volume!$A:$A,0),1),IF($E64="VAM",INDEX(C_Type_Volume!$B:$B,MATCH($D64,C_Type_Volume!$A:$A,0),1),"X")),"")</f>
        <v>60412</v>
      </c>
      <c r="BA64" s="19">
        <f>IFERROR(IF($E64="REC",INDEX(A_Type_Volume!$C:$C,MATCH($D64,A_Type_Volume!$A:$A,0),1),IF($E64="VAM",INDEX(C_Type_Volume!$C:$C,MATCH($D64,C_Type_Volume!$A:$A,0),1),"X")),"")</f>
        <v>58681</v>
      </c>
      <c r="BB64" s="19">
        <f>IFERROR(IF($E64="REC",INDEX(A_Type_Volume!$D:$D,MATCH($D64,A_Type_Volume!$A:$A,0),1),IF($E64="VAM",INDEX(C_Type_Volume!$D:$D,MATCH($D64,C_Type_Volume!$A:$A,0),1),"X")),"")</f>
        <v>86632</v>
      </c>
      <c r="BC64" s="19">
        <f>IFERROR(IF($E64="REC",INDEX(A_Type_Volume!$E:$E,MATCH($D64,A_Type_Volume!$A:$A,0),1),IF($E64="VAM",INDEX(C_Type_Volume!$E:$E,MATCH($D64,C_Type_Volume!$A:$A,0),1),"X")),"")</f>
        <v>61311</v>
      </c>
      <c r="BD64" s="19">
        <f>IFERROR(IF($E64="REC",INDEX(A_Type_Volume!$F:$F,MATCH($D64,A_Type_Volume!$A:$A,0),1),IF($E64="VAM",INDEX(C_Type_Volume!$F:$F,MATCH($D64,C_Type_Volume!$A:$A,0),1),"X")),"")</f>
        <v>61868</v>
      </c>
      <c r="BE64" s="19">
        <f>IFERROR(IF($E64="REC",INDEX(A_Type_Volume!$G:$G,MATCH($D64,A_Type_Volume!$A:$A,0),1),IF($E64="VAM",INDEX(C_Type_Volume!$G:$G,MATCH($D64,C_Type_Volume!$A:$A,0),1),"X")),"")</f>
        <v>60661</v>
      </c>
      <c r="BF64" s="19">
        <f>IFERROR(IF($E64="REC",INDEX(A_Type_Volume!$H:$H,MATCH($D64,A_Type_Volume!$A:$A,0),1),IF($E64="VAM",INDEX(C_Type_Volume!$H:$H,MATCH($D64,C_Type_Volume!$A:$A,0),1),"X")),"")</f>
        <v>69761</v>
      </c>
      <c r="BG64" s="19">
        <f>IFERROR(IF($E64="REC",INDEX(A_Type_Volume!$I:$I,MATCH($D64,A_Type_Volume!$A:$A,0),1),IF($E64="VAM",INDEX(C_Type_Volume!$I:$I,MATCH($D64,C_Type_Volume!$A:$A,0),1),"X")),"")</f>
        <v>54595</v>
      </c>
      <c r="BH64" s="19">
        <f>IFERROR(IF($E64="REC",INDEX(A_Type_Volume!$J:$J,MATCH($D64,A_Type_Volume!$A:$A,0),1),IF($E64="VAM",INDEX(C_Type_Volume!$J:$J,MATCH($D64,C_Type_Volume!$A:$A,0),1),"X")),"")</f>
        <v>55282</v>
      </c>
      <c r="BI64" s="19">
        <f>IFERROR(IF($E64="REC",INDEX(A_Type_Volume!$K:$K,MATCH($D64,A_Type_Volume!$A:$A,0),1),IF($E64="VAM",INDEX(C_Type_Volume!$K:$K,MATCH($D64,C_Type_Volume!$A:$A,0),1),"X")),"")</f>
        <v>57914</v>
      </c>
      <c r="BJ64" s="19">
        <f>IFERROR(IF($E64="REC",INDEX(A_Type_Volume!$L:$L,MATCH($D64,A_Type_Volume!$A:$A,0),1),IF($E64="VAM",INDEX(C_Type_Volume!$L:$L,MATCH($D64,C_Type_Volume!$A:$A,0),1),"X")),"")</f>
        <v>50017</v>
      </c>
      <c r="BK64" s="19">
        <f>IFERROR(IF($E64="REC",INDEX(A_Type_Volume!M:M,MATCH($D64,A_Type_Volume!$A:$A,0),1),IF($E64="VAM",INDEX(C_Type_Volume!M:M,MATCH($D64,C_Type_Volume!$A:$A,0),1),"X")),"")</f>
        <v>44255</v>
      </c>
      <c r="BL64" s="38">
        <f>SUM(Table1[[#This Row],[Jan_AVF]:[Dec_AVF]])</f>
        <v>721389</v>
      </c>
      <c r="BM64" s="16">
        <f t="shared" si="40"/>
        <v>2247.0228652681744</v>
      </c>
      <c r="BN64" s="16">
        <f t="shared" si="41"/>
        <v>2182.6383625240305</v>
      </c>
      <c r="BO64" s="16">
        <f t="shared" si="42"/>
        <v>3222.2751252054641</v>
      </c>
      <c r="BP64" s="16">
        <f t="shared" si="43"/>
        <v>2280.4611483224699</v>
      </c>
      <c r="BQ64" s="16">
        <f t="shared" si="44"/>
        <v>2301.178749725409</v>
      </c>
      <c r="BR64" s="16">
        <f t="shared" si="45"/>
        <v>2256.2844141897758</v>
      </c>
      <c r="BS64" s="16">
        <f t="shared" si="46"/>
        <v>2594.7586920474923</v>
      </c>
      <c r="BT64" s="16">
        <f t="shared" si="47"/>
        <v>2030.659692268357</v>
      </c>
      <c r="BU64" s="16">
        <f t="shared" si="48"/>
        <v>2056.2126404978353</v>
      </c>
      <c r="BV64" s="16">
        <f t="shared" si="49"/>
        <v>2154.1098162474518</v>
      </c>
      <c r="BW64" s="16">
        <f t="shared" si="50"/>
        <v>1860.3810940230132</v>
      </c>
      <c r="BX64" s="16">
        <f t="shared" si="51"/>
        <v>1646.0636446805777</v>
      </c>
      <c r="BY64" s="10">
        <f t="shared" si="17"/>
        <v>7651.936352997669</v>
      </c>
      <c r="BZ64" s="10">
        <f t="shared" si="18"/>
        <v>6837.9243122376547</v>
      </c>
      <c r="CA64" s="10">
        <f t="shared" si="19"/>
        <v>6681.6310248136851</v>
      </c>
      <c r="CB64" s="10">
        <f t="shared" si="20"/>
        <v>5660.5545549510425</v>
      </c>
      <c r="CC64" s="10">
        <f>IFERROR(Table1[[#This Row],[Labor
Saving]]*Table1[[#This Row],[Annual Volume]],"")</f>
        <v>12404.26624500005</v>
      </c>
      <c r="CD64" s="10">
        <f>IFERROR(Table1[[#This Row],[Annual Volume]]*Table1[[#This Row],[Yield
Saving]],"")</f>
        <v>0</v>
      </c>
      <c r="CE64" s="10">
        <f>IFERROR(Table1[[#This Row],[Annual Volume]]*Table1[[#This Row],[Material
Saving]],"")</f>
        <v>14427.78</v>
      </c>
      <c r="CF64" s="10">
        <f>IFERROR(Table1[[#This Row],[OH
Saving]]*Table1[[#This Row],[Annual Volume]],"")</f>
        <v>0</v>
      </c>
      <c r="CG64" s="10">
        <f>SUM(Table1[[#This Row],[Labor_ASV]:[OH_ASV]])</f>
        <v>26832.046245000049</v>
      </c>
    </row>
    <row r="65" spans="1:85" x14ac:dyDescent="0.3">
      <c r="A65" t="str">
        <f>Table1[[#This Row],[Project Name]]&amp;Table1[[#This Row],[Part Number]]</f>
        <v>Thermal Release Tape 3R39</v>
      </c>
      <c r="B65" t="str">
        <f>IFERROR(Table1[[#This Row],[Project Number]]&amp;Table1[[#This Row],[Part Number]],"")</f>
        <v>AME25-040R39</v>
      </c>
      <c r="C65" s="22" t="s">
        <v>92</v>
      </c>
      <c r="D65" s="24" t="s">
        <v>277</v>
      </c>
      <c r="E65" s="25" t="s">
        <v>58</v>
      </c>
      <c r="F65" s="6">
        <f>INDEX(Proj_Reg!G:G,MATCH($C65,Proj_Reg!$B:$B,0),1)</f>
        <v>46113</v>
      </c>
      <c r="G65" s="6">
        <f>INDEX(Proj_Reg!H:H,MATCH($C65,Proj_Reg!$B:$B,0),1)</f>
        <v>46447</v>
      </c>
      <c r="H65" s="6" t="str">
        <f>IF(INDEX(Proj_Reg!C:C,MATCH($C65,Proj_Reg!$B:$B,0),1)=0,"",INDEX(Proj_Reg!C:C,MATCH($C65,Proj_Reg!$B:$B,0),1))</f>
        <v>Wafer Saw Dicing</v>
      </c>
      <c r="I65" s="6" t="str">
        <f>IF(INDEX(Proj_Reg!D:D,MATCH($C65,Proj_Reg!$B:$B,0),1)=0,"",INDEX(Proj_Reg!D:D,MATCH($C65,Proj_Reg!$B:$B,0),1))</f>
        <v>XCD</v>
      </c>
      <c r="J65" s="6" t="str">
        <f>INDEX(Proj_Reg!E:E,MATCH($C65,Proj_Reg!$B:$B,0),1)</f>
        <v>Thermal Release Tape 3</v>
      </c>
      <c r="K65" s="21">
        <v>1.7194975588760087E-2</v>
      </c>
      <c r="L65" s="21">
        <v>0</v>
      </c>
      <c r="M65" s="21">
        <v>0.02</v>
      </c>
      <c r="N65" s="21">
        <v>0</v>
      </c>
      <c r="O65" s="11">
        <f>SUM(Table1[[#This Row],[Labor
Saving]:[OH
Saving]])</f>
        <v>3.7194975588760087E-2</v>
      </c>
      <c r="Q65" s="40">
        <f t="shared" si="21"/>
        <v>0</v>
      </c>
      <c r="R65" s="40">
        <f t="shared" si="0"/>
        <v>0</v>
      </c>
      <c r="S65" s="40">
        <f t="shared" si="1"/>
        <v>0</v>
      </c>
      <c r="T65" s="40">
        <f t="shared" si="2"/>
        <v>18640.2</v>
      </c>
      <c r="U65" s="40">
        <f t="shared" si="3"/>
        <v>64164</v>
      </c>
      <c r="V65" s="40">
        <f t="shared" si="4"/>
        <v>60485</v>
      </c>
      <c r="W65" s="40">
        <f t="shared" si="5"/>
        <v>69558</v>
      </c>
      <c r="X65" s="40">
        <f t="shared" si="6"/>
        <v>54436</v>
      </c>
      <c r="Y65" s="40">
        <f t="shared" si="7"/>
        <v>55121</v>
      </c>
      <c r="Z65" s="40">
        <f t="shared" si="8"/>
        <v>57746</v>
      </c>
      <c r="AA65" s="40">
        <f t="shared" si="9"/>
        <v>49872</v>
      </c>
      <c r="AB65" s="40">
        <f t="shared" si="10"/>
        <v>44127</v>
      </c>
      <c r="AC65" s="37">
        <f>SUM(Table1[[#This Row],[Jan]:[Dec]])</f>
        <v>474149.2</v>
      </c>
      <c r="AD65" s="15">
        <f t="shared" si="22"/>
        <v>0</v>
      </c>
      <c r="AE65" s="15">
        <f t="shared" si="23"/>
        <v>0</v>
      </c>
      <c r="AF65" s="15">
        <f t="shared" si="24"/>
        <v>0</v>
      </c>
      <c r="AG65" s="15">
        <f t="shared" si="25"/>
        <v>693.3217839696058</v>
      </c>
      <c r="AH65" s="15">
        <f t="shared" si="26"/>
        <v>2386.5784136772022</v>
      </c>
      <c r="AI65" s="15">
        <f t="shared" si="27"/>
        <v>2249.7380984861538</v>
      </c>
      <c r="AJ65" s="15">
        <f t="shared" si="28"/>
        <v>2587.2081120029743</v>
      </c>
      <c r="AK65" s="15">
        <f t="shared" si="29"/>
        <v>2024.7456911497441</v>
      </c>
      <c r="AL65" s="15">
        <f t="shared" si="30"/>
        <v>2050.2242494280449</v>
      </c>
      <c r="AM65" s="15">
        <f t="shared" si="31"/>
        <v>2147.8610603485399</v>
      </c>
      <c r="AN65" s="15">
        <f t="shared" si="32"/>
        <v>1854.987822562643</v>
      </c>
      <c r="AO65" s="15">
        <f t="shared" si="33"/>
        <v>1641.3026878052165</v>
      </c>
      <c r="AP65" s="10">
        <f t="shared" si="34"/>
        <v>0</v>
      </c>
      <c r="AQ65" s="10">
        <f t="shared" si="35"/>
        <v>5329.6382961329618</v>
      </c>
      <c r="AR65" s="10">
        <f t="shared" si="36"/>
        <v>6662.1780525807626</v>
      </c>
      <c r="AS65" s="10">
        <f t="shared" si="37"/>
        <v>5644.1515707163999</v>
      </c>
      <c r="AT65" s="10" t="b">
        <f t="shared" si="38"/>
        <v>1</v>
      </c>
      <c r="AU65" s="10">
        <f t="shared" si="12"/>
        <v>8152.9839194301248</v>
      </c>
      <c r="AV65" s="10">
        <f t="shared" si="13"/>
        <v>0</v>
      </c>
      <c r="AW65" s="10">
        <f t="shared" si="14"/>
        <v>9482.9840000000004</v>
      </c>
      <c r="AX65" s="10">
        <f t="shared" si="15"/>
        <v>0</v>
      </c>
      <c r="AY65" s="10">
        <f t="shared" si="39"/>
        <v>17635.967919430124</v>
      </c>
      <c r="AZ65" s="19">
        <f>IFERROR(IF($E65="REC",INDEX(A_Type_Volume!$B:$B,MATCH($D65,A_Type_Volume!$A:$A,0),1),IF($E65="VAM",INDEX(C_Type_Volume!$B:$B,MATCH($D65,C_Type_Volume!$A:$A,0),1),"X")),"")</f>
        <v>64118</v>
      </c>
      <c r="BA65" s="19">
        <f>IFERROR(IF($E65="REC",INDEX(A_Type_Volume!$C:$C,MATCH($D65,A_Type_Volume!$A:$A,0),1),IF($E65="VAM",INDEX(C_Type_Volume!$C:$C,MATCH($D65,C_Type_Volume!$A:$A,0),1),"X")),"")</f>
        <v>64254</v>
      </c>
      <c r="BB65" s="19">
        <f>IFERROR(IF($E65="REC",INDEX(A_Type_Volume!$D:$D,MATCH($D65,A_Type_Volume!$A:$A,0),1),IF($E65="VAM",INDEX(C_Type_Volume!$D:$D,MATCH($D65,C_Type_Volume!$A:$A,0),1),"X")),"")</f>
        <v>88181</v>
      </c>
      <c r="BC65" s="19">
        <f>IFERROR(IF($E65="REC",INDEX(A_Type_Volume!$E:$E,MATCH($D65,A_Type_Volume!$A:$A,0),1),IF($E65="VAM",INDEX(C_Type_Volume!$E:$E,MATCH($D65,C_Type_Volume!$A:$A,0),1),"X")),"")</f>
        <v>62134</v>
      </c>
      <c r="BD65" s="19">
        <f>IFERROR(IF($E65="REC",INDEX(A_Type_Volume!$F:$F,MATCH($D65,A_Type_Volume!$A:$A,0),1),IF($E65="VAM",INDEX(C_Type_Volume!$F:$F,MATCH($D65,C_Type_Volume!$A:$A,0),1),"X")),"")</f>
        <v>64164</v>
      </c>
      <c r="BE65" s="19">
        <f>IFERROR(IF($E65="REC",INDEX(A_Type_Volume!$G:$G,MATCH($D65,A_Type_Volume!$A:$A,0),1),IF($E65="VAM",INDEX(C_Type_Volume!$G:$G,MATCH($D65,C_Type_Volume!$A:$A,0),1),"X")),"")</f>
        <v>60485</v>
      </c>
      <c r="BF65" s="19">
        <f>IFERROR(IF($E65="REC",INDEX(A_Type_Volume!$H:$H,MATCH($D65,A_Type_Volume!$A:$A,0),1),IF($E65="VAM",INDEX(C_Type_Volume!$H:$H,MATCH($D65,C_Type_Volume!$A:$A,0),1),"X")),"")</f>
        <v>69558</v>
      </c>
      <c r="BG65" s="19">
        <f>IFERROR(IF($E65="REC",INDEX(A_Type_Volume!$I:$I,MATCH($D65,A_Type_Volume!$A:$A,0),1),IF($E65="VAM",INDEX(C_Type_Volume!$I:$I,MATCH($D65,C_Type_Volume!$A:$A,0),1),"X")),"")</f>
        <v>54436</v>
      </c>
      <c r="BH65" s="19">
        <f>IFERROR(IF($E65="REC",INDEX(A_Type_Volume!$J:$J,MATCH($D65,A_Type_Volume!$A:$A,0),1),IF($E65="VAM",INDEX(C_Type_Volume!$J:$J,MATCH($D65,C_Type_Volume!$A:$A,0),1),"X")),"")</f>
        <v>55121</v>
      </c>
      <c r="BI65" s="19">
        <f>IFERROR(IF($E65="REC",INDEX(A_Type_Volume!$K:$K,MATCH($D65,A_Type_Volume!$A:$A,0),1),IF($E65="VAM",INDEX(C_Type_Volume!$K:$K,MATCH($D65,C_Type_Volume!$A:$A,0),1),"X")),"")</f>
        <v>57746</v>
      </c>
      <c r="BJ65" s="19">
        <f>IFERROR(IF($E65="REC",INDEX(A_Type_Volume!$L:$L,MATCH($D65,A_Type_Volume!$A:$A,0),1),IF($E65="VAM",INDEX(C_Type_Volume!$L:$L,MATCH($D65,C_Type_Volume!$A:$A,0),1),"X")),"")</f>
        <v>49872</v>
      </c>
      <c r="BK65" s="19">
        <f>IFERROR(IF($E65="REC",INDEX(A_Type_Volume!M:M,MATCH($D65,A_Type_Volume!$A:$A,0),1),IF($E65="VAM",INDEX(C_Type_Volume!M:M,MATCH($D65,C_Type_Volume!$A:$A,0),1),"X")),"")</f>
        <v>44127</v>
      </c>
      <c r="BL65" s="38">
        <f>SUM(Table1[[#This Row],[Jan_AVF]:[Dec_AVF]])</f>
        <v>734196</v>
      </c>
      <c r="BM65" s="16">
        <f t="shared" si="40"/>
        <v>2384.8674448001193</v>
      </c>
      <c r="BN65" s="16">
        <f t="shared" si="41"/>
        <v>2389.9259614801908</v>
      </c>
      <c r="BO65" s="16">
        <f t="shared" si="42"/>
        <v>3279.8901423924531</v>
      </c>
      <c r="BP65" s="16">
        <f t="shared" si="43"/>
        <v>2311.0726132320192</v>
      </c>
      <c r="BQ65" s="16">
        <f t="shared" si="44"/>
        <v>2386.5784136772022</v>
      </c>
      <c r="BR65" s="16">
        <f t="shared" si="45"/>
        <v>2249.7380984861538</v>
      </c>
      <c r="BS65" s="16">
        <f t="shared" si="46"/>
        <v>2587.2081120029743</v>
      </c>
      <c r="BT65" s="16">
        <f t="shared" si="47"/>
        <v>2024.7456911497441</v>
      </c>
      <c r="BU65" s="16">
        <f t="shared" si="48"/>
        <v>2050.2242494280449</v>
      </c>
      <c r="BV65" s="16">
        <f t="shared" si="49"/>
        <v>2147.8610603485399</v>
      </c>
      <c r="BW65" s="16">
        <f t="shared" si="50"/>
        <v>1854.987822562643</v>
      </c>
      <c r="BX65" s="16">
        <f t="shared" si="51"/>
        <v>1641.3026878052165</v>
      </c>
      <c r="BY65" s="10">
        <f t="shared" si="17"/>
        <v>8054.6835486727632</v>
      </c>
      <c r="BZ65" s="10">
        <f t="shared" si="18"/>
        <v>6947.3891253953752</v>
      </c>
      <c r="CA65" s="10">
        <f t="shared" si="19"/>
        <v>6662.1780525807626</v>
      </c>
      <c r="CB65" s="10">
        <f t="shared" si="20"/>
        <v>5644.1515707163999</v>
      </c>
      <c r="CC65" s="10">
        <f>IFERROR(Table1[[#This Row],[Labor
Saving]]*Table1[[#This Row],[Annual Volume]],"")</f>
        <v>12624.482297365301</v>
      </c>
      <c r="CD65" s="10">
        <f>IFERROR(Table1[[#This Row],[Annual Volume]]*Table1[[#This Row],[Yield
Saving]],"")</f>
        <v>0</v>
      </c>
      <c r="CE65" s="10">
        <f>IFERROR(Table1[[#This Row],[Annual Volume]]*Table1[[#This Row],[Material
Saving]],"")</f>
        <v>14683.92</v>
      </c>
      <c r="CF65" s="10">
        <f>IFERROR(Table1[[#This Row],[OH
Saving]]*Table1[[#This Row],[Annual Volume]],"")</f>
        <v>0</v>
      </c>
      <c r="CG65" s="10">
        <f>SUM(Table1[[#This Row],[Labor_ASV]:[OH_ASV]])</f>
        <v>27308.402297365301</v>
      </c>
    </row>
    <row r="66" spans="1:85" x14ac:dyDescent="0.3">
      <c r="A66" t="str">
        <f>Table1[[#This Row],[Project Name]]&amp;Table1[[#This Row],[Part Number]]</f>
        <v>Thermal Release Tape 3R40</v>
      </c>
      <c r="B66" t="str">
        <f>IFERROR(Table1[[#This Row],[Project Number]]&amp;Table1[[#This Row],[Part Number]],"")</f>
        <v>AME25-040R40</v>
      </c>
      <c r="C66" s="22" t="s">
        <v>92</v>
      </c>
      <c r="D66" s="24" t="s">
        <v>278</v>
      </c>
      <c r="E66" s="25" t="s">
        <v>58</v>
      </c>
      <c r="F66" s="6">
        <f>INDEX(Proj_Reg!G:G,MATCH($C66,Proj_Reg!$B:$B,0),1)</f>
        <v>46113</v>
      </c>
      <c r="G66" s="6">
        <f>INDEX(Proj_Reg!H:H,MATCH($C66,Proj_Reg!$B:$B,0),1)</f>
        <v>46447</v>
      </c>
      <c r="H66" s="6" t="str">
        <f>IF(INDEX(Proj_Reg!C:C,MATCH($C66,Proj_Reg!$B:$B,0),1)=0,"",INDEX(Proj_Reg!C:C,MATCH($C66,Proj_Reg!$B:$B,0),1))</f>
        <v>Wafer Saw Dicing</v>
      </c>
      <c r="I66" s="6" t="str">
        <f>IF(INDEX(Proj_Reg!D:D,MATCH($C66,Proj_Reg!$B:$B,0),1)=0,"",INDEX(Proj_Reg!D:D,MATCH($C66,Proj_Reg!$B:$B,0),1))</f>
        <v>XCD</v>
      </c>
      <c r="J66" s="6" t="str">
        <f>INDEX(Proj_Reg!E:E,MATCH($C66,Proj_Reg!$B:$B,0),1)</f>
        <v>Thermal Release Tape 3</v>
      </c>
      <c r="K66" s="21">
        <v>1.7194975588760087E-2</v>
      </c>
      <c r="L66" s="21">
        <v>0</v>
      </c>
      <c r="M66" s="21">
        <v>0.02</v>
      </c>
      <c r="N66" s="21">
        <v>0</v>
      </c>
      <c r="O66" s="11">
        <f>SUM(Table1[[#This Row],[Labor
Saving]:[OH
Saving]])</f>
        <v>3.7194975588760087E-2</v>
      </c>
      <c r="Q66" s="40">
        <f t="shared" ref="Q66:Q129" si="52">IFERROR(IF($F66=Q$1,0.3,IF(AND(Q$1&gt;$F66,Q$1&lt;=$G66),100%,0))*AZ66,"")</f>
        <v>0</v>
      </c>
      <c r="R66" s="40">
        <f t="shared" ref="R66:R129" si="53">IFERROR(IF($F66=R$1,0.3,IF(AND(R$1&gt;$F66,R$1&lt;=$G66),100%,0))*BA66,"")</f>
        <v>0</v>
      </c>
      <c r="S66" s="40">
        <f t="shared" ref="S66:S129" si="54">IFERROR(IF($F66=S$1,0.3,IF(AND(S$1&gt;$F66,S$1&lt;=$G66),100%,0))*BB66,"")</f>
        <v>0</v>
      </c>
      <c r="T66" s="40">
        <f t="shared" ref="T66:T129" si="55">IFERROR(IF($F66=T$1,0.3,IF(AND(T$1&gt;$F66,T$1&lt;=$G66),100%,0))*BC66,"")</f>
        <v>10038.9</v>
      </c>
      <c r="U66" s="40">
        <f t="shared" ref="U66:U129" si="56">IFERROR(IF($F66=U$1,0.3,IF(AND(U$1&gt;$F66,U$1&lt;=$G66),100%,0))*BD66,"")</f>
        <v>33715</v>
      </c>
      <c r="V66" s="40">
        <f t="shared" ref="V66:V129" si="57">IFERROR(IF($F66=V$1,0.3,IF(AND(V$1&gt;$F66,V$1&lt;=$G66),100%,0))*BE66,"")</f>
        <v>32954</v>
      </c>
      <c r="W66" s="40">
        <f t="shared" ref="W66:W129" si="58">IFERROR(IF($F66=W$1,0.3,IF(AND(W$1&gt;$F66,W$1&lt;=$G66),100%,0))*BF66,"")</f>
        <v>37897</v>
      </c>
      <c r="X66" s="40">
        <f t="shared" ref="X66:X129" si="59">IFERROR(IF($F66=X$1,0.3,IF(AND(X$1&gt;$F66,X$1&lt;=$G66),100%,0))*BG66,"")</f>
        <v>29658</v>
      </c>
      <c r="Y66" s="40">
        <f t="shared" ref="Y66:Y129" si="60">IFERROR(IF($F66=Y$1,0.7,IF(AND(Y$1&gt;$F66,Y$1&lt;=$G66),100%,0))*BH66,"")</f>
        <v>30032</v>
      </c>
      <c r="Z66" s="40">
        <f t="shared" ref="Z66:Z129" si="61">IFERROR(IF($F66=Z$1,0.3,IF(AND(Z$1&gt;$F66,Z$1&lt;=$G66),100%,0))*BI66,"")</f>
        <v>31462</v>
      </c>
      <c r="AA66" s="40">
        <f t="shared" ref="AA66:AA129" si="62">IFERROR(IF($F66=AA$1,0.3,IF(AND(AA$1&gt;$F66,AA$1&lt;=$G66),100%,0))*BJ66,"")</f>
        <v>27171</v>
      </c>
      <c r="AB66" s="40">
        <f t="shared" ref="AB66:AB129" si="63">IFERROR(IF($F66=AB$1,0.3,IF(AND(AB$1&gt;$F66,AB$1&lt;=$G66),100%,0))*BK66,"")</f>
        <v>24041</v>
      </c>
      <c r="AC66" s="37">
        <f>SUM(Table1[[#This Row],[Jan]:[Dec]])</f>
        <v>256968.9</v>
      </c>
      <c r="AD66" s="15">
        <f t="shared" si="22"/>
        <v>0</v>
      </c>
      <c r="AE66" s="15">
        <f t="shared" si="23"/>
        <v>0</v>
      </c>
      <c r="AF66" s="15">
        <f t="shared" si="24"/>
        <v>0</v>
      </c>
      <c r="AG66" s="15">
        <f t="shared" si="25"/>
        <v>373.3966404380036</v>
      </c>
      <c r="AH66" s="15">
        <f t="shared" si="26"/>
        <v>1254.0286019750463</v>
      </c>
      <c r="AI66" s="15">
        <f t="shared" si="27"/>
        <v>1225.723225552</v>
      </c>
      <c r="AJ66" s="15">
        <f t="shared" si="28"/>
        <v>1409.5779898872411</v>
      </c>
      <c r="AK66" s="15">
        <f t="shared" si="29"/>
        <v>1103.1285860114467</v>
      </c>
      <c r="AL66" s="15">
        <f t="shared" si="30"/>
        <v>1117.0395068816429</v>
      </c>
      <c r="AM66" s="15">
        <f t="shared" si="31"/>
        <v>1170.2283219735698</v>
      </c>
      <c r="AN66" s="15">
        <f t="shared" si="32"/>
        <v>1010.6246817222003</v>
      </c>
      <c r="AO66" s="15">
        <f t="shared" si="33"/>
        <v>894.20440812938125</v>
      </c>
      <c r="AP66" s="10">
        <f t="shared" si="34"/>
        <v>0</v>
      </c>
      <c r="AQ66" s="10">
        <f t="shared" si="35"/>
        <v>2853.1484679650503</v>
      </c>
      <c r="AR66" s="10">
        <f t="shared" si="36"/>
        <v>3629.7460827803307</v>
      </c>
      <c r="AS66" s="10">
        <f t="shared" si="37"/>
        <v>3075.0574118251511</v>
      </c>
      <c r="AT66" s="10" t="b">
        <f t="shared" si="38"/>
        <v>1</v>
      </c>
      <c r="AU66" s="10">
        <f t="shared" ref="AU66:AU129" si="64">IFERROR(K66*SUM($Q66:$AB66),"")</f>
        <v>4418.5739625705319</v>
      </c>
      <c r="AV66" s="10">
        <f t="shared" ref="AV66:AV129" si="65">IFERROR(L66*SUM($Q66:$AB66),"")</f>
        <v>0</v>
      </c>
      <c r="AW66" s="10">
        <f t="shared" ref="AW66:AW129" si="66">IFERROR(M66*SUM($Q66:$AB66),"")</f>
        <v>5139.3779999999997</v>
      </c>
      <c r="AX66" s="10">
        <f t="shared" ref="AX66:AX129" si="67">IFERROR(N66*SUM($Q66:$AB66),"")</f>
        <v>0</v>
      </c>
      <c r="AY66" s="10">
        <f t="shared" si="39"/>
        <v>9557.9519625705325</v>
      </c>
      <c r="AZ66" s="19">
        <f>IFERROR(IF($E66="REC",INDEX(A_Type_Volume!$B:$B,MATCH($D66,A_Type_Volume!$A:$A,0),1),IF($E66="VAM",INDEX(C_Type_Volume!$B:$B,MATCH($D66,C_Type_Volume!$A:$A,0),1),"X")),"")</f>
        <v>29933</v>
      </c>
      <c r="BA66" s="19">
        <f>IFERROR(IF($E66="REC",INDEX(A_Type_Volume!$C:$C,MATCH($D66,A_Type_Volume!$A:$A,0),1),IF($E66="VAM",INDEX(C_Type_Volume!$C:$C,MATCH($D66,C_Type_Volume!$A:$A,0),1),"X")),"")</f>
        <v>31405</v>
      </c>
      <c r="BB66" s="19">
        <f>IFERROR(IF($E66="REC",INDEX(A_Type_Volume!$D:$D,MATCH($D66,A_Type_Volume!$A:$A,0),1),IF($E66="VAM",INDEX(C_Type_Volume!$D:$D,MATCH($D66,C_Type_Volume!$A:$A,0),1),"X")),"")</f>
        <v>49794</v>
      </c>
      <c r="BC66" s="19">
        <f>IFERROR(IF($E66="REC",INDEX(A_Type_Volume!$E:$E,MATCH($D66,A_Type_Volume!$A:$A,0),1),IF($E66="VAM",INDEX(C_Type_Volume!$E:$E,MATCH($D66,C_Type_Volume!$A:$A,0),1),"X")),"")</f>
        <v>33463</v>
      </c>
      <c r="BD66" s="19">
        <f>IFERROR(IF($E66="REC",INDEX(A_Type_Volume!$F:$F,MATCH($D66,A_Type_Volume!$A:$A,0),1),IF($E66="VAM",INDEX(C_Type_Volume!$F:$F,MATCH($D66,C_Type_Volume!$A:$A,0),1),"X")),"")</f>
        <v>33715</v>
      </c>
      <c r="BE66" s="19">
        <f>IFERROR(IF($E66="REC",INDEX(A_Type_Volume!$G:$G,MATCH($D66,A_Type_Volume!$A:$A,0),1),IF($E66="VAM",INDEX(C_Type_Volume!$G:$G,MATCH($D66,C_Type_Volume!$A:$A,0),1),"X")),"")</f>
        <v>32954</v>
      </c>
      <c r="BF66" s="19">
        <f>IFERROR(IF($E66="REC",INDEX(A_Type_Volume!$H:$H,MATCH($D66,A_Type_Volume!$A:$A,0),1),IF($E66="VAM",INDEX(C_Type_Volume!$H:$H,MATCH($D66,C_Type_Volume!$A:$A,0),1),"X")),"")</f>
        <v>37897</v>
      </c>
      <c r="BG66" s="19">
        <f>IFERROR(IF($E66="REC",INDEX(A_Type_Volume!$I:$I,MATCH($D66,A_Type_Volume!$A:$A,0),1),IF($E66="VAM",INDEX(C_Type_Volume!$I:$I,MATCH($D66,C_Type_Volume!$A:$A,0),1),"X")),"")</f>
        <v>29658</v>
      </c>
      <c r="BH66" s="19">
        <f>IFERROR(IF($E66="REC",INDEX(A_Type_Volume!$J:$J,MATCH($D66,A_Type_Volume!$A:$A,0),1),IF($E66="VAM",INDEX(C_Type_Volume!$J:$J,MATCH($D66,C_Type_Volume!$A:$A,0),1),"X")),"")</f>
        <v>30032</v>
      </c>
      <c r="BI66" s="19">
        <f>IFERROR(IF($E66="REC",INDEX(A_Type_Volume!$K:$K,MATCH($D66,A_Type_Volume!$A:$A,0),1),IF($E66="VAM",INDEX(C_Type_Volume!$K:$K,MATCH($D66,C_Type_Volume!$A:$A,0),1),"X")),"")</f>
        <v>31462</v>
      </c>
      <c r="BJ66" s="19">
        <f>IFERROR(IF($E66="REC",INDEX(A_Type_Volume!$L:$L,MATCH($D66,A_Type_Volume!$A:$A,0),1),IF($E66="VAM",INDEX(C_Type_Volume!$L:$L,MATCH($D66,C_Type_Volume!$A:$A,0),1),"X")),"")</f>
        <v>27171</v>
      </c>
      <c r="BK66" s="19">
        <f>IFERROR(IF($E66="REC",INDEX(A_Type_Volume!M:M,MATCH($D66,A_Type_Volume!$A:$A,0),1),IF($E66="VAM",INDEX(C_Type_Volume!M:M,MATCH($D66,C_Type_Volume!$A:$A,0),1),"X")),"")</f>
        <v>24041</v>
      </c>
      <c r="BL66" s="38">
        <f>SUM(Table1[[#This Row],[Jan_AVF]:[Dec_AVF]])</f>
        <v>391525</v>
      </c>
      <c r="BM66" s="16">
        <f t="shared" si="40"/>
        <v>1113.3572042983558</v>
      </c>
      <c r="BN66" s="16">
        <f t="shared" si="41"/>
        <v>1168.1082083650106</v>
      </c>
      <c r="BO66" s="16">
        <f t="shared" si="42"/>
        <v>1852.0866144667198</v>
      </c>
      <c r="BP66" s="16">
        <f t="shared" si="43"/>
        <v>1244.6554681266789</v>
      </c>
      <c r="BQ66" s="16">
        <f t="shared" si="44"/>
        <v>1254.0286019750463</v>
      </c>
      <c r="BR66" s="16">
        <f t="shared" si="45"/>
        <v>1225.723225552</v>
      </c>
      <c r="BS66" s="16">
        <f t="shared" si="46"/>
        <v>1409.5779898872411</v>
      </c>
      <c r="BT66" s="16">
        <f t="shared" si="47"/>
        <v>1103.1285860114467</v>
      </c>
      <c r="BU66" s="16">
        <f t="shared" si="48"/>
        <v>1117.0395068816429</v>
      </c>
      <c r="BV66" s="16">
        <f t="shared" si="49"/>
        <v>1170.2283219735698</v>
      </c>
      <c r="BW66" s="16">
        <f t="shared" si="50"/>
        <v>1010.6246817222003</v>
      </c>
      <c r="BX66" s="16">
        <f t="shared" si="51"/>
        <v>894.20440812938125</v>
      </c>
      <c r="BY66" s="10">
        <f t="shared" ref="BY66:BY129" si="68">IFERROR(SUM(BM66:BO66),"")</f>
        <v>4133.5520271300866</v>
      </c>
      <c r="BZ66" s="10">
        <f t="shared" ref="BZ66:BZ129" si="69">IFERROR(SUM(BP66:BR66),"")</f>
        <v>3724.4072956537257</v>
      </c>
      <c r="CA66" s="10">
        <f t="shared" ref="CA66:CA129" si="70">IFERROR(SUM(BS66:BU66),"")</f>
        <v>3629.7460827803307</v>
      </c>
      <c r="CB66" s="10">
        <f t="shared" ref="CB66:CB129" si="71">IFERROR(SUM(BV66:BX66),"")</f>
        <v>3075.0574118251511</v>
      </c>
      <c r="CC66" s="10">
        <f>IFERROR(Table1[[#This Row],[Labor
Saving]]*Table1[[#This Row],[Annual Volume]],"")</f>
        <v>6732.2628173892926</v>
      </c>
      <c r="CD66" s="10">
        <f>IFERROR(Table1[[#This Row],[Annual Volume]]*Table1[[#This Row],[Yield
Saving]],"")</f>
        <v>0</v>
      </c>
      <c r="CE66" s="10">
        <f>IFERROR(Table1[[#This Row],[Annual Volume]]*Table1[[#This Row],[Material
Saving]],"")</f>
        <v>7830.5</v>
      </c>
      <c r="CF66" s="10">
        <f>IFERROR(Table1[[#This Row],[OH
Saving]]*Table1[[#This Row],[Annual Volume]],"")</f>
        <v>0</v>
      </c>
      <c r="CG66" s="10">
        <f>SUM(Table1[[#This Row],[Labor_ASV]:[OH_ASV]])</f>
        <v>14562.762817389292</v>
      </c>
    </row>
    <row r="67" spans="1:85" x14ac:dyDescent="0.3">
      <c r="A67" t="str">
        <f>Table1[[#This Row],[Project Name]]&amp;Table1[[#This Row],[Part Number]]</f>
        <v>Thermal Release Tape 3R41</v>
      </c>
      <c r="B67" t="str">
        <f>IFERROR(Table1[[#This Row],[Project Number]]&amp;Table1[[#This Row],[Part Number]],"")</f>
        <v>AME25-040R41</v>
      </c>
      <c r="C67" s="22" t="s">
        <v>92</v>
      </c>
      <c r="D67" s="24" t="s">
        <v>279</v>
      </c>
      <c r="E67" s="25" t="s">
        <v>58</v>
      </c>
      <c r="F67" s="6">
        <f>INDEX(Proj_Reg!G:G,MATCH($C67,Proj_Reg!$B:$B,0),1)</f>
        <v>46113</v>
      </c>
      <c r="G67" s="6">
        <f>INDEX(Proj_Reg!H:H,MATCH($C67,Proj_Reg!$B:$B,0),1)</f>
        <v>46447</v>
      </c>
      <c r="H67" s="6" t="str">
        <f>IF(INDEX(Proj_Reg!C:C,MATCH($C67,Proj_Reg!$B:$B,0),1)=0,"",INDEX(Proj_Reg!C:C,MATCH($C67,Proj_Reg!$B:$B,0),1))</f>
        <v>Wafer Saw Dicing</v>
      </c>
      <c r="I67" s="6" t="str">
        <f>IF(INDEX(Proj_Reg!D:D,MATCH($C67,Proj_Reg!$B:$B,0),1)=0,"",INDEX(Proj_Reg!D:D,MATCH($C67,Proj_Reg!$B:$B,0),1))</f>
        <v>XCD</v>
      </c>
      <c r="J67" s="6" t="str">
        <f>INDEX(Proj_Reg!E:E,MATCH($C67,Proj_Reg!$B:$B,0),1)</f>
        <v>Thermal Release Tape 3</v>
      </c>
      <c r="K67" s="21">
        <v>1.7194975588760087E-2</v>
      </c>
      <c r="L67" s="21">
        <v>0</v>
      </c>
      <c r="M67" s="21">
        <v>0.02</v>
      </c>
      <c r="N67" s="21">
        <v>0</v>
      </c>
      <c r="O67" s="11">
        <f>SUM(Table1[[#This Row],[Labor
Saving]:[OH
Saving]])</f>
        <v>3.7194975588760087E-2</v>
      </c>
      <c r="Q67" s="40">
        <f t="shared" si="52"/>
        <v>0</v>
      </c>
      <c r="R67" s="40">
        <f t="shared" si="53"/>
        <v>0</v>
      </c>
      <c r="S67" s="40">
        <f t="shared" si="54"/>
        <v>0</v>
      </c>
      <c r="T67" s="40">
        <f t="shared" si="55"/>
        <v>10162.199999999999</v>
      </c>
      <c r="U67" s="40">
        <f t="shared" si="56"/>
        <v>34331</v>
      </c>
      <c r="V67" s="40">
        <f t="shared" si="57"/>
        <v>33740</v>
      </c>
      <c r="W67" s="40">
        <f t="shared" si="58"/>
        <v>38801</v>
      </c>
      <c r="X67" s="40">
        <f t="shared" si="59"/>
        <v>30366</v>
      </c>
      <c r="Y67" s="40">
        <f t="shared" si="60"/>
        <v>30748</v>
      </c>
      <c r="Z67" s="40">
        <f t="shared" si="61"/>
        <v>32212</v>
      </c>
      <c r="AA67" s="40">
        <f t="shared" si="62"/>
        <v>27820</v>
      </c>
      <c r="AB67" s="40">
        <f t="shared" si="63"/>
        <v>24615</v>
      </c>
      <c r="AC67" s="37">
        <f>SUM(Table1[[#This Row],[Jan]:[Dec]])</f>
        <v>262795.2</v>
      </c>
      <c r="AD67" s="15">
        <f t="shared" ref="AD67:AD130" si="72">IFERROR($O67*Q67,"")</f>
        <v>0</v>
      </c>
      <c r="AE67" s="15">
        <f t="shared" ref="AE67:AE130" si="73">IFERROR($O67*R67,"")</f>
        <v>0</v>
      </c>
      <c r="AF67" s="15">
        <f t="shared" ref="AF67:AF130" si="74">IFERROR($O67*S67,"")</f>
        <v>0</v>
      </c>
      <c r="AG67" s="15">
        <f t="shared" ref="AG67:AG130" si="75">IFERROR($O67*T67,"")</f>
        <v>377.98278092809772</v>
      </c>
      <c r="AH67" s="15">
        <f t="shared" ref="AH67:AH130" si="76">IFERROR($O67*U67,"")</f>
        <v>1276.9407069377226</v>
      </c>
      <c r="AI67" s="15">
        <f t="shared" ref="AI67:AI130" si="77">IFERROR($O67*V67,"")</f>
        <v>1254.9584763647654</v>
      </c>
      <c r="AJ67" s="15">
        <f t="shared" ref="AJ67:AJ130" si="78">IFERROR($O67*W67,"")</f>
        <v>1443.2022478194801</v>
      </c>
      <c r="AK67" s="15">
        <f t="shared" ref="AK67:AK130" si="79">IFERROR($O67*X67,"")</f>
        <v>1129.4626287282888</v>
      </c>
      <c r="AL67" s="15">
        <f t="shared" ref="AL67:AL130" si="80">IFERROR($O67*Y67,"")</f>
        <v>1143.6711094031953</v>
      </c>
      <c r="AM67" s="15">
        <f t="shared" ref="AM67:AM130" si="81">IFERROR($O67*Z67,"")</f>
        <v>1198.12455366514</v>
      </c>
      <c r="AN67" s="15">
        <f t="shared" ref="AN67:AN130" si="82">IFERROR($O67*AA67,"")</f>
        <v>1034.7642208793056</v>
      </c>
      <c r="AO67" s="15">
        <f t="shared" ref="AO67:AO130" si="83">IFERROR($O67*AB67,"")</f>
        <v>915.55432411732954</v>
      </c>
      <c r="AP67" s="10">
        <f t="shared" ref="AP67:AP130" si="84">SUM(AD67:AF67)</f>
        <v>0</v>
      </c>
      <c r="AQ67" s="10">
        <f t="shared" ref="AQ67:AQ130" si="85">SUM(AG67:AI67)</f>
        <v>2909.8819642305857</v>
      </c>
      <c r="AR67" s="10">
        <f t="shared" ref="AR67:AR130" si="86">SUM(AJ67:AL67)</f>
        <v>3716.3359859509642</v>
      </c>
      <c r="AS67" s="10">
        <f t="shared" ref="AS67:AS130" si="87">SUM(AM67:AO67)</f>
        <v>3148.4430986617749</v>
      </c>
      <c r="AT67" s="10" t="b">
        <f t="shared" ref="AT67:AT130" si="88">SUM(AD67:AO67)=SUM(AP67:AS67)</f>
        <v>1</v>
      </c>
      <c r="AU67" s="10">
        <f t="shared" si="64"/>
        <v>4518.7570488433248</v>
      </c>
      <c r="AV67" s="10">
        <f t="shared" si="65"/>
        <v>0</v>
      </c>
      <c r="AW67" s="10">
        <f t="shared" si="66"/>
        <v>5255.9040000000005</v>
      </c>
      <c r="AX67" s="10">
        <f t="shared" si="67"/>
        <v>0</v>
      </c>
      <c r="AY67" s="10">
        <f t="shared" ref="AY67:AY130" si="89">SUM(AU67:AX67)</f>
        <v>9774.6610488433253</v>
      </c>
      <c r="AZ67" s="19">
        <f>IFERROR(IF($E67="REC",INDEX(A_Type_Volume!$B:$B,MATCH($D67,A_Type_Volume!$A:$A,0),1),IF($E67="VAM",INDEX(C_Type_Volume!$B:$B,MATCH($D67,C_Type_Volume!$A:$A,0),1),"X")),"")</f>
        <v>31025</v>
      </c>
      <c r="BA67" s="19">
        <f>IFERROR(IF($E67="REC",INDEX(A_Type_Volume!$C:$C,MATCH($D67,A_Type_Volume!$A:$A,0),1),IF($E67="VAM",INDEX(C_Type_Volume!$C:$C,MATCH($D67,C_Type_Volume!$A:$A,0),1),"X")),"")</f>
        <v>31405</v>
      </c>
      <c r="BB67" s="19">
        <f>IFERROR(IF($E67="REC",INDEX(A_Type_Volume!$D:$D,MATCH($D67,A_Type_Volume!$A:$A,0),1),IF($E67="VAM",INDEX(C_Type_Volume!$D:$D,MATCH($D67,C_Type_Volume!$A:$A,0),1),"X")),"")</f>
        <v>47952</v>
      </c>
      <c r="BC67" s="19">
        <f>IFERROR(IF($E67="REC",INDEX(A_Type_Volume!$E:$E,MATCH($D67,A_Type_Volume!$A:$A,0),1),IF($E67="VAM",INDEX(C_Type_Volume!$E:$E,MATCH($D67,C_Type_Volume!$A:$A,0),1),"X")),"")</f>
        <v>33874</v>
      </c>
      <c r="BD67" s="19">
        <f>IFERROR(IF($E67="REC",INDEX(A_Type_Volume!$F:$F,MATCH($D67,A_Type_Volume!$A:$A,0),1),IF($E67="VAM",INDEX(C_Type_Volume!$F:$F,MATCH($D67,C_Type_Volume!$A:$A,0),1),"X")),"")</f>
        <v>34331</v>
      </c>
      <c r="BE67" s="19">
        <f>IFERROR(IF($E67="REC",INDEX(A_Type_Volume!$G:$G,MATCH($D67,A_Type_Volume!$A:$A,0),1),IF($E67="VAM",INDEX(C_Type_Volume!$G:$G,MATCH($D67,C_Type_Volume!$A:$A,0),1),"X")),"")</f>
        <v>33740</v>
      </c>
      <c r="BF67" s="19">
        <f>IFERROR(IF($E67="REC",INDEX(A_Type_Volume!$H:$H,MATCH($D67,A_Type_Volume!$A:$A,0),1),IF($E67="VAM",INDEX(C_Type_Volume!$H:$H,MATCH($D67,C_Type_Volume!$A:$A,0),1),"X")),"")</f>
        <v>38801</v>
      </c>
      <c r="BG67" s="19">
        <f>IFERROR(IF($E67="REC",INDEX(A_Type_Volume!$I:$I,MATCH($D67,A_Type_Volume!$A:$A,0),1),IF($E67="VAM",INDEX(C_Type_Volume!$I:$I,MATCH($D67,C_Type_Volume!$A:$A,0),1),"X")),"")</f>
        <v>30366</v>
      </c>
      <c r="BH67" s="19">
        <f>IFERROR(IF($E67="REC",INDEX(A_Type_Volume!$J:$J,MATCH($D67,A_Type_Volume!$A:$A,0),1),IF($E67="VAM",INDEX(C_Type_Volume!$J:$J,MATCH($D67,C_Type_Volume!$A:$A,0),1),"X")),"")</f>
        <v>30748</v>
      </c>
      <c r="BI67" s="19">
        <f>IFERROR(IF($E67="REC",INDEX(A_Type_Volume!$K:$K,MATCH($D67,A_Type_Volume!$A:$A,0),1),IF($E67="VAM",INDEX(C_Type_Volume!$K:$K,MATCH($D67,C_Type_Volume!$A:$A,0),1),"X")),"")</f>
        <v>32212</v>
      </c>
      <c r="BJ67" s="19">
        <f>IFERROR(IF($E67="REC",INDEX(A_Type_Volume!$L:$L,MATCH($D67,A_Type_Volume!$A:$A,0),1),IF($E67="VAM",INDEX(C_Type_Volume!$L:$L,MATCH($D67,C_Type_Volume!$A:$A,0),1),"X")),"")</f>
        <v>27820</v>
      </c>
      <c r="BK67" s="19">
        <f>IFERROR(IF($E67="REC",INDEX(A_Type_Volume!M:M,MATCH($D67,A_Type_Volume!$A:$A,0),1),IF($E67="VAM",INDEX(C_Type_Volume!M:M,MATCH($D67,C_Type_Volume!$A:$A,0),1),"X")),"")</f>
        <v>24615</v>
      </c>
      <c r="BL67" s="38">
        <f>SUM(Table1[[#This Row],[Jan_AVF]:[Dec_AVF]])</f>
        <v>396889</v>
      </c>
      <c r="BM67" s="16">
        <f t="shared" ref="BM67:BM130" si="90">AZ67*$O67</f>
        <v>1153.9741176412817</v>
      </c>
      <c r="BN67" s="16">
        <f t="shared" ref="BN67:BN130" si="91">BA67*$O67</f>
        <v>1168.1082083650106</v>
      </c>
      <c r="BO67" s="16">
        <f t="shared" ref="BO67:BO130" si="92">BB67*$O67</f>
        <v>1783.5734694322236</v>
      </c>
      <c r="BP67" s="16">
        <f t="shared" ref="BP67:BP130" si="93">BC67*$O67</f>
        <v>1259.9426030936593</v>
      </c>
      <c r="BQ67" s="16">
        <f t="shared" ref="BQ67:BQ130" si="94">BD67*$O67</f>
        <v>1276.9407069377226</v>
      </c>
      <c r="BR67" s="16">
        <f t="shared" ref="BR67:BR130" si="95">BE67*$O67</f>
        <v>1254.9584763647654</v>
      </c>
      <c r="BS67" s="16">
        <f t="shared" ref="BS67:BS130" si="96">BF67*$O67</f>
        <v>1443.2022478194801</v>
      </c>
      <c r="BT67" s="16">
        <f t="shared" ref="BT67:BT130" si="97">BG67*$O67</f>
        <v>1129.4626287282888</v>
      </c>
      <c r="BU67" s="16">
        <f t="shared" ref="BU67:BU130" si="98">BH67*$O67</f>
        <v>1143.6711094031953</v>
      </c>
      <c r="BV67" s="16">
        <f t="shared" ref="BV67:BV130" si="99">BI67*$O67</f>
        <v>1198.12455366514</v>
      </c>
      <c r="BW67" s="16">
        <f t="shared" ref="BW67:BW130" si="100">BJ67*$O67</f>
        <v>1034.7642208793056</v>
      </c>
      <c r="BX67" s="16">
        <f t="shared" ref="BX67:BX130" si="101">BK67*$O67</f>
        <v>915.55432411732954</v>
      </c>
      <c r="BY67" s="10">
        <f t="shared" si="68"/>
        <v>4105.6557954385162</v>
      </c>
      <c r="BZ67" s="10">
        <f t="shared" si="69"/>
        <v>3791.8417863961472</v>
      </c>
      <c r="CA67" s="10">
        <f t="shared" si="70"/>
        <v>3716.3359859509642</v>
      </c>
      <c r="CB67" s="10">
        <f t="shared" si="71"/>
        <v>3148.4430986617749</v>
      </c>
      <c r="CC67" s="10">
        <f>IFERROR(Table1[[#This Row],[Labor
Saving]]*Table1[[#This Row],[Annual Volume]],"")</f>
        <v>6824.4966664474023</v>
      </c>
      <c r="CD67" s="10">
        <f>IFERROR(Table1[[#This Row],[Annual Volume]]*Table1[[#This Row],[Yield
Saving]],"")</f>
        <v>0</v>
      </c>
      <c r="CE67" s="10">
        <f>IFERROR(Table1[[#This Row],[Annual Volume]]*Table1[[#This Row],[Material
Saving]],"")</f>
        <v>7937.78</v>
      </c>
      <c r="CF67" s="10">
        <f>IFERROR(Table1[[#This Row],[OH
Saving]]*Table1[[#This Row],[Annual Volume]],"")</f>
        <v>0</v>
      </c>
      <c r="CG67" s="10">
        <f>SUM(Table1[[#This Row],[Labor_ASV]:[OH_ASV]])</f>
        <v>14762.276666447402</v>
      </c>
    </row>
    <row r="68" spans="1:85" x14ac:dyDescent="0.3">
      <c r="A68" t="str">
        <f>Table1[[#This Row],[Project Name]]&amp;Table1[[#This Row],[Part Number]]</f>
        <v>Thermal Release Tape 3R42</v>
      </c>
      <c r="B68" t="str">
        <f>IFERROR(Table1[[#This Row],[Project Number]]&amp;Table1[[#This Row],[Part Number]],"")</f>
        <v>AME25-040R42</v>
      </c>
      <c r="C68" s="22" t="s">
        <v>92</v>
      </c>
      <c r="D68" s="24" t="s">
        <v>280</v>
      </c>
      <c r="E68" s="25" t="s">
        <v>58</v>
      </c>
      <c r="F68" s="6">
        <f>INDEX(Proj_Reg!G:G,MATCH($C68,Proj_Reg!$B:$B,0),1)</f>
        <v>46113</v>
      </c>
      <c r="G68" s="6">
        <f>INDEX(Proj_Reg!H:H,MATCH($C68,Proj_Reg!$B:$B,0),1)</f>
        <v>46447</v>
      </c>
      <c r="H68" s="6" t="str">
        <f>IF(INDEX(Proj_Reg!C:C,MATCH($C68,Proj_Reg!$B:$B,0),1)=0,"",INDEX(Proj_Reg!C:C,MATCH($C68,Proj_Reg!$B:$B,0),1))</f>
        <v>Wafer Saw Dicing</v>
      </c>
      <c r="I68" s="6" t="str">
        <f>IF(INDEX(Proj_Reg!D:D,MATCH($C68,Proj_Reg!$B:$B,0),1)=0,"",INDEX(Proj_Reg!D:D,MATCH($C68,Proj_Reg!$B:$B,0),1))</f>
        <v>XCD</v>
      </c>
      <c r="J68" s="6" t="str">
        <f>INDEX(Proj_Reg!E:E,MATCH($C68,Proj_Reg!$B:$B,0),1)</f>
        <v>Thermal Release Tape 3</v>
      </c>
      <c r="K68" s="21">
        <v>1.7194975588760087E-2</v>
      </c>
      <c r="L68" s="21">
        <v>0</v>
      </c>
      <c r="M68" s="21">
        <v>0.02</v>
      </c>
      <c r="N68" s="21">
        <v>0</v>
      </c>
      <c r="O68" s="11">
        <f>SUM(Table1[[#This Row],[Labor
Saving]:[OH
Saving]])</f>
        <v>3.7194975588760087E-2</v>
      </c>
      <c r="Q68" s="40">
        <f t="shared" si="52"/>
        <v>0</v>
      </c>
      <c r="R68" s="40">
        <f t="shared" si="53"/>
        <v>0</v>
      </c>
      <c r="S68" s="40">
        <f t="shared" si="54"/>
        <v>0</v>
      </c>
      <c r="T68" s="40">
        <f t="shared" si="55"/>
        <v>3112.2</v>
      </c>
      <c r="U68" s="40">
        <f t="shared" si="56"/>
        <v>9677</v>
      </c>
      <c r="V68" s="40">
        <f t="shared" si="57"/>
        <v>8038</v>
      </c>
      <c r="W68" s="40">
        <f t="shared" si="58"/>
        <v>9244</v>
      </c>
      <c r="X68" s="40">
        <f t="shared" si="59"/>
        <v>7234</v>
      </c>
      <c r="Y68" s="40">
        <f t="shared" si="60"/>
        <v>7325</v>
      </c>
      <c r="Z68" s="40">
        <f t="shared" si="61"/>
        <v>7674</v>
      </c>
      <c r="AA68" s="40">
        <f t="shared" si="62"/>
        <v>6627</v>
      </c>
      <c r="AB68" s="40">
        <f t="shared" si="63"/>
        <v>5864</v>
      </c>
      <c r="AC68" s="37">
        <f>SUM(Table1[[#This Row],[Jan]:[Dec]])</f>
        <v>64795.199999999997</v>
      </c>
      <c r="AD68" s="15">
        <f t="shared" si="72"/>
        <v>0</v>
      </c>
      <c r="AE68" s="15">
        <f t="shared" si="73"/>
        <v>0</v>
      </c>
      <c r="AF68" s="15">
        <f t="shared" si="74"/>
        <v>0</v>
      </c>
      <c r="AG68" s="15">
        <f t="shared" si="75"/>
        <v>115.75820302733914</v>
      </c>
      <c r="AH68" s="15">
        <f t="shared" si="76"/>
        <v>359.93577877243138</v>
      </c>
      <c r="AI68" s="15">
        <f t="shared" si="77"/>
        <v>298.97321378245357</v>
      </c>
      <c r="AJ68" s="15">
        <f t="shared" si="78"/>
        <v>343.83035434249825</v>
      </c>
      <c r="AK68" s="15">
        <f t="shared" si="79"/>
        <v>269.06845340909047</v>
      </c>
      <c r="AL68" s="15">
        <f t="shared" si="80"/>
        <v>272.45319618766763</v>
      </c>
      <c r="AM68" s="15">
        <f t="shared" si="81"/>
        <v>285.43424266814492</v>
      </c>
      <c r="AN68" s="15">
        <f t="shared" si="82"/>
        <v>246.49110322671311</v>
      </c>
      <c r="AO68" s="15">
        <f t="shared" si="83"/>
        <v>218.11133685248916</v>
      </c>
      <c r="AP68" s="10">
        <f t="shared" si="84"/>
        <v>0</v>
      </c>
      <c r="AQ68" s="10">
        <f t="shared" si="85"/>
        <v>774.66719558222417</v>
      </c>
      <c r="AR68" s="10">
        <f t="shared" si="86"/>
        <v>885.35200393925629</v>
      </c>
      <c r="AS68" s="10">
        <f t="shared" si="87"/>
        <v>750.03668274734719</v>
      </c>
      <c r="AT68" s="10" t="b">
        <f t="shared" si="88"/>
        <v>1</v>
      </c>
      <c r="AU68" s="10">
        <f t="shared" si="64"/>
        <v>1114.1518822688276</v>
      </c>
      <c r="AV68" s="10">
        <f t="shared" si="65"/>
        <v>0</v>
      </c>
      <c r="AW68" s="10">
        <f t="shared" si="66"/>
        <v>1295.904</v>
      </c>
      <c r="AX68" s="10">
        <f t="shared" si="67"/>
        <v>0</v>
      </c>
      <c r="AY68" s="10">
        <f t="shared" si="89"/>
        <v>2410.0558822688276</v>
      </c>
      <c r="AZ68" s="19">
        <f>IFERROR(IF($E68="REC",INDEX(A_Type_Volume!$B:$B,MATCH($D68,A_Type_Volume!$A:$A,0),1),IF($E68="VAM",INDEX(C_Type_Volume!$B:$B,MATCH($D68,C_Type_Volume!$A:$A,0),1),"X")),"")</f>
        <v>8187</v>
      </c>
      <c r="BA68" s="19">
        <f>IFERROR(IF($E68="REC",INDEX(A_Type_Volume!$C:$C,MATCH($D68,A_Type_Volume!$A:$A,0),1),IF($E68="VAM",INDEX(C_Type_Volume!$C:$C,MATCH($D68,C_Type_Volume!$A:$A,0),1),"X")),"")</f>
        <v>9088</v>
      </c>
      <c r="BB68" s="19">
        <f>IFERROR(IF($E68="REC",INDEX(A_Type_Volume!$D:$D,MATCH($D68,A_Type_Volume!$A:$A,0),1),IF($E68="VAM",INDEX(C_Type_Volume!$D:$D,MATCH($D68,C_Type_Volume!$A:$A,0),1),"X")),"")</f>
        <v>15175</v>
      </c>
      <c r="BC68" s="19">
        <f>IFERROR(IF($E68="REC",INDEX(A_Type_Volume!$E:$E,MATCH($D68,A_Type_Volume!$A:$A,0),1),IF($E68="VAM",INDEX(C_Type_Volume!$E:$E,MATCH($D68,C_Type_Volume!$A:$A,0),1),"X")),"")</f>
        <v>10374</v>
      </c>
      <c r="BD68" s="19">
        <f>IFERROR(IF($E68="REC",INDEX(A_Type_Volume!$F:$F,MATCH($D68,A_Type_Volume!$A:$A,0),1),IF($E68="VAM",INDEX(C_Type_Volume!$F:$F,MATCH($D68,C_Type_Volume!$A:$A,0),1),"X")),"")</f>
        <v>9677</v>
      </c>
      <c r="BE68" s="19">
        <f>IFERROR(IF($E68="REC",INDEX(A_Type_Volume!$G:$G,MATCH($D68,A_Type_Volume!$A:$A,0),1),IF($E68="VAM",INDEX(C_Type_Volume!$G:$G,MATCH($D68,C_Type_Volume!$A:$A,0),1),"X")),"")</f>
        <v>8038</v>
      </c>
      <c r="BF68" s="19">
        <f>IFERROR(IF($E68="REC",INDEX(A_Type_Volume!$H:$H,MATCH($D68,A_Type_Volume!$A:$A,0),1),IF($E68="VAM",INDEX(C_Type_Volume!$H:$H,MATCH($D68,C_Type_Volume!$A:$A,0),1),"X")),"")</f>
        <v>9244</v>
      </c>
      <c r="BG68" s="19">
        <f>IFERROR(IF($E68="REC",INDEX(A_Type_Volume!$I:$I,MATCH($D68,A_Type_Volume!$A:$A,0),1),IF($E68="VAM",INDEX(C_Type_Volume!$I:$I,MATCH($D68,C_Type_Volume!$A:$A,0),1),"X")),"")</f>
        <v>7234</v>
      </c>
      <c r="BH68" s="19">
        <f>IFERROR(IF($E68="REC",INDEX(A_Type_Volume!$J:$J,MATCH($D68,A_Type_Volume!$A:$A,0),1),IF($E68="VAM",INDEX(C_Type_Volume!$J:$J,MATCH($D68,C_Type_Volume!$A:$A,0),1),"X")),"")</f>
        <v>7325</v>
      </c>
      <c r="BI68" s="19">
        <f>IFERROR(IF($E68="REC",INDEX(A_Type_Volume!$K:$K,MATCH($D68,A_Type_Volume!$A:$A,0),1),IF($E68="VAM",INDEX(C_Type_Volume!$K:$K,MATCH($D68,C_Type_Volume!$A:$A,0),1),"X")),"")</f>
        <v>7674</v>
      </c>
      <c r="BJ68" s="19">
        <f>IFERROR(IF($E68="REC",INDEX(A_Type_Volume!$L:$L,MATCH($D68,A_Type_Volume!$A:$A,0),1),IF($E68="VAM",INDEX(C_Type_Volume!$L:$L,MATCH($D68,C_Type_Volume!$A:$A,0),1),"X")),"")</f>
        <v>6627</v>
      </c>
      <c r="BK68" s="19">
        <f>IFERROR(IF($E68="REC",INDEX(A_Type_Volume!M:M,MATCH($D68,A_Type_Volume!$A:$A,0),1),IF($E68="VAM",INDEX(C_Type_Volume!M:M,MATCH($D68,C_Type_Volume!$A:$A,0),1),"X")),"")</f>
        <v>5864</v>
      </c>
      <c r="BL68" s="38">
        <f>SUM(Table1[[#This Row],[Jan_AVF]:[Dec_AVF]])</f>
        <v>104507</v>
      </c>
      <c r="BM68" s="16">
        <f t="shared" si="90"/>
        <v>304.51526514517883</v>
      </c>
      <c r="BN68" s="16">
        <f t="shared" si="91"/>
        <v>338.02793815065166</v>
      </c>
      <c r="BO68" s="16">
        <f t="shared" si="92"/>
        <v>564.43375455943431</v>
      </c>
      <c r="BP68" s="16">
        <f t="shared" si="93"/>
        <v>385.86067675779714</v>
      </c>
      <c r="BQ68" s="16">
        <f t="shared" si="94"/>
        <v>359.93577877243138</v>
      </c>
      <c r="BR68" s="16">
        <f t="shared" si="95"/>
        <v>298.97321378245357</v>
      </c>
      <c r="BS68" s="16">
        <f t="shared" si="96"/>
        <v>343.83035434249825</v>
      </c>
      <c r="BT68" s="16">
        <f t="shared" si="97"/>
        <v>269.06845340909047</v>
      </c>
      <c r="BU68" s="16">
        <f t="shared" si="98"/>
        <v>272.45319618766763</v>
      </c>
      <c r="BV68" s="16">
        <f t="shared" si="99"/>
        <v>285.43424266814492</v>
      </c>
      <c r="BW68" s="16">
        <f t="shared" si="100"/>
        <v>246.49110322671311</v>
      </c>
      <c r="BX68" s="16">
        <f t="shared" si="101"/>
        <v>218.11133685248916</v>
      </c>
      <c r="BY68" s="10">
        <f t="shared" si="68"/>
        <v>1206.9769578552648</v>
      </c>
      <c r="BZ68" s="10">
        <f t="shared" si="69"/>
        <v>1044.769669312682</v>
      </c>
      <c r="CA68" s="10">
        <f t="shared" si="70"/>
        <v>885.35200393925629</v>
      </c>
      <c r="CB68" s="10">
        <f t="shared" si="71"/>
        <v>750.03668274734719</v>
      </c>
      <c r="CC68" s="10">
        <f>IFERROR(Table1[[#This Row],[Labor
Saving]]*Table1[[#This Row],[Annual Volume]],"")</f>
        <v>1796.9953138545504</v>
      </c>
      <c r="CD68" s="10">
        <f>IFERROR(Table1[[#This Row],[Annual Volume]]*Table1[[#This Row],[Yield
Saving]],"")</f>
        <v>0</v>
      </c>
      <c r="CE68" s="10">
        <f>IFERROR(Table1[[#This Row],[Annual Volume]]*Table1[[#This Row],[Material
Saving]],"")</f>
        <v>2090.14</v>
      </c>
      <c r="CF68" s="10">
        <f>IFERROR(Table1[[#This Row],[OH
Saving]]*Table1[[#This Row],[Annual Volume]],"")</f>
        <v>0</v>
      </c>
      <c r="CG68" s="10">
        <f>SUM(Table1[[#This Row],[Labor_ASV]:[OH_ASV]])</f>
        <v>3887.1353138545501</v>
      </c>
    </row>
    <row r="69" spans="1:85" x14ac:dyDescent="0.3">
      <c r="A69" t="str">
        <f>Table1[[#This Row],[Project Name]]&amp;Table1[[#This Row],[Part Number]]</f>
        <v>Thermal Release Tape 3R43</v>
      </c>
      <c r="B69" t="str">
        <f>IFERROR(Table1[[#This Row],[Project Number]]&amp;Table1[[#This Row],[Part Number]],"")</f>
        <v>AME25-040R43</v>
      </c>
      <c r="C69" s="22" t="s">
        <v>92</v>
      </c>
      <c r="D69" s="24" t="s">
        <v>281</v>
      </c>
      <c r="E69" s="25" t="s">
        <v>58</v>
      </c>
      <c r="F69" s="6">
        <f>INDEX(Proj_Reg!G:G,MATCH($C69,Proj_Reg!$B:$B,0),1)</f>
        <v>46113</v>
      </c>
      <c r="G69" s="6">
        <f>INDEX(Proj_Reg!H:H,MATCH($C69,Proj_Reg!$B:$B,0),1)</f>
        <v>46447</v>
      </c>
      <c r="H69" s="6" t="str">
        <f>IF(INDEX(Proj_Reg!C:C,MATCH($C69,Proj_Reg!$B:$B,0),1)=0,"",INDEX(Proj_Reg!C:C,MATCH($C69,Proj_Reg!$B:$B,0),1))</f>
        <v>Wafer Saw Dicing</v>
      </c>
      <c r="I69" s="6" t="str">
        <f>IF(INDEX(Proj_Reg!D:D,MATCH($C69,Proj_Reg!$B:$B,0),1)=0,"",INDEX(Proj_Reg!D:D,MATCH($C69,Proj_Reg!$B:$B,0),1))</f>
        <v>XCD</v>
      </c>
      <c r="J69" s="6" t="str">
        <f>INDEX(Proj_Reg!E:E,MATCH($C69,Proj_Reg!$B:$B,0),1)</f>
        <v>Thermal Release Tape 3</v>
      </c>
      <c r="K69" s="21">
        <v>1.7194975588760087E-2</v>
      </c>
      <c r="L69" s="21">
        <v>0</v>
      </c>
      <c r="M69" s="21">
        <v>0.02</v>
      </c>
      <c r="N69" s="21">
        <v>0</v>
      </c>
      <c r="O69" s="11">
        <f>SUM(Table1[[#This Row],[Labor
Saving]:[OH
Saving]])</f>
        <v>3.7194975588760087E-2</v>
      </c>
      <c r="Q69" s="40">
        <f t="shared" si="52"/>
        <v>0</v>
      </c>
      <c r="R69" s="40">
        <f t="shared" si="53"/>
        <v>0</v>
      </c>
      <c r="S69" s="40">
        <f t="shared" si="54"/>
        <v>0</v>
      </c>
      <c r="T69" s="40">
        <f t="shared" si="55"/>
        <v>3207</v>
      </c>
      <c r="U69" s="40">
        <f t="shared" si="56"/>
        <v>10139</v>
      </c>
      <c r="V69" s="40">
        <f t="shared" si="57"/>
        <v>9498</v>
      </c>
      <c r="W69" s="40">
        <f t="shared" si="58"/>
        <v>10923</v>
      </c>
      <c r="X69" s="40">
        <f t="shared" si="59"/>
        <v>8548</v>
      </c>
      <c r="Y69" s="40">
        <f t="shared" si="60"/>
        <v>8656</v>
      </c>
      <c r="Z69" s="40">
        <f t="shared" si="61"/>
        <v>9068</v>
      </c>
      <c r="AA69" s="40">
        <f t="shared" si="62"/>
        <v>7831</v>
      </c>
      <c r="AB69" s="40">
        <f t="shared" si="63"/>
        <v>6929</v>
      </c>
      <c r="AC69" s="37">
        <f>SUM(Table1[[#This Row],[Jan]:[Dec]])</f>
        <v>74799</v>
      </c>
      <c r="AD69" s="15">
        <f t="shared" si="72"/>
        <v>0</v>
      </c>
      <c r="AE69" s="15">
        <f t="shared" si="73"/>
        <v>0</v>
      </c>
      <c r="AF69" s="15">
        <f t="shared" si="74"/>
        <v>0</v>
      </c>
      <c r="AG69" s="15">
        <f t="shared" si="75"/>
        <v>119.28428671315361</v>
      </c>
      <c r="AH69" s="15">
        <f t="shared" si="76"/>
        <v>377.11985749443852</v>
      </c>
      <c r="AI69" s="15">
        <f t="shared" si="77"/>
        <v>353.27787814204333</v>
      </c>
      <c r="AJ69" s="15">
        <f t="shared" si="78"/>
        <v>406.28071835602645</v>
      </c>
      <c r="AK69" s="15">
        <f t="shared" si="79"/>
        <v>317.94265133272125</v>
      </c>
      <c r="AL69" s="15">
        <f t="shared" si="80"/>
        <v>321.9597086963073</v>
      </c>
      <c r="AM69" s="15">
        <f t="shared" si="81"/>
        <v>337.2840386388765</v>
      </c>
      <c r="AN69" s="15">
        <f t="shared" si="82"/>
        <v>291.27385383558027</v>
      </c>
      <c r="AO69" s="15">
        <f t="shared" si="83"/>
        <v>257.72398585451867</v>
      </c>
      <c r="AP69" s="10">
        <f t="shared" si="84"/>
        <v>0</v>
      </c>
      <c r="AQ69" s="10">
        <f t="shared" si="85"/>
        <v>849.68202234963542</v>
      </c>
      <c r="AR69" s="10">
        <f t="shared" si="86"/>
        <v>1046.1830783850551</v>
      </c>
      <c r="AS69" s="10">
        <f t="shared" si="87"/>
        <v>886.28187832897549</v>
      </c>
      <c r="AT69" s="10" t="b">
        <f t="shared" si="88"/>
        <v>1</v>
      </c>
      <c r="AU69" s="10">
        <f t="shared" si="64"/>
        <v>1286.1669790636658</v>
      </c>
      <c r="AV69" s="10">
        <f t="shared" si="65"/>
        <v>0</v>
      </c>
      <c r="AW69" s="10">
        <f t="shared" si="66"/>
        <v>1495.98</v>
      </c>
      <c r="AX69" s="10">
        <f t="shared" si="67"/>
        <v>0</v>
      </c>
      <c r="AY69" s="10">
        <f t="shared" si="89"/>
        <v>2782.1469790636656</v>
      </c>
      <c r="AZ69" s="19">
        <f>IFERROR(IF($E69="REC",INDEX(A_Type_Volume!$B:$B,MATCH($D69,A_Type_Volume!$A:$A,0),1),IF($E69="VAM",INDEX(C_Type_Volume!$B:$B,MATCH($D69,C_Type_Volume!$A:$A,0),1),"X")),"")</f>
        <v>12022</v>
      </c>
      <c r="BA69" s="19">
        <f>IFERROR(IF($E69="REC",INDEX(A_Type_Volume!$C:$C,MATCH($D69,A_Type_Volume!$A:$A,0),1),IF($E69="VAM",INDEX(C_Type_Volume!$C:$C,MATCH($D69,C_Type_Volume!$A:$A,0),1),"X")),"")</f>
        <v>10436</v>
      </c>
      <c r="BB69" s="19">
        <f>IFERROR(IF($E69="REC",INDEX(A_Type_Volume!$D:$D,MATCH($D69,A_Type_Volume!$A:$A,0),1),IF($E69="VAM",INDEX(C_Type_Volume!$D:$D,MATCH($D69,C_Type_Volume!$A:$A,0),1),"X")),"")</f>
        <v>15238</v>
      </c>
      <c r="BC69" s="19">
        <f>IFERROR(IF($E69="REC",INDEX(A_Type_Volume!$E:$E,MATCH($D69,A_Type_Volume!$A:$A,0),1),IF($E69="VAM",INDEX(C_Type_Volume!$E:$E,MATCH($D69,C_Type_Volume!$A:$A,0),1),"X")),"")</f>
        <v>10690</v>
      </c>
      <c r="BD69" s="19">
        <f>IFERROR(IF($E69="REC",INDEX(A_Type_Volume!$F:$F,MATCH($D69,A_Type_Volume!$A:$A,0),1),IF($E69="VAM",INDEX(C_Type_Volume!$F:$F,MATCH($D69,C_Type_Volume!$A:$A,0),1),"X")),"")</f>
        <v>10139</v>
      </c>
      <c r="BE69" s="19">
        <f>IFERROR(IF($E69="REC",INDEX(A_Type_Volume!$G:$G,MATCH($D69,A_Type_Volume!$A:$A,0),1),IF($E69="VAM",INDEX(C_Type_Volume!$G:$G,MATCH($D69,C_Type_Volume!$A:$A,0),1),"X")),"")</f>
        <v>9498</v>
      </c>
      <c r="BF69" s="19">
        <f>IFERROR(IF($E69="REC",INDEX(A_Type_Volume!$H:$H,MATCH($D69,A_Type_Volume!$A:$A,0),1),IF($E69="VAM",INDEX(C_Type_Volume!$H:$H,MATCH($D69,C_Type_Volume!$A:$A,0),1),"X")),"")</f>
        <v>10923</v>
      </c>
      <c r="BG69" s="19">
        <f>IFERROR(IF($E69="REC",INDEX(A_Type_Volume!$I:$I,MATCH($D69,A_Type_Volume!$A:$A,0),1),IF($E69="VAM",INDEX(C_Type_Volume!$I:$I,MATCH($D69,C_Type_Volume!$A:$A,0),1),"X")),"")</f>
        <v>8548</v>
      </c>
      <c r="BH69" s="19">
        <f>IFERROR(IF($E69="REC",INDEX(A_Type_Volume!$J:$J,MATCH($D69,A_Type_Volume!$A:$A,0),1),IF($E69="VAM",INDEX(C_Type_Volume!$J:$J,MATCH($D69,C_Type_Volume!$A:$A,0),1),"X")),"")</f>
        <v>8656</v>
      </c>
      <c r="BI69" s="19">
        <f>IFERROR(IF($E69="REC",INDEX(A_Type_Volume!$K:$K,MATCH($D69,A_Type_Volume!$A:$A,0),1),IF($E69="VAM",INDEX(C_Type_Volume!$K:$K,MATCH($D69,C_Type_Volume!$A:$A,0),1),"X")),"")</f>
        <v>9068</v>
      </c>
      <c r="BJ69" s="19">
        <f>IFERROR(IF($E69="REC",INDEX(A_Type_Volume!$L:$L,MATCH($D69,A_Type_Volume!$A:$A,0),1),IF($E69="VAM",INDEX(C_Type_Volume!$L:$L,MATCH($D69,C_Type_Volume!$A:$A,0),1),"X")),"")</f>
        <v>7831</v>
      </c>
      <c r="BK69" s="19">
        <f>IFERROR(IF($E69="REC",INDEX(A_Type_Volume!M:M,MATCH($D69,A_Type_Volume!$A:$A,0),1),IF($E69="VAM",INDEX(C_Type_Volume!M:M,MATCH($D69,C_Type_Volume!$A:$A,0),1),"X")),"")</f>
        <v>6929</v>
      </c>
      <c r="BL69" s="38">
        <f>SUM(Table1[[#This Row],[Jan_AVF]:[Dec_AVF]])</f>
        <v>119978</v>
      </c>
      <c r="BM69" s="16">
        <f t="shared" si="90"/>
        <v>447.1579965280738</v>
      </c>
      <c r="BN69" s="16">
        <f t="shared" si="91"/>
        <v>388.16676524430028</v>
      </c>
      <c r="BO69" s="16">
        <f t="shared" si="92"/>
        <v>566.77703802152621</v>
      </c>
      <c r="BP69" s="16">
        <f t="shared" si="93"/>
        <v>397.61428904384536</v>
      </c>
      <c r="BQ69" s="16">
        <f t="shared" si="94"/>
        <v>377.11985749443852</v>
      </c>
      <c r="BR69" s="16">
        <f t="shared" si="95"/>
        <v>353.27787814204333</v>
      </c>
      <c r="BS69" s="16">
        <f t="shared" si="96"/>
        <v>406.28071835602645</v>
      </c>
      <c r="BT69" s="16">
        <f t="shared" si="97"/>
        <v>317.94265133272125</v>
      </c>
      <c r="BU69" s="16">
        <f t="shared" si="98"/>
        <v>321.9597086963073</v>
      </c>
      <c r="BV69" s="16">
        <f t="shared" si="99"/>
        <v>337.2840386388765</v>
      </c>
      <c r="BW69" s="16">
        <f t="shared" si="100"/>
        <v>291.27385383558027</v>
      </c>
      <c r="BX69" s="16">
        <f t="shared" si="101"/>
        <v>257.72398585451867</v>
      </c>
      <c r="BY69" s="10">
        <f t="shared" si="68"/>
        <v>1402.1017997939002</v>
      </c>
      <c r="BZ69" s="10">
        <f t="shared" si="69"/>
        <v>1128.0120246803272</v>
      </c>
      <c r="CA69" s="10">
        <f t="shared" si="70"/>
        <v>1046.1830783850551</v>
      </c>
      <c r="CB69" s="10">
        <f t="shared" si="71"/>
        <v>886.28187832897549</v>
      </c>
      <c r="CC69" s="10">
        <f>IFERROR(Table1[[#This Row],[Labor
Saving]]*Table1[[#This Row],[Annual Volume]],"")</f>
        <v>2063.0187811882579</v>
      </c>
      <c r="CD69" s="10">
        <f>IFERROR(Table1[[#This Row],[Annual Volume]]*Table1[[#This Row],[Yield
Saving]],"")</f>
        <v>0</v>
      </c>
      <c r="CE69" s="10">
        <f>IFERROR(Table1[[#This Row],[Annual Volume]]*Table1[[#This Row],[Material
Saving]],"")</f>
        <v>2399.56</v>
      </c>
      <c r="CF69" s="10">
        <f>IFERROR(Table1[[#This Row],[OH
Saving]]*Table1[[#This Row],[Annual Volume]],"")</f>
        <v>0</v>
      </c>
      <c r="CG69" s="10">
        <f>SUM(Table1[[#This Row],[Labor_ASV]:[OH_ASV]])</f>
        <v>4462.5787811882583</v>
      </c>
    </row>
    <row r="70" spans="1:85" x14ac:dyDescent="0.3">
      <c r="A70" t="str">
        <f>Table1[[#This Row],[Project Name]]&amp;Table1[[#This Row],[Part Number]]</f>
        <v>Tape Dicing 1R192</v>
      </c>
      <c r="B70" t="str">
        <f>IFERROR(Table1[[#This Row],[Project Number]]&amp;Table1[[#This Row],[Part Number]],"")</f>
        <v>AME25-041R192</v>
      </c>
      <c r="C70" s="22" t="s">
        <v>93</v>
      </c>
      <c r="D70" s="24" t="s">
        <v>430</v>
      </c>
      <c r="E70" s="25" t="s">
        <v>58</v>
      </c>
      <c r="F70" s="6">
        <f>INDEX(Proj_Reg!G:G,MATCH($C70,Proj_Reg!$B:$B,0),1)</f>
        <v>46143</v>
      </c>
      <c r="G70" s="6">
        <f>INDEX(Proj_Reg!H:H,MATCH($C70,Proj_Reg!$B:$B,0),1)</f>
        <v>46478</v>
      </c>
      <c r="H70" s="6" t="str">
        <f>IF(INDEX(Proj_Reg!C:C,MATCH($C70,Proj_Reg!$B:$B,0),1)=0,"",INDEX(Proj_Reg!C:C,MATCH($C70,Proj_Reg!$B:$B,0),1))</f>
        <v>Wafer Saw Dicing</v>
      </c>
      <c r="I70" s="6" t="str">
        <f>IF(INDEX(Proj_Reg!D:D,MATCH($C70,Proj_Reg!$B:$B,0),1)=0,"",INDEX(Proj_Reg!D:D,MATCH($C70,Proj_Reg!$B:$B,0),1))</f>
        <v>XCD</v>
      </c>
      <c r="J70" s="6" t="str">
        <f>INDEX(Proj_Reg!E:E,MATCH($C70,Proj_Reg!$B:$B,0),1)</f>
        <v>Tape Dicing 1</v>
      </c>
      <c r="K70" s="21">
        <v>1.7194975588760087E-2</v>
      </c>
      <c r="L70" s="21">
        <v>0</v>
      </c>
      <c r="M70" s="21">
        <v>0.02</v>
      </c>
      <c r="N70" s="21">
        <v>0</v>
      </c>
      <c r="O70" s="11">
        <f>SUM(Table1[[#This Row],[Labor
Saving]:[OH
Saving]])</f>
        <v>3.7194975588760087E-2</v>
      </c>
      <c r="Q70" s="40">
        <f t="shared" si="52"/>
        <v>0</v>
      </c>
      <c r="R70" s="40">
        <f t="shared" si="53"/>
        <v>0</v>
      </c>
      <c r="S70" s="40">
        <f t="shared" si="54"/>
        <v>0</v>
      </c>
      <c r="T70" s="40">
        <f t="shared" si="55"/>
        <v>0</v>
      </c>
      <c r="U70" s="40">
        <f t="shared" si="56"/>
        <v>0</v>
      </c>
      <c r="V70" s="40">
        <f t="shared" si="57"/>
        <v>0</v>
      </c>
      <c r="W70" s="40">
        <f t="shared" si="58"/>
        <v>0</v>
      </c>
      <c r="X70" s="40">
        <f t="shared" si="59"/>
        <v>0</v>
      </c>
      <c r="Y70" s="40">
        <f t="shared" si="60"/>
        <v>0</v>
      </c>
      <c r="Z70" s="40">
        <f t="shared" si="61"/>
        <v>0</v>
      </c>
      <c r="AA70" s="40">
        <f t="shared" si="62"/>
        <v>0</v>
      </c>
      <c r="AB70" s="40">
        <f t="shared" si="63"/>
        <v>0</v>
      </c>
      <c r="AC70" s="37">
        <f>SUM(Table1[[#This Row],[Jan]:[Dec]])</f>
        <v>0</v>
      </c>
      <c r="AD70" s="15">
        <f t="shared" si="72"/>
        <v>0</v>
      </c>
      <c r="AE70" s="15">
        <f t="shared" si="73"/>
        <v>0</v>
      </c>
      <c r="AF70" s="15">
        <f t="shared" si="74"/>
        <v>0</v>
      </c>
      <c r="AG70" s="15">
        <f t="shared" si="75"/>
        <v>0</v>
      </c>
      <c r="AH70" s="15">
        <f t="shared" si="76"/>
        <v>0</v>
      </c>
      <c r="AI70" s="15">
        <f t="shared" si="77"/>
        <v>0</v>
      </c>
      <c r="AJ70" s="15">
        <f t="shared" si="78"/>
        <v>0</v>
      </c>
      <c r="AK70" s="15">
        <f t="shared" si="79"/>
        <v>0</v>
      </c>
      <c r="AL70" s="15">
        <f t="shared" si="80"/>
        <v>0</v>
      </c>
      <c r="AM70" s="15">
        <f t="shared" si="81"/>
        <v>0</v>
      </c>
      <c r="AN70" s="15">
        <f t="shared" si="82"/>
        <v>0</v>
      </c>
      <c r="AO70" s="15">
        <f t="shared" si="83"/>
        <v>0</v>
      </c>
      <c r="AP70" s="10">
        <f t="shared" si="84"/>
        <v>0</v>
      </c>
      <c r="AQ70" s="10">
        <f t="shared" si="85"/>
        <v>0</v>
      </c>
      <c r="AR70" s="10">
        <f t="shared" si="86"/>
        <v>0</v>
      </c>
      <c r="AS70" s="10">
        <f t="shared" si="87"/>
        <v>0</v>
      </c>
      <c r="AT70" s="10" t="b">
        <f t="shared" si="88"/>
        <v>1</v>
      </c>
      <c r="AU70" s="10">
        <f t="shared" si="64"/>
        <v>0</v>
      </c>
      <c r="AV70" s="10">
        <f t="shared" si="65"/>
        <v>0</v>
      </c>
      <c r="AW70" s="10">
        <f t="shared" si="66"/>
        <v>0</v>
      </c>
      <c r="AX70" s="10">
        <f t="shared" si="67"/>
        <v>0</v>
      </c>
      <c r="AY70" s="10">
        <f t="shared" si="89"/>
        <v>0</v>
      </c>
      <c r="AZ70" s="19">
        <f>IFERROR(IF($E70="REC",INDEX(A_Type_Volume!$B:$B,MATCH($D70,A_Type_Volume!$A:$A,0),1),IF($E70="VAM",INDEX(C_Type_Volume!$B:$B,MATCH($D70,C_Type_Volume!$A:$A,0),1),"X")),"")</f>
        <v>0</v>
      </c>
      <c r="BA70" s="19">
        <f>IFERROR(IF($E70="REC",INDEX(A_Type_Volume!$C:$C,MATCH($D70,A_Type_Volume!$A:$A,0),1),IF($E70="VAM",INDEX(C_Type_Volume!$C:$C,MATCH($D70,C_Type_Volume!$A:$A,0),1),"X")),"")</f>
        <v>0</v>
      </c>
      <c r="BB70" s="19">
        <f>IFERROR(IF($E70="REC",INDEX(A_Type_Volume!$D:$D,MATCH($D70,A_Type_Volume!$A:$A,0),1),IF($E70="VAM",INDEX(C_Type_Volume!$D:$D,MATCH($D70,C_Type_Volume!$A:$A,0),1),"X")),"")</f>
        <v>0</v>
      </c>
      <c r="BC70" s="19">
        <f>IFERROR(IF($E70="REC",INDEX(A_Type_Volume!$E:$E,MATCH($D70,A_Type_Volume!$A:$A,0),1),IF($E70="VAM",INDEX(C_Type_Volume!$E:$E,MATCH($D70,C_Type_Volume!$A:$A,0),1),"X")),"")</f>
        <v>0</v>
      </c>
      <c r="BD70" s="19">
        <f>IFERROR(IF($E70="REC",INDEX(A_Type_Volume!$F:$F,MATCH($D70,A_Type_Volume!$A:$A,0),1),IF($E70="VAM",INDEX(C_Type_Volume!$F:$F,MATCH($D70,C_Type_Volume!$A:$A,0),1),"X")),"")</f>
        <v>0</v>
      </c>
      <c r="BE70" s="19">
        <f>IFERROR(IF($E70="REC",INDEX(A_Type_Volume!$G:$G,MATCH($D70,A_Type_Volume!$A:$A,0),1),IF($E70="VAM",INDEX(C_Type_Volume!$G:$G,MATCH($D70,C_Type_Volume!$A:$A,0),1),"X")),"")</f>
        <v>0</v>
      </c>
      <c r="BF70" s="19">
        <f>IFERROR(IF($E70="REC",INDEX(A_Type_Volume!$H:$H,MATCH($D70,A_Type_Volume!$A:$A,0),1),IF($E70="VAM",INDEX(C_Type_Volume!$H:$H,MATCH($D70,C_Type_Volume!$A:$A,0),1),"X")),"")</f>
        <v>0</v>
      </c>
      <c r="BG70" s="19">
        <f>IFERROR(IF($E70="REC",INDEX(A_Type_Volume!$I:$I,MATCH($D70,A_Type_Volume!$A:$A,0),1),IF($E70="VAM",INDEX(C_Type_Volume!$I:$I,MATCH($D70,C_Type_Volume!$A:$A,0),1),"X")),"")</f>
        <v>0</v>
      </c>
      <c r="BH70" s="19">
        <f>IFERROR(IF($E70="REC",INDEX(A_Type_Volume!$J:$J,MATCH($D70,A_Type_Volume!$A:$A,0),1),IF($E70="VAM",INDEX(C_Type_Volume!$J:$J,MATCH($D70,C_Type_Volume!$A:$A,0),1),"X")),"")</f>
        <v>0</v>
      </c>
      <c r="BI70" s="19">
        <f>IFERROR(IF($E70="REC",INDEX(A_Type_Volume!$K:$K,MATCH($D70,A_Type_Volume!$A:$A,0),1),IF($E70="VAM",INDEX(C_Type_Volume!$K:$K,MATCH($D70,C_Type_Volume!$A:$A,0),1),"X")),"")</f>
        <v>0</v>
      </c>
      <c r="BJ70" s="19">
        <f>IFERROR(IF($E70="REC",INDEX(A_Type_Volume!$L:$L,MATCH($D70,A_Type_Volume!$A:$A,0),1),IF($E70="VAM",INDEX(C_Type_Volume!$L:$L,MATCH($D70,C_Type_Volume!$A:$A,0),1),"X")),"")</f>
        <v>0</v>
      </c>
      <c r="BK70" s="19">
        <f>IFERROR(IF($E70="REC",INDEX(A_Type_Volume!M:M,MATCH($D70,A_Type_Volume!$A:$A,0),1),IF($E70="VAM",INDEX(C_Type_Volume!M:M,MATCH($D70,C_Type_Volume!$A:$A,0),1),"X")),"")</f>
        <v>0</v>
      </c>
      <c r="BL70" s="38">
        <f>SUM(Table1[[#This Row],[Jan_AVF]:[Dec_AVF]])</f>
        <v>0</v>
      </c>
      <c r="BM70" s="16">
        <f t="shared" si="90"/>
        <v>0</v>
      </c>
      <c r="BN70" s="16">
        <f t="shared" si="91"/>
        <v>0</v>
      </c>
      <c r="BO70" s="16">
        <f t="shared" si="92"/>
        <v>0</v>
      </c>
      <c r="BP70" s="16">
        <f t="shared" si="93"/>
        <v>0</v>
      </c>
      <c r="BQ70" s="16">
        <f t="shared" si="94"/>
        <v>0</v>
      </c>
      <c r="BR70" s="16">
        <f t="shared" si="95"/>
        <v>0</v>
      </c>
      <c r="BS70" s="16">
        <f t="shared" si="96"/>
        <v>0</v>
      </c>
      <c r="BT70" s="16">
        <f t="shared" si="97"/>
        <v>0</v>
      </c>
      <c r="BU70" s="16">
        <f t="shared" si="98"/>
        <v>0</v>
      </c>
      <c r="BV70" s="16">
        <f t="shared" si="99"/>
        <v>0</v>
      </c>
      <c r="BW70" s="16">
        <f t="shared" si="100"/>
        <v>0</v>
      </c>
      <c r="BX70" s="16">
        <f t="shared" si="101"/>
        <v>0</v>
      </c>
      <c r="BY70" s="10">
        <f t="shared" si="68"/>
        <v>0</v>
      </c>
      <c r="BZ70" s="10">
        <f t="shared" si="69"/>
        <v>0</v>
      </c>
      <c r="CA70" s="10">
        <f t="shared" si="70"/>
        <v>0</v>
      </c>
      <c r="CB70" s="10">
        <f t="shared" si="71"/>
        <v>0</v>
      </c>
      <c r="CC70" s="10">
        <f>IFERROR(Table1[[#This Row],[Labor
Saving]]*Table1[[#This Row],[Annual Volume]],"")</f>
        <v>0</v>
      </c>
      <c r="CD70" s="10">
        <f>IFERROR(Table1[[#This Row],[Annual Volume]]*Table1[[#This Row],[Yield
Saving]],"")</f>
        <v>0</v>
      </c>
      <c r="CE70" s="10">
        <f>IFERROR(Table1[[#This Row],[Annual Volume]]*Table1[[#This Row],[Material
Saving]],"")</f>
        <v>0</v>
      </c>
      <c r="CF70" s="10">
        <f>IFERROR(Table1[[#This Row],[OH
Saving]]*Table1[[#This Row],[Annual Volume]],"")</f>
        <v>0</v>
      </c>
      <c r="CG70" s="10">
        <f>SUM(Table1[[#This Row],[Labor_ASV]:[OH_ASV]])</f>
        <v>0</v>
      </c>
    </row>
    <row r="71" spans="1:85" x14ac:dyDescent="0.3">
      <c r="A71" t="str">
        <f>Table1[[#This Row],[Project Name]]&amp;Table1[[#This Row],[Part Number]]</f>
        <v>Tape Dicing 1R193</v>
      </c>
      <c r="B71" t="str">
        <f>IFERROR(Table1[[#This Row],[Project Number]]&amp;Table1[[#This Row],[Part Number]],"")</f>
        <v>AME25-041R193</v>
      </c>
      <c r="C71" s="22" t="s">
        <v>93</v>
      </c>
      <c r="D71" s="24" t="s">
        <v>431</v>
      </c>
      <c r="E71" s="25" t="s">
        <v>58</v>
      </c>
      <c r="F71" s="6">
        <f>INDEX(Proj_Reg!G:G,MATCH($C71,Proj_Reg!$B:$B,0),1)</f>
        <v>46143</v>
      </c>
      <c r="G71" s="6">
        <f>INDEX(Proj_Reg!H:H,MATCH($C71,Proj_Reg!$B:$B,0),1)</f>
        <v>46478</v>
      </c>
      <c r="H71" s="6" t="str">
        <f>IF(INDEX(Proj_Reg!C:C,MATCH($C71,Proj_Reg!$B:$B,0),1)=0,"",INDEX(Proj_Reg!C:C,MATCH($C71,Proj_Reg!$B:$B,0),1))</f>
        <v>Wafer Saw Dicing</v>
      </c>
      <c r="I71" s="6" t="str">
        <f>IF(INDEX(Proj_Reg!D:D,MATCH($C71,Proj_Reg!$B:$B,0),1)=0,"",INDEX(Proj_Reg!D:D,MATCH($C71,Proj_Reg!$B:$B,0),1))</f>
        <v>XCD</v>
      </c>
      <c r="J71" s="6" t="str">
        <f>INDEX(Proj_Reg!E:E,MATCH($C71,Proj_Reg!$B:$B,0),1)</f>
        <v>Tape Dicing 1</v>
      </c>
      <c r="K71" s="21">
        <v>1.0313376000000001E-2</v>
      </c>
      <c r="L71" s="21">
        <v>0</v>
      </c>
      <c r="M71" s="21">
        <v>1.3762005080700015E-2</v>
      </c>
      <c r="N71" s="21">
        <v>0</v>
      </c>
      <c r="O71" s="11">
        <f>SUM(Table1[[#This Row],[Labor
Saving]:[OH
Saving]])</f>
        <v>2.4075381080700016E-2</v>
      </c>
      <c r="Q71" s="40">
        <f t="shared" si="52"/>
        <v>0</v>
      </c>
      <c r="R71" s="40">
        <f t="shared" si="53"/>
        <v>0</v>
      </c>
      <c r="S71" s="40">
        <f t="shared" si="54"/>
        <v>0</v>
      </c>
      <c r="T71" s="40">
        <f t="shared" si="55"/>
        <v>0</v>
      </c>
      <c r="U71" s="40">
        <f t="shared" si="56"/>
        <v>0</v>
      </c>
      <c r="V71" s="40">
        <f t="shared" si="57"/>
        <v>0</v>
      </c>
      <c r="W71" s="40">
        <f t="shared" si="58"/>
        <v>0</v>
      </c>
      <c r="X71" s="40">
        <f t="shared" si="59"/>
        <v>0</v>
      </c>
      <c r="Y71" s="40">
        <f t="shared" si="60"/>
        <v>0</v>
      </c>
      <c r="Z71" s="40">
        <f t="shared" si="61"/>
        <v>0</v>
      </c>
      <c r="AA71" s="40">
        <f t="shared" si="62"/>
        <v>0</v>
      </c>
      <c r="AB71" s="40">
        <f t="shared" si="63"/>
        <v>0</v>
      </c>
      <c r="AC71" s="37">
        <f>SUM(Table1[[#This Row],[Jan]:[Dec]])</f>
        <v>0</v>
      </c>
      <c r="AD71" s="15">
        <f t="shared" si="72"/>
        <v>0</v>
      </c>
      <c r="AE71" s="15">
        <f t="shared" si="73"/>
        <v>0</v>
      </c>
      <c r="AF71" s="15">
        <f t="shared" si="74"/>
        <v>0</v>
      </c>
      <c r="AG71" s="15">
        <f t="shared" si="75"/>
        <v>0</v>
      </c>
      <c r="AH71" s="15">
        <f t="shared" si="76"/>
        <v>0</v>
      </c>
      <c r="AI71" s="15">
        <f t="shared" si="77"/>
        <v>0</v>
      </c>
      <c r="AJ71" s="15">
        <f t="shared" si="78"/>
        <v>0</v>
      </c>
      <c r="AK71" s="15">
        <f t="shared" si="79"/>
        <v>0</v>
      </c>
      <c r="AL71" s="15">
        <f t="shared" si="80"/>
        <v>0</v>
      </c>
      <c r="AM71" s="15">
        <f t="shared" si="81"/>
        <v>0</v>
      </c>
      <c r="AN71" s="15">
        <f t="shared" si="82"/>
        <v>0</v>
      </c>
      <c r="AO71" s="15">
        <f t="shared" si="83"/>
        <v>0</v>
      </c>
      <c r="AP71" s="10">
        <f t="shared" si="84"/>
        <v>0</v>
      </c>
      <c r="AQ71" s="10">
        <f t="shared" si="85"/>
        <v>0</v>
      </c>
      <c r="AR71" s="10">
        <f t="shared" si="86"/>
        <v>0</v>
      </c>
      <c r="AS71" s="10">
        <f t="shared" si="87"/>
        <v>0</v>
      </c>
      <c r="AT71" s="10" t="b">
        <f t="shared" si="88"/>
        <v>1</v>
      </c>
      <c r="AU71" s="10">
        <f t="shared" si="64"/>
        <v>0</v>
      </c>
      <c r="AV71" s="10">
        <f t="shared" si="65"/>
        <v>0</v>
      </c>
      <c r="AW71" s="10">
        <f t="shared" si="66"/>
        <v>0</v>
      </c>
      <c r="AX71" s="10">
        <f t="shared" si="67"/>
        <v>0</v>
      </c>
      <c r="AY71" s="10">
        <f t="shared" si="89"/>
        <v>0</v>
      </c>
      <c r="AZ71" s="19">
        <f>IFERROR(IF($E71="REC",INDEX(A_Type_Volume!$B:$B,MATCH($D71,A_Type_Volume!$A:$A,0),1),IF($E71="VAM",INDEX(C_Type_Volume!$B:$B,MATCH($D71,C_Type_Volume!$A:$A,0),1),"X")),"")</f>
        <v>0</v>
      </c>
      <c r="BA71" s="19">
        <f>IFERROR(IF($E71="REC",INDEX(A_Type_Volume!$C:$C,MATCH($D71,A_Type_Volume!$A:$A,0),1),IF($E71="VAM",INDEX(C_Type_Volume!$C:$C,MATCH($D71,C_Type_Volume!$A:$A,0),1),"X")),"")</f>
        <v>0</v>
      </c>
      <c r="BB71" s="19">
        <f>IFERROR(IF($E71="REC",INDEX(A_Type_Volume!$D:$D,MATCH($D71,A_Type_Volume!$A:$A,0),1),IF($E71="VAM",INDEX(C_Type_Volume!$D:$D,MATCH($D71,C_Type_Volume!$A:$A,0),1),"X")),"")</f>
        <v>0</v>
      </c>
      <c r="BC71" s="19">
        <f>IFERROR(IF($E71="REC",INDEX(A_Type_Volume!$E:$E,MATCH($D71,A_Type_Volume!$A:$A,0),1),IF($E71="VAM",INDEX(C_Type_Volume!$E:$E,MATCH($D71,C_Type_Volume!$A:$A,0),1),"X")),"")</f>
        <v>0</v>
      </c>
      <c r="BD71" s="19">
        <f>IFERROR(IF($E71="REC",INDEX(A_Type_Volume!$F:$F,MATCH($D71,A_Type_Volume!$A:$A,0),1),IF($E71="VAM",INDEX(C_Type_Volume!$F:$F,MATCH($D71,C_Type_Volume!$A:$A,0),1),"X")),"")</f>
        <v>0</v>
      </c>
      <c r="BE71" s="19">
        <f>IFERROR(IF($E71="REC",INDEX(A_Type_Volume!$G:$G,MATCH($D71,A_Type_Volume!$A:$A,0),1),IF($E71="VAM",INDEX(C_Type_Volume!$G:$G,MATCH($D71,C_Type_Volume!$A:$A,0),1),"X")),"")</f>
        <v>0</v>
      </c>
      <c r="BF71" s="19">
        <f>IFERROR(IF($E71="REC",INDEX(A_Type_Volume!$H:$H,MATCH($D71,A_Type_Volume!$A:$A,0),1),IF($E71="VAM",INDEX(C_Type_Volume!$H:$H,MATCH($D71,C_Type_Volume!$A:$A,0),1),"X")),"")</f>
        <v>0</v>
      </c>
      <c r="BG71" s="19">
        <f>IFERROR(IF($E71="REC",INDEX(A_Type_Volume!$I:$I,MATCH($D71,A_Type_Volume!$A:$A,0),1),IF($E71="VAM",INDEX(C_Type_Volume!$I:$I,MATCH($D71,C_Type_Volume!$A:$A,0),1),"X")),"")</f>
        <v>0</v>
      </c>
      <c r="BH71" s="19">
        <f>IFERROR(IF($E71="REC",INDEX(A_Type_Volume!$J:$J,MATCH($D71,A_Type_Volume!$A:$A,0),1),IF($E71="VAM",INDEX(C_Type_Volume!$J:$J,MATCH($D71,C_Type_Volume!$A:$A,0),1),"X")),"")</f>
        <v>0</v>
      </c>
      <c r="BI71" s="19">
        <f>IFERROR(IF($E71="REC",INDEX(A_Type_Volume!$K:$K,MATCH($D71,A_Type_Volume!$A:$A,0),1),IF($E71="VAM",INDEX(C_Type_Volume!$K:$K,MATCH($D71,C_Type_Volume!$A:$A,0),1),"X")),"")</f>
        <v>0</v>
      </c>
      <c r="BJ71" s="19">
        <f>IFERROR(IF($E71="REC",INDEX(A_Type_Volume!$L:$L,MATCH($D71,A_Type_Volume!$A:$A,0),1),IF($E71="VAM",INDEX(C_Type_Volume!$L:$L,MATCH($D71,C_Type_Volume!$A:$A,0),1),"X")),"")</f>
        <v>0</v>
      </c>
      <c r="BK71" s="19">
        <f>IFERROR(IF($E71="REC",INDEX(A_Type_Volume!M:M,MATCH($D71,A_Type_Volume!$A:$A,0),1),IF($E71="VAM",INDEX(C_Type_Volume!M:M,MATCH($D71,C_Type_Volume!$A:$A,0),1),"X")),"")</f>
        <v>0</v>
      </c>
      <c r="BL71" s="38">
        <f>SUM(Table1[[#This Row],[Jan_AVF]:[Dec_AVF]])</f>
        <v>0</v>
      </c>
      <c r="BM71" s="16">
        <f t="shared" si="90"/>
        <v>0</v>
      </c>
      <c r="BN71" s="16">
        <f t="shared" si="91"/>
        <v>0</v>
      </c>
      <c r="BO71" s="16">
        <f t="shared" si="92"/>
        <v>0</v>
      </c>
      <c r="BP71" s="16">
        <f t="shared" si="93"/>
        <v>0</v>
      </c>
      <c r="BQ71" s="16">
        <f t="shared" si="94"/>
        <v>0</v>
      </c>
      <c r="BR71" s="16">
        <f t="shared" si="95"/>
        <v>0</v>
      </c>
      <c r="BS71" s="16">
        <f t="shared" si="96"/>
        <v>0</v>
      </c>
      <c r="BT71" s="16">
        <f t="shared" si="97"/>
        <v>0</v>
      </c>
      <c r="BU71" s="16">
        <f t="shared" si="98"/>
        <v>0</v>
      </c>
      <c r="BV71" s="16">
        <f t="shared" si="99"/>
        <v>0</v>
      </c>
      <c r="BW71" s="16">
        <f t="shared" si="100"/>
        <v>0</v>
      </c>
      <c r="BX71" s="16">
        <f t="shared" si="101"/>
        <v>0</v>
      </c>
      <c r="BY71" s="10">
        <f t="shared" si="68"/>
        <v>0</v>
      </c>
      <c r="BZ71" s="10">
        <f t="shared" si="69"/>
        <v>0</v>
      </c>
      <c r="CA71" s="10">
        <f t="shared" si="70"/>
        <v>0</v>
      </c>
      <c r="CB71" s="10">
        <f t="shared" si="71"/>
        <v>0</v>
      </c>
      <c r="CC71" s="10">
        <f>IFERROR(Table1[[#This Row],[Labor
Saving]]*Table1[[#This Row],[Annual Volume]],"")</f>
        <v>0</v>
      </c>
      <c r="CD71" s="10">
        <f>IFERROR(Table1[[#This Row],[Annual Volume]]*Table1[[#This Row],[Yield
Saving]],"")</f>
        <v>0</v>
      </c>
      <c r="CE71" s="10">
        <f>IFERROR(Table1[[#This Row],[Annual Volume]]*Table1[[#This Row],[Material
Saving]],"")</f>
        <v>0</v>
      </c>
      <c r="CF71" s="10">
        <f>IFERROR(Table1[[#This Row],[OH
Saving]]*Table1[[#This Row],[Annual Volume]],"")</f>
        <v>0</v>
      </c>
      <c r="CG71" s="10">
        <f>SUM(Table1[[#This Row],[Labor_ASV]:[OH_ASV]])</f>
        <v>0</v>
      </c>
    </row>
    <row r="72" spans="1:85" x14ac:dyDescent="0.3">
      <c r="A72" t="str">
        <f>Table1[[#This Row],[Project Name]]&amp;Table1[[#This Row],[Part Number]]</f>
        <v>Tape Dicing 3R57</v>
      </c>
      <c r="B72" t="str">
        <f>IFERROR(Table1[[#This Row],[Project Number]]&amp;Table1[[#This Row],[Part Number]],"")</f>
        <v>AME25-043R57</v>
      </c>
      <c r="C72" s="22" t="s">
        <v>95</v>
      </c>
      <c r="D72" s="24" t="s">
        <v>295</v>
      </c>
      <c r="E72" s="25" t="s">
        <v>58</v>
      </c>
      <c r="F72" s="6">
        <f>INDEX(Proj_Reg!G:G,MATCH($C72,Proj_Reg!$B:$B,0),1)</f>
        <v>46266</v>
      </c>
      <c r="G72" s="6">
        <f>INDEX(Proj_Reg!H:H,MATCH($C72,Proj_Reg!$B:$B,0),1)</f>
        <v>46600</v>
      </c>
      <c r="H72" s="6" t="str">
        <f>IF(INDEX(Proj_Reg!C:C,MATCH($C72,Proj_Reg!$B:$B,0),1)=0,"",INDEX(Proj_Reg!C:C,MATCH($C72,Proj_Reg!$B:$B,0),1))</f>
        <v>Wafer Saw Dicing</v>
      </c>
      <c r="I72" s="6" t="str">
        <f>IF(INDEX(Proj_Reg!D:D,MATCH($C72,Proj_Reg!$B:$B,0),1)=0,"",INDEX(Proj_Reg!D:D,MATCH($C72,Proj_Reg!$B:$B,0),1))</f>
        <v>XCD</v>
      </c>
      <c r="J72" s="6" t="str">
        <f>INDEX(Proj_Reg!E:E,MATCH($C72,Proj_Reg!$B:$B,0),1)</f>
        <v>Tape Dicing 3</v>
      </c>
      <c r="K72" s="21">
        <v>1.0313376000000001E-2</v>
      </c>
      <c r="L72" s="21">
        <v>0</v>
      </c>
      <c r="M72" s="21">
        <v>1.3762005080700015E-2</v>
      </c>
      <c r="N72" s="21">
        <v>0</v>
      </c>
      <c r="O72" s="11">
        <f>SUM(Table1[[#This Row],[Labor
Saving]:[OH
Saving]])</f>
        <v>2.4075381080700016E-2</v>
      </c>
      <c r="Q72" s="40">
        <f t="shared" si="52"/>
        <v>0</v>
      </c>
      <c r="R72" s="40">
        <f t="shared" si="53"/>
        <v>0</v>
      </c>
      <c r="S72" s="40">
        <f t="shared" si="54"/>
        <v>0</v>
      </c>
      <c r="T72" s="40">
        <f t="shared" si="55"/>
        <v>0</v>
      </c>
      <c r="U72" s="40">
        <f t="shared" si="56"/>
        <v>0</v>
      </c>
      <c r="V72" s="40">
        <f t="shared" si="57"/>
        <v>0</v>
      </c>
      <c r="W72" s="40">
        <f t="shared" si="58"/>
        <v>0</v>
      </c>
      <c r="X72" s="40">
        <f t="shared" si="59"/>
        <v>0</v>
      </c>
      <c r="Y72" s="40">
        <f t="shared" si="60"/>
        <v>103359.9</v>
      </c>
      <c r="Z72" s="40">
        <f t="shared" si="61"/>
        <v>157409</v>
      </c>
      <c r="AA72" s="40">
        <f t="shared" si="62"/>
        <v>135712</v>
      </c>
      <c r="AB72" s="40">
        <f t="shared" si="63"/>
        <v>136153</v>
      </c>
      <c r="AC72" s="37">
        <f>SUM(Table1[[#This Row],[Jan]:[Dec]])</f>
        <v>532633.9</v>
      </c>
      <c r="AD72" s="15">
        <f t="shared" si="72"/>
        <v>0</v>
      </c>
      <c r="AE72" s="15">
        <f t="shared" si="73"/>
        <v>0</v>
      </c>
      <c r="AF72" s="15">
        <f t="shared" si="74"/>
        <v>0</v>
      </c>
      <c r="AG72" s="15">
        <f t="shared" si="75"/>
        <v>0</v>
      </c>
      <c r="AH72" s="15">
        <f t="shared" si="76"/>
        <v>0</v>
      </c>
      <c r="AI72" s="15">
        <f t="shared" si="77"/>
        <v>0</v>
      </c>
      <c r="AJ72" s="15">
        <f t="shared" si="78"/>
        <v>0</v>
      </c>
      <c r="AK72" s="15">
        <f t="shared" si="79"/>
        <v>0</v>
      </c>
      <c r="AL72" s="15">
        <f t="shared" si="80"/>
        <v>2488.4289809630454</v>
      </c>
      <c r="AM72" s="15">
        <f t="shared" si="81"/>
        <v>3789.6816605319086</v>
      </c>
      <c r="AN72" s="15">
        <f t="shared" si="82"/>
        <v>3267.3181172239606</v>
      </c>
      <c r="AO72" s="15">
        <f t="shared" si="83"/>
        <v>3277.9353602805495</v>
      </c>
      <c r="AP72" s="10">
        <f t="shared" si="84"/>
        <v>0</v>
      </c>
      <c r="AQ72" s="10">
        <f t="shared" si="85"/>
        <v>0</v>
      </c>
      <c r="AR72" s="10">
        <f t="shared" si="86"/>
        <v>2488.4289809630454</v>
      </c>
      <c r="AS72" s="10">
        <f t="shared" si="87"/>
        <v>10334.935138036419</v>
      </c>
      <c r="AT72" s="10" t="b">
        <f t="shared" si="88"/>
        <v>1</v>
      </c>
      <c r="AU72" s="10">
        <f t="shared" si="64"/>
        <v>5493.2536810464007</v>
      </c>
      <c r="AV72" s="10">
        <f t="shared" si="65"/>
        <v>0</v>
      </c>
      <c r="AW72" s="10">
        <f t="shared" si="66"/>
        <v>7330.1104379530643</v>
      </c>
      <c r="AX72" s="10">
        <f t="shared" si="67"/>
        <v>0</v>
      </c>
      <c r="AY72" s="10">
        <f t="shared" si="89"/>
        <v>12823.364118999465</v>
      </c>
      <c r="AZ72" s="19">
        <f>IFERROR(IF($E72="REC",INDEX(A_Type_Volume!$B:$B,MATCH($D72,A_Type_Volume!$A:$A,0),1),IF($E72="VAM",INDEX(C_Type_Volume!$B:$B,MATCH($D72,C_Type_Volume!$A:$A,0),1),"X")),"")</f>
        <v>147970</v>
      </c>
      <c r="BA72" s="19">
        <f>IFERROR(IF($E72="REC",INDEX(A_Type_Volume!$C:$C,MATCH($D72,A_Type_Volume!$A:$A,0),1),IF($E72="VAM",INDEX(C_Type_Volume!$C:$C,MATCH($D72,C_Type_Volume!$A:$A,0),1),"X")),"")</f>
        <v>159143</v>
      </c>
      <c r="BB72" s="19">
        <f>IFERROR(IF($E72="REC",INDEX(A_Type_Volume!$D:$D,MATCH($D72,A_Type_Volume!$A:$A,0),1),IF($E72="VAM",INDEX(C_Type_Volume!$D:$D,MATCH($D72,C_Type_Volume!$A:$A,0),1),"X")),"")</f>
        <v>221536</v>
      </c>
      <c r="BC72" s="19">
        <f>IFERROR(IF($E72="REC",INDEX(A_Type_Volume!$E:$E,MATCH($D72,A_Type_Volume!$A:$A,0),1),IF($E72="VAM",INDEX(C_Type_Volume!$E:$E,MATCH($D72,C_Type_Volume!$A:$A,0),1),"X")),"")</f>
        <v>190075</v>
      </c>
      <c r="BD72" s="19">
        <f>IFERROR(IF($E72="REC",INDEX(A_Type_Volume!$F:$F,MATCH($D72,A_Type_Volume!$A:$A,0),1),IF($E72="VAM",INDEX(C_Type_Volume!$F:$F,MATCH($D72,C_Type_Volume!$A:$A,0),1),"X")),"")</f>
        <v>219389</v>
      </c>
      <c r="BE72" s="19">
        <f>IFERROR(IF($E72="REC",INDEX(A_Type_Volume!$G:$G,MATCH($D72,A_Type_Volume!$A:$A,0),1),IF($E72="VAM",INDEX(C_Type_Volume!$G:$G,MATCH($D72,C_Type_Volume!$A:$A,0),1),"X")),"")</f>
        <v>214847</v>
      </c>
      <c r="BF72" s="19">
        <f>IFERROR(IF($E72="REC",INDEX(A_Type_Volume!$H:$H,MATCH($D72,A_Type_Volume!$A:$A,0),1),IF($E72="VAM",INDEX(C_Type_Volume!$H:$H,MATCH($D72,C_Type_Volume!$A:$A,0),1),"X")),"")</f>
        <v>212750</v>
      </c>
      <c r="BG72" s="19">
        <f>IFERROR(IF($E72="REC",INDEX(A_Type_Volume!$I:$I,MATCH($D72,A_Type_Volume!$A:$A,0),1),IF($E72="VAM",INDEX(C_Type_Volume!$I:$I,MATCH($D72,C_Type_Volume!$A:$A,0),1),"X")),"")</f>
        <v>155658</v>
      </c>
      <c r="BH72" s="19">
        <f>IFERROR(IF($E72="REC",INDEX(A_Type_Volume!$J:$J,MATCH($D72,A_Type_Volume!$A:$A,0),1),IF($E72="VAM",INDEX(C_Type_Volume!$J:$J,MATCH($D72,C_Type_Volume!$A:$A,0),1),"X")),"")</f>
        <v>147657</v>
      </c>
      <c r="BI72" s="19">
        <f>IFERROR(IF($E72="REC",INDEX(A_Type_Volume!$K:$K,MATCH($D72,A_Type_Volume!$A:$A,0),1),IF($E72="VAM",INDEX(C_Type_Volume!$K:$K,MATCH($D72,C_Type_Volume!$A:$A,0),1),"X")),"")</f>
        <v>157409</v>
      </c>
      <c r="BJ72" s="19">
        <f>IFERROR(IF($E72="REC",INDEX(A_Type_Volume!$L:$L,MATCH($D72,A_Type_Volume!$A:$A,0),1),IF($E72="VAM",INDEX(C_Type_Volume!$L:$L,MATCH($D72,C_Type_Volume!$A:$A,0),1),"X")),"")</f>
        <v>135712</v>
      </c>
      <c r="BK72" s="19">
        <f>IFERROR(IF($E72="REC",INDEX(A_Type_Volume!M:M,MATCH($D72,A_Type_Volume!$A:$A,0),1),IF($E72="VAM",INDEX(C_Type_Volume!M:M,MATCH($D72,C_Type_Volume!$A:$A,0),1),"X")),"")</f>
        <v>136153</v>
      </c>
      <c r="BL72" s="38">
        <f>SUM(Table1[[#This Row],[Jan_AVF]:[Dec_AVF]])</f>
        <v>2098299</v>
      </c>
      <c r="BM72" s="16">
        <f t="shared" si="90"/>
        <v>3562.4341385111816</v>
      </c>
      <c r="BN72" s="16">
        <f t="shared" si="91"/>
        <v>3831.4283713258428</v>
      </c>
      <c r="BO72" s="16">
        <f t="shared" si="92"/>
        <v>5333.563623093959</v>
      </c>
      <c r="BP72" s="16">
        <f t="shared" si="93"/>
        <v>4576.1280589140551</v>
      </c>
      <c r="BQ72" s="16">
        <f t="shared" si="94"/>
        <v>5281.8737799136961</v>
      </c>
      <c r="BR72" s="16">
        <f t="shared" si="95"/>
        <v>5172.5233990451561</v>
      </c>
      <c r="BS72" s="16">
        <f t="shared" si="96"/>
        <v>5122.0373249189288</v>
      </c>
      <c r="BT72" s="16">
        <f t="shared" si="97"/>
        <v>3747.5256682596032</v>
      </c>
      <c r="BU72" s="16">
        <f t="shared" si="98"/>
        <v>3554.8985442329222</v>
      </c>
      <c r="BV72" s="16">
        <f t="shared" si="99"/>
        <v>3789.6816605319086</v>
      </c>
      <c r="BW72" s="16">
        <f t="shared" si="100"/>
        <v>3267.3181172239606</v>
      </c>
      <c r="BX72" s="16">
        <f t="shared" si="101"/>
        <v>3277.9353602805495</v>
      </c>
      <c r="BY72" s="10">
        <f t="shared" si="68"/>
        <v>12727.426132930985</v>
      </c>
      <c r="BZ72" s="10">
        <f t="shared" si="69"/>
        <v>15030.525237872907</v>
      </c>
      <c r="CA72" s="10">
        <f t="shared" si="70"/>
        <v>12424.461537411455</v>
      </c>
      <c r="CB72" s="10">
        <f t="shared" si="71"/>
        <v>10334.935138036419</v>
      </c>
      <c r="CC72" s="10">
        <f>IFERROR(Table1[[#This Row],[Labor
Saving]]*Table1[[#This Row],[Annual Volume]],"")</f>
        <v>21640.546547424001</v>
      </c>
      <c r="CD72" s="10">
        <f>IFERROR(Table1[[#This Row],[Annual Volume]]*Table1[[#This Row],[Yield
Saving]],"")</f>
        <v>0</v>
      </c>
      <c r="CE72" s="10">
        <f>IFERROR(Table1[[#This Row],[Annual Volume]]*Table1[[#This Row],[Material
Saving]],"")</f>
        <v>28876.801498827761</v>
      </c>
      <c r="CF72" s="10">
        <f>IFERROR(Table1[[#This Row],[OH
Saving]]*Table1[[#This Row],[Annual Volume]],"")</f>
        <v>0</v>
      </c>
      <c r="CG72" s="10">
        <f>SUM(Table1[[#This Row],[Labor_ASV]:[OH_ASV]])</f>
        <v>50517.348046251762</v>
      </c>
    </row>
    <row r="73" spans="1:85" x14ac:dyDescent="0.3">
      <c r="A73" t="str">
        <f>Table1[[#This Row],[Project Name]]&amp;Table1[[#This Row],[Part Number]]</f>
        <v>Tape Dicing 3R58</v>
      </c>
      <c r="B73" t="str">
        <f>IFERROR(Table1[[#This Row],[Project Number]]&amp;Table1[[#This Row],[Part Number]],"")</f>
        <v>AME25-043R58</v>
      </c>
      <c r="C73" s="22" t="s">
        <v>95</v>
      </c>
      <c r="D73" s="24" t="s">
        <v>296</v>
      </c>
      <c r="E73" s="25" t="s">
        <v>58</v>
      </c>
      <c r="F73" s="6">
        <f>INDEX(Proj_Reg!G:G,MATCH($C73,Proj_Reg!$B:$B,0),1)</f>
        <v>46266</v>
      </c>
      <c r="G73" s="6">
        <f>INDEX(Proj_Reg!H:H,MATCH($C73,Proj_Reg!$B:$B,0),1)</f>
        <v>46600</v>
      </c>
      <c r="H73" s="6" t="str">
        <f>IF(INDEX(Proj_Reg!C:C,MATCH($C73,Proj_Reg!$B:$B,0),1)=0,"",INDEX(Proj_Reg!C:C,MATCH($C73,Proj_Reg!$B:$B,0),1))</f>
        <v>Wafer Saw Dicing</v>
      </c>
      <c r="I73" s="6" t="str">
        <f>IF(INDEX(Proj_Reg!D:D,MATCH($C73,Proj_Reg!$B:$B,0),1)=0,"",INDEX(Proj_Reg!D:D,MATCH($C73,Proj_Reg!$B:$B,0),1))</f>
        <v>XCD</v>
      </c>
      <c r="J73" s="6" t="str">
        <f>INDEX(Proj_Reg!E:E,MATCH($C73,Proj_Reg!$B:$B,0),1)</f>
        <v>Tape Dicing 3</v>
      </c>
      <c r="K73" s="21">
        <v>9.7867680000000012E-3</v>
      </c>
      <c r="L73" s="21">
        <v>0</v>
      </c>
      <c r="M73" s="21">
        <v>1.0740828822000002E-2</v>
      </c>
      <c r="N73" s="21">
        <v>0</v>
      </c>
      <c r="O73" s="11">
        <f>SUM(Table1[[#This Row],[Labor
Saving]:[OH
Saving]])</f>
        <v>2.0527596822000005E-2</v>
      </c>
      <c r="Q73" s="40">
        <f t="shared" si="52"/>
        <v>0</v>
      </c>
      <c r="R73" s="40">
        <f t="shared" si="53"/>
        <v>0</v>
      </c>
      <c r="S73" s="40">
        <f t="shared" si="54"/>
        <v>0</v>
      </c>
      <c r="T73" s="40">
        <f t="shared" si="55"/>
        <v>0</v>
      </c>
      <c r="U73" s="40">
        <f t="shared" si="56"/>
        <v>0</v>
      </c>
      <c r="V73" s="40">
        <f t="shared" si="57"/>
        <v>0</v>
      </c>
      <c r="W73" s="40">
        <f t="shared" si="58"/>
        <v>0</v>
      </c>
      <c r="X73" s="40">
        <f t="shared" si="59"/>
        <v>0</v>
      </c>
      <c r="Y73" s="40">
        <f t="shared" si="60"/>
        <v>103359.9</v>
      </c>
      <c r="Z73" s="40">
        <f t="shared" si="61"/>
        <v>157409</v>
      </c>
      <c r="AA73" s="40">
        <f t="shared" si="62"/>
        <v>135712</v>
      </c>
      <c r="AB73" s="40">
        <f t="shared" si="63"/>
        <v>136153</v>
      </c>
      <c r="AC73" s="37">
        <f>SUM(Table1[[#This Row],[Jan]:[Dec]])</f>
        <v>532633.9</v>
      </c>
      <c r="AD73" s="15">
        <f t="shared" si="72"/>
        <v>0</v>
      </c>
      <c r="AE73" s="15">
        <f t="shared" si="73"/>
        <v>0</v>
      </c>
      <c r="AF73" s="15">
        <f t="shared" si="74"/>
        <v>0</v>
      </c>
      <c r="AG73" s="15">
        <f t="shared" si="75"/>
        <v>0</v>
      </c>
      <c r="AH73" s="15">
        <f t="shared" si="76"/>
        <v>0</v>
      </c>
      <c r="AI73" s="15">
        <f t="shared" si="77"/>
        <v>0</v>
      </c>
      <c r="AJ73" s="15">
        <f t="shared" si="78"/>
        <v>0</v>
      </c>
      <c r="AK73" s="15">
        <f t="shared" si="79"/>
        <v>0</v>
      </c>
      <c r="AL73" s="15">
        <f t="shared" si="80"/>
        <v>2121.7303547622382</v>
      </c>
      <c r="AM73" s="15">
        <f t="shared" si="81"/>
        <v>3231.2284881541987</v>
      </c>
      <c r="AN73" s="15">
        <f t="shared" si="82"/>
        <v>2785.8412199072645</v>
      </c>
      <c r="AO73" s="15">
        <f t="shared" si="83"/>
        <v>2794.8938901057668</v>
      </c>
      <c r="AP73" s="10">
        <f t="shared" si="84"/>
        <v>0</v>
      </c>
      <c r="AQ73" s="10">
        <f t="shared" si="85"/>
        <v>0</v>
      </c>
      <c r="AR73" s="10">
        <f t="shared" si="86"/>
        <v>2121.7303547622382</v>
      </c>
      <c r="AS73" s="10">
        <f t="shared" si="87"/>
        <v>8811.9635981672291</v>
      </c>
      <c r="AT73" s="10" t="b">
        <f t="shared" si="88"/>
        <v>1</v>
      </c>
      <c r="AU73" s="10">
        <f t="shared" si="64"/>
        <v>5212.7644082352008</v>
      </c>
      <c r="AV73" s="10">
        <f t="shared" si="65"/>
        <v>0</v>
      </c>
      <c r="AW73" s="10">
        <f t="shared" si="66"/>
        <v>5720.929544694267</v>
      </c>
      <c r="AX73" s="10">
        <f t="shared" si="67"/>
        <v>0</v>
      </c>
      <c r="AY73" s="10">
        <f t="shared" si="89"/>
        <v>10933.693952929469</v>
      </c>
      <c r="AZ73" s="19">
        <f>IFERROR(IF($E73="REC",INDEX(A_Type_Volume!$B:$B,MATCH($D73,A_Type_Volume!$A:$A,0),1),IF($E73="VAM",INDEX(C_Type_Volume!$B:$B,MATCH($D73,C_Type_Volume!$A:$A,0),1),"X")),"")</f>
        <v>147970</v>
      </c>
      <c r="BA73" s="19">
        <f>IFERROR(IF($E73="REC",INDEX(A_Type_Volume!$C:$C,MATCH($D73,A_Type_Volume!$A:$A,0),1),IF($E73="VAM",INDEX(C_Type_Volume!$C:$C,MATCH($D73,C_Type_Volume!$A:$A,0),1),"X")),"")</f>
        <v>159143</v>
      </c>
      <c r="BB73" s="19">
        <f>IFERROR(IF($E73="REC",INDEX(A_Type_Volume!$D:$D,MATCH($D73,A_Type_Volume!$A:$A,0),1),IF($E73="VAM",INDEX(C_Type_Volume!$D:$D,MATCH($D73,C_Type_Volume!$A:$A,0),1),"X")),"")</f>
        <v>221536</v>
      </c>
      <c r="BC73" s="19">
        <f>IFERROR(IF($E73="REC",INDEX(A_Type_Volume!$E:$E,MATCH($D73,A_Type_Volume!$A:$A,0),1),IF($E73="VAM",INDEX(C_Type_Volume!$E:$E,MATCH($D73,C_Type_Volume!$A:$A,0),1),"X")),"")</f>
        <v>190075</v>
      </c>
      <c r="BD73" s="19">
        <f>IFERROR(IF($E73="REC",INDEX(A_Type_Volume!$F:$F,MATCH($D73,A_Type_Volume!$A:$A,0),1),IF($E73="VAM",INDEX(C_Type_Volume!$F:$F,MATCH($D73,C_Type_Volume!$A:$A,0),1),"X")),"")</f>
        <v>219389</v>
      </c>
      <c r="BE73" s="19">
        <f>IFERROR(IF($E73="REC",INDEX(A_Type_Volume!$G:$G,MATCH($D73,A_Type_Volume!$A:$A,0),1),IF($E73="VAM",INDEX(C_Type_Volume!$G:$G,MATCH($D73,C_Type_Volume!$A:$A,0),1),"X")),"")</f>
        <v>214847</v>
      </c>
      <c r="BF73" s="19">
        <f>IFERROR(IF($E73="REC",INDEX(A_Type_Volume!$H:$H,MATCH($D73,A_Type_Volume!$A:$A,0),1),IF($E73="VAM",INDEX(C_Type_Volume!$H:$H,MATCH($D73,C_Type_Volume!$A:$A,0),1),"X")),"")</f>
        <v>212750</v>
      </c>
      <c r="BG73" s="19">
        <f>IFERROR(IF($E73="REC",INDEX(A_Type_Volume!$I:$I,MATCH($D73,A_Type_Volume!$A:$A,0),1),IF($E73="VAM",INDEX(C_Type_Volume!$I:$I,MATCH($D73,C_Type_Volume!$A:$A,0),1),"X")),"")</f>
        <v>155658</v>
      </c>
      <c r="BH73" s="19">
        <f>IFERROR(IF($E73="REC",INDEX(A_Type_Volume!$J:$J,MATCH($D73,A_Type_Volume!$A:$A,0),1),IF($E73="VAM",INDEX(C_Type_Volume!$J:$J,MATCH($D73,C_Type_Volume!$A:$A,0),1),"X")),"")</f>
        <v>147657</v>
      </c>
      <c r="BI73" s="19">
        <f>IFERROR(IF($E73="REC",INDEX(A_Type_Volume!$K:$K,MATCH($D73,A_Type_Volume!$A:$A,0),1),IF($E73="VAM",INDEX(C_Type_Volume!$K:$K,MATCH($D73,C_Type_Volume!$A:$A,0),1),"X")),"")</f>
        <v>157409</v>
      </c>
      <c r="BJ73" s="19">
        <f>IFERROR(IF($E73="REC",INDEX(A_Type_Volume!$L:$L,MATCH($D73,A_Type_Volume!$A:$A,0),1),IF($E73="VAM",INDEX(C_Type_Volume!$L:$L,MATCH($D73,C_Type_Volume!$A:$A,0),1),"X")),"")</f>
        <v>135712</v>
      </c>
      <c r="BK73" s="19">
        <f>IFERROR(IF($E73="REC",INDEX(A_Type_Volume!M:M,MATCH($D73,A_Type_Volume!$A:$A,0),1),IF($E73="VAM",INDEX(C_Type_Volume!M:M,MATCH($D73,C_Type_Volume!$A:$A,0),1),"X")),"")</f>
        <v>136153</v>
      </c>
      <c r="BL73" s="38">
        <f>SUM(Table1[[#This Row],[Jan_AVF]:[Dec_AVF]])</f>
        <v>2098299</v>
      </c>
      <c r="BM73" s="16">
        <f t="shared" si="90"/>
        <v>3037.4685017513407</v>
      </c>
      <c r="BN73" s="16">
        <f t="shared" si="91"/>
        <v>3266.8233410435469</v>
      </c>
      <c r="BO73" s="16">
        <f t="shared" si="92"/>
        <v>4547.6016895585935</v>
      </c>
      <c r="BP73" s="16">
        <f t="shared" si="93"/>
        <v>3901.7829659416511</v>
      </c>
      <c r="BQ73" s="16">
        <f t="shared" si="94"/>
        <v>4503.5289391817587</v>
      </c>
      <c r="BR73" s="16">
        <f t="shared" si="95"/>
        <v>4410.2925944162353</v>
      </c>
      <c r="BS73" s="16">
        <f t="shared" si="96"/>
        <v>4367.246223880501</v>
      </c>
      <c r="BT73" s="16">
        <f t="shared" si="97"/>
        <v>3195.2846661188769</v>
      </c>
      <c r="BU73" s="16">
        <f t="shared" si="98"/>
        <v>3031.0433639460548</v>
      </c>
      <c r="BV73" s="16">
        <f t="shared" si="99"/>
        <v>3231.2284881541987</v>
      </c>
      <c r="BW73" s="16">
        <f t="shared" si="100"/>
        <v>2785.8412199072645</v>
      </c>
      <c r="BX73" s="16">
        <f t="shared" si="101"/>
        <v>2794.8938901057668</v>
      </c>
      <c r="BY73" s="10">
        <f t="shared" si="68"/>
        <v>10851.893532353482</v>
      </c>
      <c r="BZ73" s="10">
        <f t="shared" si="69"/>
        <v>12815.604499539644</v>
      </c>
      <c r="CA73" s="10">
        <f t="shared" si="70"/>
        <v>10593.574253945433</v>
      </c>
      <c r="CB73" s="10">
        <f t="shared" si="71"/>
        <v>8811.9635981672291</v>
      </c>
      <c r="CC73" s="10">
        <f>IFERROR(Table1[[#This Row],[Labor
Saving]]*Table1[[#This Row],[Annual Volume]],"")</f>
        <v>20535.565507632004</v>
      </c>
      <c r="CD73" s="10">
        <f>IFERROR(Table1[[#This Row],[Annual Volume]]*Table1[[#This Row],[Yield
Saving]],"")</f>
        <v>0</v>
      </c>
      <c r="CE73" s="10">
        <f>IFERROR(Table1[[#This Row],[Annual Volume]]*Table1[[#This Row],[Material
Saving]],"")</f>
        <v>22537.470376373782</v>
      </c>
      <c r="CF73" s="10">
        <f>IFERROR(Table1[[#This Row],[OH
Saving]]*Table1[[#This Row],[Annual Volume]],"")</f>
        <v>0</v>
      </c>
      <c r="CG73" s="10">
        <f>SUM(Table1[[#This Row],[Labor_ASV]:[OH_ASV]])</f>
        <v>43073.035884005789</v>
      </c>
    </row>
    <row r="74" spans="1:85" x14ac:dyDescent="0.3">
      <c r="A74" t="str">
        <f>Table1[[#This Row],[Project Name]]&amp;Table1[[#This Row],[Part Number]]</f>
        <v>Oven time time Reduction 25%R4</v>
      </c>
      <c r="B74" t="str">
        <f>IFERROR(Table1[[#This Row],[Project Number]]&amp;Table1[[#This Row],[Part Number]],"")</f>
        <v>AME25-044R4</v>
      </c>
      <c r="C74" s="22" t="s">
        <v>96</v>
      </c>
      <c r="D74" s="24" t="s">
        <v>242</v>
      </c>
      <c r="E74" s="25" t="s">
        <v>58</v>
      </c>
      <c r="F74" s="6">
        <f>INDEX(Proj_Reg!G:G,MATCH($C74,Proj_Reg!$B:$B,0),1)</f>
        <v>46296</v>
      </c>
      <c r="G74" s="6">
        <f>INDEX(Proj_Reg!H:H,MATCH($C74,Proj_Reg!$B:$B,0),1)</f>
        <v>46631</v>
      </c>
      <c r="H74" s="6" t="str">
        <f>IF(INDEX(Proj_Reg!C:C,MATCH($C74,Proj_Reg!$B:$B,0),1)=0,"",INDEX(Proj_Reg!C:C,MATCH($C74,Proj_Reg!$B:$B,0),1))</f>
        <v>Wafer Saw Dicing</v>
      </c>
      <c r="I74" s="6" t="str">
        <f>IF(INDEX(Proj_Reg!D:D,MATCH($C74,Proj_Reg!$B:$B,0),1)=0,"",INDEX(Proj_Reg!D:D,MATCH($C74,Proj_Reg!$B:$B,0),1))</f>
        <v>XCD</v>
      </c>
      <c r="J74" s="6" t="str">
        <f>INDEX(Proj_Reg!E:E,MATCH($C74,Proj_Reg!$B:$B,0),1)</f>
        <v>Oven time time Reduction 25%</v>
      </c>
      <c r="K74" s="21">
        <v>9.7867680000000012E-3</v>
      </c>
      <c r="L74" s="21">
        <v>0</v>
      </c>
      <c r="M74" s="21">
        <v>1.0740828822000002E-2</v>
      </c>
      <c r="N74" s="21">
        <v>0</v>
      </c>
      <c r="O74" s="11">
        <f>SUM(Table1[[#This Row],[Labor
Saving]:[OH
Saving]])</f>
        <v>2.0527596822000005E-2</v>
      </c>
      <c r="Q74" s="40">
        <f t="shared" si="52"/>
        <v>0</v>
      </c>
      <c r="R74" s="40">
        <f t="shared" si="53"/>
        <v>0</v>
      </c>
      <c r="S74" s="40">
        <f t="shared" si="54"/>
        <v>0</v>
      </c>
      <c r="T74" s="40">
        <f t="shared" si="55"/>
        <v>0</v>
      </c>
      <c r="U74" s="40">
        <f t="shared" si="56"/>
        <v>0</v>
      </c>
      <c r="V74" s="40">
        <f t="shared" si="57"/>
        <v>0</v>
      </c>
      <c r="W74" s="40">
        <f t="shared" si="58"/>
        <v>0</v>
      </c>
      <c r="X74" s="40">
        <f t="shared" si="59"/>
        <v>0</v>
      </c>
      <c r="Y74" s="40">
        <f t="shared" si="60"/>
        <v>0</v>
      </c>
      <c r="Z74" s="40">
        <f t="shared" si="61"/>
        <v>229264.5</v>
      </c>
      <c r="AA74" s="40">
        <f t="shared" si="62"/>
        <v>700065</v>
      </c>
      <c r="AB74" s="40">
        <f t="shared" si="63"/>
        <v>590192</v>
      </c>
      <c r="AC74" s="37">
        <f>SUM(Table1[[#This Row],[Jan]:[Dec]])</f>
        <v>1519521.5</v>
      </c>
      <c r="AD74" s="15">
        <f t="shared" si="72"/>
        <v>0</v>
      </c>
      <c r="AE74" s="15">
        <f t="shared" si="73"/>
        <v>0</v>
      </c>
      <c r="AF74" s="15">
        <f t="shared" si="74"/>
        <v>0</v>
      </c>
      <c r="AG74" s="15">
        <f t="shared" si="75"/>
        <v>0</v>
      </c>
      <c r="AH74" s="15">
        <f t="shared" si="76"/>
        <v>0</v>
      </c>
      <c r="AI74" s="15">
        <f t="shared" si="77"/>
        <v>0</v>
      </c>
      <c r="AJ74" s="15">
        <f t="shared" si="78"/>
        <v>0</v>
      </c>
      <c r="AK74" s="15">
        <f t="shared" si="79"/>
        <v>0</v>
      </c>
      <c r="AL74" s="15">
        <f t="shared" si="80"/>
        <v>0</v>
      </c>
      <c r="AM74" s="15">
        <f t="shared" si="81"/>
        <v>4706.2492215974198</v>
      </c>
      <c r="AN74" s="15">
        <f t="shared" si="82"/>
        <v>14370.652069193433</v>
      </c>
      <c r="AO74" s="15">
        <f t="shared" si="83"/>
        <v>12115.223423569827</v>
      </c>
      <c r="AP74" s="10">
        <f t="shared" si="84"/>
        <v>0</v>
      </c>
      <c r="AQ74" s="10">
        <f t="shared" si="85"/>
        <v>0</v>
      </c>
      <c r="AR74" s="10">
        <f t="shared" si="86"/>
        <v>0</v>
      </c>
      <c r="AS74" s="10">
        <f t="shared" si="87"/>
        <v>31192.124714360682</v>
      </c>
      <c r="AT74" s="10" t="b">
        <f t="shared" si="88"/>
        <v>1</v>
      </c>
      <c r="AU74" s="10">
        <f t="shared" si="64"/>
        <v>14871.204391512001</v>
      </c>
      <c r="AV74" s="10">
        <f t="shared" si="65"/>
        <v>0</v>
      </c>
      <c r="AW74" s="10">
        <f t="shared" si="66"/>
        <v>16320.920322848677</v>
      </c>
      <c r="AX74" s="10">
        <f t="shared" si="67"/>
        <v>0</v>
      </c>
      <c r="AY74" s="10">
        <f t="shared" si="89"/>
        <v>31192.124714360678</v>
      </c>
      <c r="AZ74" s="19">
        <f>IFERROR(IF($E74="REC",INDEX(A_Type_Volume!$B:$B,MATCH($D74,A_Type_Volume!$A:$A,0),1),IF($E74="VAM",INDEX(C_Type_Volume!$B:$B,MATCH($D74,C_Type_Volume!$A:$A,0),1),"X")),"")</f>
        <v>1434320</v>
      </c>
      <c r="BA74" s="19">
        <f>IFERROR(IF($E74="REC",INDEX(A_Type_Volume!$C:$C,MATCH($D74,A_Type_Volume!$A:$A,0),1),IF($E74="VAM",INDEX(C_Type_Volume!$C:$C,MATCH($D74,C_Type_Volume!$A:$A,0),1),"X")),"")</f>
        <v>1078022</v>
      </c>
      <c r="BB74" s="19">
        <f>IFERROR(IF($E74="REC",INDEX(A_Type_Volume!$D:$D,MATCH($D74,A_Type_Volume!$A:$A,0),1),IF($E74="VAM",INDEX(C_Type_Volume!$D:$D,MATCH($D74,C_Type_Volume!$A:$A,0),1),"X")),"")</f>
        <v>1099126</v>
      </c>
      <c r="BC74" s="19">
        <f>IFERROR(IF($E74="REC",INDEX(A_Type_Volume!$E:$E,MATCH($D74,A_Type_Volume!$A:$A,0),1),IF($E74="VAM",INDEX(C_Type_Volume!$E:$E,MATCH($D74,C_Type_Volume!$A:$A,0),1),"X")),"")</f>
        <v>997596</v>
      </c>
      <c r="BD74" s="19">
        <f>IFERROR(IF($E74="REC",INDEX(A_Type_Volume!$F:$F,MATCH($D74,A_Type_Volume!$A:$A,0),1),IF($E74="VAM",INDEX(C_Type_Volume!$F:$F,MATCH($D74,C_Type_Volume!$A:$A,0),1),"X")),"")</f>
        <v>1113643</v>
      </c>
      <c r="BE74" s="19">
        <f>IFERROR(IF($E74="REC",INDEX(A_Type_Volume!$G:$G,MATCH($D74,A_Type_Volume!$A:$A,0),1),IF($E74="VAM",INDEX(C_Type_Volume!$G:$G,MATCH($D74,C_Type_Volume!$A:$A,0),1),"X")),"")</f>
        <v>1116876</v>
      </c>
      <c r="BF74" s="19">
        <f>IFERROR(IF($E74="REC",INDEX(A_Type_Volume!$H:$H,MATCH($D74,A_Type_Volume!$A:$A,0),1),IF($E74="VAM",INDEX(C_Type_Volume!$H:$H,MATCH($D74,C_Type_Volume!$A:$A,0),1),"X")),"")</f>
        <v>1007838</v>
      </c>
      <c r="BG74" s="19">
        <f>IFERROR(IF($E74="REC",INDEX(A_Type_Volume!$I:$I,MATCH($D74,A_Type_Volume!$A:$A,0),1),IF($E74="VAM",INDEX(C_Type_Volume!$I:$I,MATCH($D74,C_Type_Volume!$A:$A,0),1),"X")),"")</f>
        <v>687710</v>
      </c>
      <c r="BH74" s="19">
        <f>IFERROR(IF($E74="REC",INDEX(A_Type_Volume!$J:$J,MATCH($D74,A_Type_Volume!$A:$A,0),1),IF($E74="VAM",INDEX(C_Type_Volume!$J:$J,MATCH($D74,C_Type_Volume!$A:$A,0),1),"X")),"")</f>
        <v>954350</v>
      </c>
      <c r="BI74" s="19">
        <f>IFERROR(IF($E74="REC",INDEX(A_Type_Volume!$K:$K,MATCH($D74,A_Type_Volume!$A:$A,0),1),IF($E74="VAM",INDEX(C_Type_Volume!$K:$K,MATCH($D74,C_Type_Volume!$A:$A,0),1),"X")),"")</f>
        <v>764215</v>
      </c>
      <c r="BJ74" s="19">
        <f>IFERROR(IF($E74="REC",INDEX(A_Type_Volume!$L:$L,MATCH($D74,A_Type_Volume!$A:$A,0),1),IF($E74="VAM",INDEX(C_Type_Volume!$L:$L,MATCH($D74,C_Type_Volume!$A:$A,0),1),"X")),"")</f>
        <v>700065</v>
      </c>
      <c r="BK74" s="19">
        <f>IFERROR(IF($E74="REC",INDEX(A_Type_Volume!M:M,MATCH($D74,A_Type_Volume!$A:$A,0),1),IF($E74="VAM",INDEX(C_Type_Volume!M:M,MATCH($D74,C_Type_Volume!$A:$A,0),1),"X")),"")</f>
        <v>590192</v>
      </c>
      <c r="BL74" s="38">
        <f>SUM(Table1[[#This Row],[Jan_AVF]:[Dec_AVF]])</f>
        <v>11543953</v>
      </c>
      <c r="BM74" s="16">
        <f t="shared" si="90"/>
        <v>29443.142673731047</v>
      </c>
      <c r="BN74" s="16">
        <f t="shared" si="91"/>
        <v>22129.200981246089</v>
      </c>
      <c r="BO74" s="16">
        <f t="shared" si="92"/>
        <v>22562.415384577576</v>
      </c>
      <c r="BP74" s="16">
        <f t="shared" si="93"/>
        <v>20478.248479239915</v>
      </c>
      <c r="BQ74" s="16">
        <f t="shared" si="94"/>
        <v>22860.414507642552</v>
      </c>
      <c r="BR74" s="16">
        <f t="shared" si="95"/>
        <v>22926.780228168078</v>
      </c>
      <c r="BS74" s="16">
        <f t="shared" si="96"/>
        <v>20688.49212589084</v>
      </c>
      <c r="BT74" s="16">
        <f t="shared" si="97"/>
        <v>14117.033610457624</v>
      </c>
      <c r="BU74" s="16">
        <f t="shared" si="98"/>
        <v>19590.512027075703</v>
      </c>
      <c r="BV74" s="16">
        <f t="shared" si="99"/>
        <v>15687.497405324733</v>
      </c>
      <c r="BW74" s="16">
        <f t="shared" si="100"/>
        <v>14370.652069193433</v>
      </c>
      <c r="BX74" s="16">
        <f t="shared" si="101"/>
        <v>12115.223423569827</v>
      </c>
      <c r="BY74" s="10">
        <f t="shared" si="68"/>
        <v>74134.759039554716</v>
      </c>
      <c r="BZ74" s="10">
        <f t="shared" si="69"/>
        <v>66265.443215050545</v>
      </c>
      <c r="CA74" s="10">
        <f t="shared" si="70"/>
        <v>54396.037763424167</v>
      </c>
      <c r="CB74" s="10">
        <f t="shared" si="71"/>
        <v>42173.372898087997</v>
      </c>
      <c r="CC74" s="10">
        <f>IFERROR(Table1[[#This Row],[Labor
Saving]]*Table1[[#This Row],[Annual Volume]],"")</f>
        <v>112977.98981390402</v>
      </c>
      <c r="CD74" s="10">
        <f>IFERROR(Table1[[#This Row],[Annual Volume]]*Table1[[#This Row],[Yield
Saving]],"")</f>
        <v>0</v>
      </c>
      <c r="CE74" s="10">
        <f>IFERROR(Table1[[#This Row],[Annual Volume]]*Table1[[#This Row],[Material
Saving]],"")</f>
        <v>123991.62310221339</v>
      </c>
      <c r="CF74" s="10">
        <f>IFERROR(Table1[[#This Row],[OH
Saving]]*Table1[[#This Row],[Annual Volume]],"")</f>
        <v>0</v>
      </c>
      <c r="CG74" s="10">
        <f>SUM(Table1[[#This Row],[Labor_ASV]:[OH_ASV]])</f>
        <v>236969.61291611742</v>
      </c>
    </row>
    <row r="75" spans="1:85" x14ac:dyDescent="0.3">
      <c r="A75" t="str">
        <f>Table1[[#This Row],[Project Name]]&amp;Table1[[#This Row],[Part Number]]</f>
        <v>Oven time time Reduction 25%R5</v>
      </c>
      <c r="B75" t="str">
        <f>IFERROR(Table1[[#This Row],[Project Number]]&amp;Table1[[#This Row],[Part Number]],"")</f>
        <v>AME25-044R5</v>
      </c>
      <c r="C75" s="22" t="s">
        <v>96</v>
      </c>
      <c r="D75" s="24" t="s">
        <v>243</v>
      </c>
      <c r="E75" s="25" t="s">
        <v>58</v>
      </c>
      <c r="F75" s="6">
        <f>INDEX(Proj_Reg!G:G,MATCH($C75,Proj_Reg!$B:$B,0),1)</f>
        <v>46296</v>
      </c>
      <c r="G75" s="6">
        <f>INDEX(Proj_Reg!H:H,MATCH($C75,Proj_Reg!$B:$B,0),1)</f>
        <v>46631</v>
      </c>
      <c r="H75" s="6" t="str">
        <f>IF(INDEX(Proj_Reg!C:C,MATCH($C75,Proj_Reg!$B:$B,0),1)=0,"",INDEX(Proj_Reg!C:C,MATCH($C75,Proj_Reg!$B:$B,0),1))</f>
        <v>Wafer Saw Dicing</v>
      </c>
      <c r="I75" s="6" t="str">
        <f>IF(INDEX(Proj_Reg!D:D,MATCH($C75,Proj_Reg!$B:$B,0),1)=0,"",INDEX(Proj_Reg!D:D,MATCH($C75,Proj_Reg!$B:$B,0),1))</f>
        <v>XCD</v>
      </c>
      <c r="J75" s="6" t="str">
        <f>INDEX(Proj_Reg!E:E,MATCH($C75,Proj_Reg!$B:$B,0),1)</f>
        <v>Oven time time Reduction 25%</v>
      </c>
      <c r="K75" s="21">
        <v>9.7867680000000012E-3</v>
      </c>
      <c r="L75" s="21">
        <v>0</v>
      </c>
      <c r="M75" s="21">
        <v>1.0740828822000002E-2</v>
      </c>
      <c r="N75" s="21">
        <v>0</v>
      </c>
      <c r="O75" s="11">
        <f>SUM(Table1[[#This Row],[Labor
Saving]:[OH
Saving]])</f>
        <v>2.0527596822000005E-2</v>
      </c>
      <c r="Q75" s="40">
        <f t="shared" si="52"/>
        <v>0</v>
      </c>
      <c r="R75" s="40">
        <f t="shared" si="53"/>
        <v>0</v>
      </c>
      <c r="S75" s="40">
        <f t="shared" si="54"/>
        <v>0</v>
      </c>
      <c r="T75" s="40">
        <f t="shared" si="55"/>
        <v>0</v>
      </c>
      <c r="U75" s="40">
        <f t="shared" si="56"/>
        <v>0</v>
      </c>
      <c r="V75" s="40">
        <f t="shared" si="57"/>
        <v>0</v>
      </c>
      <c r="W75" s="40">
        <f t="shared" si="58"/>
        <v>0</v>
      </c>
      <c r="X75" s="40">
        <f t="shared" si="59"/>
        <v>0</v>
      </c>
      <c r="Y75" s="40">
        <f t="shared" si="60"/>
        <v>0</v>
      </c>
      <c r="Z75" s="40">
        <f t="shared" si="61"/>
        <v>229264.5</v>
      </c>
      <c r="AA75" s="40">
        <f t="shared" si="62"/>
        <v>700065</v>
      </c>
      <c r="AB75" s="40">
        <f t="shared" si="63"/>
        <v>590192</v>
      </c>
      <c r="AC75" s="37">
        <f>SUM(Table1[[#This Row],[Jan]:[Dec]])</f>
        <v>1519521.5</v>
      </c>
      <c r="AD75" s="15">
        <f t="shared" si="72"/>
        <v>0</v>
      </c>
      <c r="AE75" s="15">
        <f t="shared" si="73"/>
        <v>0</v>
      </c>
      <c r="AF75" s="15">
        <f t="shared" si="74"/>
        <v>0</v>
      </c>
      <c r="AG75" s="15">
        <f t="shared" si="75"/>
        <v>0</v>
      </c>
      <c r="AH75" s="15">
        <f t="shared" si="76"/>
        <v>0</v>
      </c>
      <c r="AI75" s="15">
        <f t="shared" si="77"/>
        <v>0</v>
      </c>
      <c r="AJ75" s="15">
        <f t="shared" si="78"/>
        <v>0</v>
      </c>
      <c r="AK75" s="15">
        <f t="shared" si="79"/>
        <v>0</v>
      </c>
      <c r="AL75" s="15">
        <f t="shared" si="80"/>
        <v>0</v>
      </c>
      <c r="AM75" s="15">
        <f t="shared" si="81"/>
        <v>4706.2492215974198</v>
      </c>
      <c r="AN75" s="15">
        <f t="shared" si="82"/>
        <v>14370.652069193433</v>
      </c>
      <c r="AO75" s="15">
        <f t="shared" si="83"/>
        <v>12115.223423569827</v>
      </c>
      <c r="AP75" s="10">
        <f t="shared" si="84"/>
        <v>0</v>
      </c>
      <c r="AQ75" s="10">
        <f t="shared" si="85"/>
        <v>0</v>
      </c>
      <c r="AR75" s="10">
        <f t="shared" si="86"/>
        <v>0</v>
      </c>
      <c r="AS75" s="10">
        <f t="shared" si="87"/>
        <v>31192.124714360682</v>
      </c>
      <c r="AT75" s="10" t="b">
        <f t="shared" si="88"/>
        <v>1</v>
      </c>
      <c r="AU75" s="10">
        <f t="shared" si="64"/>
        <v>14871.204391512001</v>
      </c>
      <c r="AV75" s="10">
        <f t="shared" si="65"/>
        <v>0</v>
      </c>
      <c r="AW75" s="10">
        <f t="shared" si="66"/>
        <v>16320.920322848677</v>
      </c>
      <c r="AX75" s="10">
        <f t="shared" si="67"/>
        <v>0</v>
      </c>
      <c r="AY75" s="10">
        <f t="shared" si="89"/>
        <v>31192.124714360678</v>
      </c>
      <c r="AZ75" s="19">
        <f>IFERROR(IF($E75="REC",INDEX(A_Type_Volume!$B:$B,MATCH($D75,A_Type_Volume!$A:$A,0),1),IF($E75="VAM",INDEX(C_Type_Volume!$B:$B,MATCH($D75,C_Type_Volume!$A:$A,0),1),"X")),"")</f>
        <v>1434320</v>
      </c>
      <c r="BA75" s="19">
        <f>IFERROR(IF($E75="REC",INDEX(A_Type_Volume!$C:$C,MATCH($D75,A_Type_Volume!$A:$A,0),1),IF($E75="VAM",INDEX(C_Type_Volume!$C:$C,MATCH($D75,C_Type_Volume!$A:$A,0),1),"X")),"")</f>
        <v>1078022</v>
      </c>
      <c r="BB75" s="19">
        <f>IFERROR(IF($E75="REC",INDEX(A_Type_Volume!$D:$D,MATCH($D75,A_Type_Volume!$A:$A,0),1),IF($E75="VAM",INDEX(C_Type_Volume!$D:$D,MATCH($D75,C_Type_Volume!$A:$A,0),1),"X")),"")</f>
        <v>1099126</v>
      </c>
      <c r="BC75" s="19">
        <f>IFERROR(IF($E75="REC",INDEX(A_Type_Volume!$E:$E,MATCH($D75,A_Type_Volume!$A:$A,0),1),IF($E75="VAM",INDEX(C_Type_Volume!$E:$E,MATCH($D75,C_Type_Volume!$A:$A,0),1),"X")),"")</f>
        <v>997596</v>
      </c>
      <c r="BD75" s="19">
        <f>IFERROR(IF($E75="REC",INDEX(A_Type_Volume!$F:$F,MATCH($D75,A_Type_Volume!$A:$A,0),1),IF($E75="VAM",INDEX(C_Type_Volume!$F:$F,MATCH($D75,C_Type_Volume!$A:$A,0),1),"X")),"")</f>
        <v>1113643</v>
      </c>
      <c r="BE75" s="19">
        <f>IFERROR(IF($E75="REC",INDEX(A_Type_Volume!$G:$G,MATCH($D75,A_Type_Volume!$A:$A,0),1),IF($E75="VAM",INDEX(C_Type_Volume!$G:$G,MATCH($D75,C_Type_Volume!$A:$A,0),1),"X")),"")</f>
        <v>1116876</v>
      </c>
      <c r="BF75" s="19">
        <f>IFERROR(IF($E75="REC",INDEX(A_Type_Volume!$H:$H,MATCH($D75,A_Type_Volume!$A:$A,0),1),IF($E75="VAM",INDEX(C_Type_Volume!$H:$H,MATCH($D75,C_Type_Volume!$A:$A,0),1),"X")),"")</f>
        <v>1007838</v>
      </c>
      <c r="BG75" s="19">
        <f>IFERROR(IF($E75="REC",INDEX(A_Type_Volume!$I:$I,MATCH($D75,A_Type_Volume!$A:$A,0),1),IF($E75="VAM",INDEX(C_Type_Volume!$I:$I,MATCH($D75,C_Type_Volume!$A:$A,0),1),"X")),"")</f>
        <v>687710</v>
      </c>
      <c r="BH75" s="19">
        <f>IFERROR(IF($E75="REC",INDEX(A_Type_Volume!$J:$J,MATCH($D75,A_Type_Volume!$A:$A,0),1),IF($E75="VAM",INDEX(C_Type_Volume!$J:$J,MATCH($D75,C_Type_Volume!$A:$A,0),1),"X")),"")</f>
        <v>954350</v>
      </c>
      <c r="BI75" s="19">
        <f>IFERROR(IF($E75="REC",INDEX(A_Type_Volume!$K:$K,MATCH($D75,A_Type_Volume!$A:$A,0),1),IF($E75="VAM",INDEX(C_Type_Volume!$K:$K,MATCH($D75,C_Type_Volume!$A:$A,0),1),"X")),"")</f>
        <v>764215</v>
      </c>
      <c r="BJ75" s="19">
        <f>IFERROR(IF($E75="REC",INDEX(A_Type_Volume!$L:$L,MATCH($D75,A_Type_Volume!$A:$A,0),1),IF($E75="VAM",INDEX(C_Type_Volume!$L:$L,MATCH($D75,C_Type_Volume!$A:$A,0),1),"X")),"")</f>
        <v>700065</v>
      </c>
      <c r="BK75" s="19">
        <f>IFERROR(IF($E75="REC",INDEX(A_Type_Volume!M:M,MATCH($D75,A_Type_Volume!$A:$A,0),1),IF($E75="VAM",INDEX(C_Type_Volume!M:M,MATCH($D75,C_Type_Volume!$A:$A,0),1),"X")),"")</f>
        <v>590192</v>
      </c>
      <c r="BL75" s="38">
        <f>SUM(Table1[[#This Row],[Jan_AVF]:[Dec_AVF]])</f>
        <v>11543953</v>
      </c>
      <c r="BM75" s="16">
        <f t="shared" si="90"/>
        <v>29443.142673731047</v>
      </c>
      <c r="BN75" s="16">
        <f t="shared" si="91"/>
        <v>22129.200981246089</v>
      </c>
      <c r="BO75" s="16">
        <f t="shared" si="92"/>
        <v>22562.415384577576</v>
      </c>
      <c r="BP75" s="16">
        <f t="shared" si="93"/>
        <v>20478.248479239915</v>
      </c>
      <c r="BQ75" s="16">
        <f t="shared" si="94"/>
        <v>22860.414507642552</v>
      </c>
      <c r="BR75" s="16">
        <f t="shared" si="95"/>
        <v>22926.780228168078</v>
      </c>
      <c r="BS75" s="16">
        <f t="shared" si="96"/>
        <v>20688.49212589084</v>
      </c>
      <c r="BT75" s="16">
        <f t="shared" si="97"/>
        <v>14117.033610457624</v>
      </c>
      <c r="BU75" s="16">
        <f t="shared" si="98"/>
        <v>19590.512027075703</v>
      </c>
      <c r="BV75" s="16">
        <f t="shared" si="99"/>
        <v>15687.497405324733</v>
      </c>
      <c r="BW75" s="16">
        <f t="shared" si="100"/>
        <v>14370.652069193433</v>
      </c>
      <c r="BX75" s="16">
        <f t="shared" si="101"/>
        <v>12115.223423569827</v>
      </c>
      <c r="BY75" s="10">
        <f t="shared" si="68"/>
        <v>74134.759039554716</v>
      </c>
      <c r="BZ75" s="10">
        <f t="shared" si="69"/>
        <v>66265.443215050545</v>
      </c>
      <c r="CA75" s="10">
        <f t="shared" si="70"/>
        <v>54396.037763424167</v>
      </c>
      <c r="CB75" s="10">
        <f t="shared" si="71"/>
        <v>42173.372898087997</v>
      </c>
      <c r="CC75" s="10">
        <f>IFERROR(Table1[[#This Row],[Labor
Saving]]*Table1[[#This Row],[Annual Volume]],"")</f>
        <v>112977.98981390402</v>
      </c>
      <c r="CD75" s="10">
        <f>IFERROR(Table1[[#This Row],[Annual Volume]]*Table1[[#This Row],[Yield
Saving]],"")</f>
        <v>0</v>
      </c>
      <c r="CE75" s="10">
        <f>IFERROR(Table1[[#This Row],[Annual Volume]]*Table1[[#This Row],[Material
Saving]],"")</f>
        <v>123991.62310221339</v>
      </c>
      <c r="CF75" s="10">
        <f>IFERROR(Table1[[#This Row],[OH
Saving]]*Table1[[#This Row],[Annual Volume]],"")</f>
        <v>0</v>
      </c>
      <c r="CG75" s="10">
        <f>SUM(Table1[[#This Row],[Labor_ASV]:[OH_ASV]])</f>
        <v>236969.61291611742</v>
      </c>
    </row>
    <row r="76" spans="1:85" x14ac:dyDescent="0.3">
      <c r="A76" t="str">
        <f>Table1[[#This Row],[Project Name]]&amp;Table1[[#This Row],[Part Number]]</f>
        <v>Tape Dicing 7R14</v>
      </c>
      <c r="B76" t="str">
        <f>IFERROR(Table1[[#This Row],[Project Number]]&amp;Table1[[#This Row],[Part Number]],"")</f>
        <v>AME25-094R14</v>
      </c>
      <c r="C76" s="22" t="s">
        <v>141</v>
      </c>
      <c r="D76" s="24" t="s">
        <v>252</v>
      </c>
      <c r="E76" s="25" t="s">
        <v>58</v>
      </c>
      <c r="F76" s="6">
        <f>INDEX(Proj_Reg!G:G,MATCH($C76,Proj_Reg!$B:$B,0),1)</f>
        <v>46388</v>
      </c>
      <c r="G76" s="6">
        <f>INDEX(Proj_Reg!H:H,MATCH($C76,Proj_Reg!$B:$B,0),1)</f>
        <v>46722</v>
      </c>
      <c r="H76" s="6" t="str">
        <f>IF(INDEX(Proj_Reg!C:C,MATCH($C76,Proj_Reg!$B:$B,0),1)=0,"",INDEX(Proj_Reg!C:C,MATCH($C76,Proj_Reg!$B:$B,0),1))</f>
        <v>Wafer Saw Dicing</v>
      </c>
      <c r="I76" s="6" t="str">
        <f>IF(INDEX(Proj_Reg!D:D,MATCH($C76,Proj_Reg!$B:$B,0),1)=0,"",INDEX(Proj_Reg!D:D,MATCH($C76,Proj_Reg!$B:$B,0),1))</f>
        <v>XCD</v>
      </c>
      <c r="J76" s="6" t="str">
        <f>INDEX(Proj_Reg!E:E,MATCH($C76,Proj_Reg!$B:$B,0),1)</f>
        <v>Tape Dicing 7</v>
      </c>
      <c r="K76" s="21">
        <v>9.7867680000000012E-3</v>
      </c>
      <c r="L76" s="21">
        <v>0</v>
      </c>
      <c r="M76" s="21">
        <v>1.0740828822000002E-2</v>
      </c>
      <c r="N76" s="21">
        <v>0</v>
      </c>
      <c r="O76" s="11">
        <f>SUM(Table1[[#This Row],[Labor
Saving]:[OH
Saving]])</f>
        <v>2.0527596822000005E-2</v>
      </c>
      <c r="Q76" s="40">
        <f t="shared" si="52"/>
        <v>0</v>
      </c>
      <c r="R76" s="40">
        <f t="shared" si="53"/>
        <v>0</v>
      </c>
      <c r="S76" s="40">
        <f t="shared" si="54"/>
        <v>0</v>
      </c>
      <c r="T76" s="40">
        <f t="shared" si="55"/>
        <v>0</v>
      </c>
      <c r="U76" s="40">
        <f t="shared" si="56"/>
        <v>0</v>
      </c>
      <c r="V76" s="40">
        <f t="shared" si="57"/>
        <v>0</v>
      </c>
      <c r="W76" s="40">
        <f t="shared" si="58"/>
        <v>0</v>
      </c>
      <c r="X76" s="40">
        <f t="shared" si="59"/>
        <v>0</v>
      </c>
      <c r="Y76" s="40">
        <f t="shared" si="60"/>
        <v>0</v>
      </c>
      <c r="Z76" s="40">
        <f t="shared" si="61"/>
        <v>0</v>
      </c>
      <c r="AA76" s="40">
        <f t="shared" si="62"/>
        <v>0</v>
      </c>
      <c r="AB76" s="40">
        <f t="shared" si="63"/>
        <v>0</v>
      </c>
      <c r="AC76" s="37">
        <f>SUM(Table1[[#This Row],[Jan]:[Dec]])</f>
        <v>0</v>
      </c>
      <c r="AD76" s="15">
        <f t="shared" si="72"/>
        <v>0</v>
      </c>
      <c r="AE76" s="15">
        <f t="shared" si="73"/>
        <v>0</v>
      </c>
      <c r="AF76" s="15">
        <f t="shared" si="74"/>
        <v>0</v>
      </c>
      <c r="AG76" s="15">
        <f t="shared" si="75"/>
        <v>0</v>
      </c>
      <c r="AH76" s="15">
        <f t="shared" si="76"/>
        <v>0</v>
      </c>
      <c r="AI76" s="15">
        <f t="shared" si="77"/>
        <v>0</v>
      </c>
      <c r="AJ76" s="15">
        <f t="shared" si="78"/>
        <v>0</v>
      </c>
      <c r="AK76" s="15">
        <f t="shared" si="79"/>
        <v>0</v>
      </c>
      <c r="AL76" s="15">
        <f t="shared" si="80"/>
        <v>0</v>
      </c>
      <c r="AM76" s="15">
        <f t="shared" si="81"/>
        <v>0</v>
      </c>
      <c r="AN76" s="15">
        <f t="shared" si="82"/>
        <v>0</v>
      </c>
      <c r="AO76" s="15">
        <f t="shared" si="83"/>
        <v>0</v>
      </c>
      <c r="AP76" s="10">
        <f t="shared" si="84"/>
        <v>0</v>
      </c>
      <c r="AQ76" s="10">
        <f t="shared" si="85"/>
        <v>0</v>
      </c>
      <c r="AR76" s="10">
        <f t="shared" si="86"/>
        <v>0</v>
      </c>
      <c r="AS76" s="10">
        <f t="shared" si="87"/>
        <v>0</v>
      </c>
      <c r="AT76" s="10" t="b">
        <f t="shared" si="88"/>
        <v>1</v>
      </c>
      <c r="AU76" s="10">
        <f t="shared" si="64"/>
        <v>0</v>
      </c>
      <c r="AV76" s="10">
        <f t="shared" si="65"/>
        <v>0</v>
      </c>
      <c r="AW76" s="10">
        <f t="shared" si="66"/>
        <v>0</v>
      </c>
      <c r="AX76" s="10">
        <f t="shared" si="67"/>
        <v>0</v>
      </c>
      <c r="AY76" s="10">
        <f t="shared" si="89"/>
        <v>0</v>
      </c>
      <c r="AZ76" s="19">
        <f>IFERROR(IF($E76="REC",INDEX(A_Type_Volume!$B:$B,MATCH($D76,A_Type_Volume!$A:$A,0),1),IF($E76="VAM",INDEX(C_Type_Volume!$B:$B,MATCH($D76,C_Type_Volume!$A:$A,0),1),"X")),"")</f>
        <v>185134</v>
      </c>
      <c r="BA76" s="19">
        <f>IFERROR(IF($E76="REC",INDEX(A_Type_Volume!$C:$C,MATCH($D76,A_Type_Volume!$A:$A,0),1),IF($E76="VAM",INDEX(C_Type_Volume!$C:$C,MATCH($D76,C_Type_Volume!$A:$A,0),1),"X")),"")</f>
        <v>230396</v>
      </c>
      <c r="BB76" s="19">
        <f>IFERROR(IF($E76="REC",INDEX(A_Type_Volume!$D:$D,MATCH($D76,A_Type_Volume!$A:$A,0),1),IF($E76="VAM",INDEX(C_Type_Volume!$D:$D,MATCH($D76,C_Type_Volume!$A:$A,0),1),"X")),"")</f>
        <v>268501</v>
      </c>
      <c r="BC76" s="19">
        <f>IFERROR(IF($E76="REC",INDEX(A_Type_Volume!$E:$E,MATCH($D76,A_Type_Volume!$A:$A,0),1),IF($E76="VAM",INDEX(C_Type_Volume!$E:$E,MATCH($D76,C_Type_Volume!$A:$A,0),1),"X")),"")</f>
        <v>222965</v>
      </c>
      <c r="BD76" s="19">
        <f>IFERROR(IF($E76="REC",INDEX(A_Type_Volume!$F:$F,MATCH($D76,A_Type_Volume!$A:$A,0),1),IF($E76="VAM",INDEX(C_Type_Volume!$F:$F,MATCH($D76,C_Type_Volume!$A:$A,0),1),"X")),"")</f>
        <v>269413</v>
      </c>
      <c r="BE76" s="19">
        <f>IFERROR(IF($E76="REC",INDEX(A_Type_Volume!$G:$G,MATCH($D76,A_Type_Volume!$A:$A,0),1),IF($E76="VAM",INDEX(C_Type_Volume!$G:$G,MATCH($D76,C_Type_Volume!$A:$A,0),1),"X")),"")</f>
        <v>263175</v>
      </c>
      <c r="BF76" s="19">
        <f>IFERROR(IF($E76="REC",INDEX(A_Type_Volume!$H:$H,MATCH($D76,A_Type_Volume!$A:$A,0),1),IF($E76="VAM",INDEX(C_Type_Volume!$H:$H,MATCH($D76,C_Type_Volume!$A:$A,0),1),"X")),"")</f>
        <v>263859</v>
      </c>
      <c r="BG76" s="19">
        <f>IFERROR(IF($E76="REC",INDEX(A_Type_Volume!$I:$I,MATCH($D76,A_Type_Volume!$A:$A,0),1),IF($E76="VAM",INDEX(C_Type_Volume!$I:$I,MATCH($D76,C_Type_Volume!$A:$A,0),1),"X")),"")</f>
        <v>193052</v>
      </c>
      <c r="BH76" s="19">
        <f>IFERROR(IF($E76="REC",INDEX(A_Type_Volume!$J:$J,MATCH($D76,A_Type_Volume!$A:$A,0),1),IF($E76="VAM",INDEX(C_Type_Volume!$J:$J,MATCH($D76,C_Type_Volume!$A:$A,0),1),"X")),"")</f>
        <v>179257</v>
      </c>
      <c r="BI76" s="19">
        <f>IFERROR(IF($E76="REC",INDEX(A_Type_Volume!$K:$K,MATCH($D76,A_Type_Volume!$A:$A,0),1),IF($E76="VAM",INDEX(C_Type_Volume!$K:$K,MATCH($D76,C_Type_Volume!$A:$A,0),1),"X")),"")</f>
        <v>198248</v>
      </c>
      <c r="BJ76" s="19">
        <f>IFERROR(IF($E76="REC",INDEX(A_Type_Volume!$L:$L,MATCH($D76,A_Type_Volume!$A:$A,0),1),IF($E76="VAM",INDEX(C_Type_Volume!$L:$L,MATCH($D76,C_Type_Volume!$A:$A,0),1),"X")),"")</f>
        <v>170922</v>
      </c>
      <c r="BK76" s="19">
        <f>IFERROR(IF($E76="REC",INDEX(A_Type_Volume!M:M,MATCH($D76,A_Type_Volume!$A:$A,0),1),IF($E76="VAM",INDEX(C_Type_Volume!M:M,MATCH($D76,C_Type_Volume!$A:$A,0),1),"X")),"")</f>
        <v>171478</v>
      </c>
      <c r="BL76" s="38">
        <f>SUM(Table1[[#This Row],[Jan_AVF]:[Dec_AVF]])</f>
        <v>2616400</v>
      </c>
      <c r="BM76" s="16">
        <f t="shared" si="90"/>
        <v>3800.3561100441489</v>
      </c>
      <c r="BN76" s="16">
        <f t="shared" si="91"/>
        <v>4729.4761974015128</v>
      </c>
      <c r="BO76" s="16">
        <f t="shared" si="92"/>
        <v>5511.6802743038234</v>
      </c>
      <c r="BP76" s="16">
        <f t="shared" si="93"/>
        <v>4576.9356254172308</v>
      </c>
      <c r="BQ76" s="16">
        <f t="shared" si="94"/>
        <v>5530.4014426054873</v>
      </c>
      <c r="BR76" s="16">
        <f t="shared" si="95"/>
        <v>5402.350293629851</v>
      </c>
      <c r="BS76" s="16">
        <f t="shared" si="96"/>
        <v>5416.3911698560996</v>
      </c>
      <c r="BT76" s="16">
        <f t="shared" si="97"/>
        <v>3962.8936216807451</v>
      </c>
      <c r="BU76" s="16">
        <f t="shared" si="98"/>
        <v>3679.7154235212547</v>
      </c>
      <c r="BV76" s="16">
        <f t="shared" si="99"/>
        <v>4069.5550147678568</v>
      </c>
      <c r="BW76" s="16">
        <f t="shared" si="100"/>
        <v>3508.617904009885</v>
      </c>
      <c r="BX76" s="16">
        <f t="shared" si="101"/>
        <v>3520.0312478429169</v>
      </c>
      <c r="BY76" s="10">
        <f t="shared" si="68"/>
        <v>14041.512581749485</v>
      </c>
      <c r="BZ76" s="10">
        <f t="shared" si="69"/>
        <v>15509.68736165257</v>
      </c>
      <c r="CA76" s="10">
        <f t="shared" si="70"/>
        <v>13059.000215058099</v>
      </c>
      <c r="CB76" s="10">
        <f t="shared" si="71"/>
        <v>11098.204166620659</v>
      </c>
      <c r="CC76" s="10">
        <f>IFERROR(Table1[[#This Row],[Labor
Saving]]*Table1[[#This Row],[Annual Volume]],"")</f>
        <v>25606.099795200003</v>
      </c>
      <c r="CD76" s="10">
        <f>IFERROR(Table1[[#This Row],[Annual Volume]]*Table1[[#This Row],[Yield
Saving]],"")</f>
        <v>0</v>
      </c>
      <c r="CE76" s="10">
        <f>IFERROR(Table1[[#This Row],[Annual Volume]]*Table1[[#This Row],[Material
Saving]],"")</f>
        <v>28102.304529880807</v>
      </c>
      <c r="CF76" s="10">
        <f>IFERROR(Table1[[#This Row],[OH
Saving]]*Table1[[#This Row],[Annual Volume]],"")</f>
        <v>0</v>
      </c>
      <c r="CG76" s="10">
        <f>SUM(Table1[[#This Row],[Labor_ASV]:[OH_ASV]])</f>
        <v>53708.40432508081</v>
      </c>
    </row>
    <row r="77" spans="1:85" x14ac:dyDescent="0.3">
      <c r="A77" t="str">
        <f>Table1[[#This Row],[Project Name]]&amp;Table1[[#This Row],[Part Number]]</f>
        <v>Tape Dicing 7R13</v>
      </c>
      <c r="B77" t="str">
        <f>IFERROR(Table1[[#This Row],[Project Number]]&amp;Table1[[#This Row],[Part Number]],"")</f>
        <v>AME25-094R13</v>
      </c>
      <c r="C77" s="22" t="s">
        <v>141</v>
      </c>
      <c r="D77" s="24" t="s">
        <v>251</v>
      </c>
      <c r="E77" s="25" t="s">
        <v>58</v>
      </c>
      <c r="F77" s="6">
        <f>INDEX(Proj_Reg!G:G,MATCH($C77,Proj_Reg!$B:$B,0),1)</f>
        <v>46388</v>
      </c>
      <c r="G77" s="6">
        <f>INDEX(Proj_Reg!H:H,MATCH($C77,Proj_Reg!$B:$B,0),1)</f>
        <v>46722</v>
      </c>
      <c r="H77" s="6" t="str">
        <f>IF(INDEX(Proj_Reg!C:C,MATCH($C77,Proj_Reg!$B:$B,0),1)=0,"",INDEX(Proj_Reg!C:C,MATCH($C77,Proj_Reg!$B:$B,0),1))</f>
        <v>Wafer Saw Dicing</v>
      </c>
      <c r="I77" s="6" t="str">
        <f>IF(INDEX(Proj_Reg!D:D,MATCH($C77,Proj_Reg!$B:$B,0),1)=0,"",INDEX(Proj_Reg!D:D,MATCH($C77,Proj_Reg!$B:$B,0),1))</f>
        <v>XCD</v>
      </c>
      <c r="J77" s="6" t="str">
        <f>INDEX(Proj_Reg!E:E,MATCH($C77,Proj_Reg!$B:$B,0),1)</f>
        <v>Tape Dicing 7</v>
      </c>
      <c r="K77" s="21">
        <v>5.1515176470588253E-3</v>
      </c>
      <c r="L77" s="21">
        <v>0</v>
      </c>
      <c r="M77" s="21">
        <v>1.0740828822000002E-2</v>
      </c>
      <c r="N77" s="21">
        <v>0</v>
      </c>
      <c r="O77" s="11">
        <f>SUM(Table1[[#This Row],[Labor
Saving]:[OH
Saving]])</f>
        <v>1.5892346469058828E-2</v>
      </c>
      <c r="Q77" s="40">
        <f t="shared" si="52"/>
        <v>0</v>
      </c>
      <c r="R77" s="40">
        <f t="shared" si="53"/>
        <v>0</v>
      </c>
      <c r="S77" s="40">
        <f t="shared" si="54"/>
        <v>0</v>
      </c>
      <c r="T77" s="40">
        <f t="shared" si="55"/>
        <v>0</v>
      </c>
      <c r="U77" s="40">
        <f t="shared" si="56"/>
        <v>0</v>
      </c>
      <c r="V77" s="40">
        <f t="shared" si="57"/>
        <v>0</v>
      </c>
      <c r="W77" s="40">
        <f t="shared" si="58"/>
        <v>0</v>
      </c>
      <c r="X77" s="40">
        <f t="shared" si="59"/>
        <v>0</v>
      </c>
      <c r="Y77" s="40">
        <f t="shared" si="60"/>
        <v>0</v>
      </c>
      <c r="Z77" s="40">
        <f t="shared" si="61"/>
        <v>0</v>
      </c>
      <c r="AA77" s="40">
        <f t="shared" si="62"/>
        <v>0</v>
      </c>
      <c r="AB77" s="40">
        <f t="shared" si="63"/>
        <v>0</v>
      </c>
      <c r="AC77" s="37">
        <f>SUM(Table1[[#This Row],[Jan]:[Dec]])</f>
        <v>0</v>
      </c>
      <c r="AD77" s="15">
        <f t="shared" si="72"/>
        <v>0</v>
      </c>
      <c r="AE77" s="15">
        <f t="shared" si="73"/>
        <v>0</v>
      </c>
      <c r="AF77" s="15">
        <f t="shared" si="74"/>
        <v>0</v>
      </c>
      <c r="AG77" s="15">
        <f t="shared" si="75"/>
        <v>0</v>
      </c>
      <c r="AH77" s="15">
        <f t="shared" si="76"/>
        <v>0</v>
      </c>
      <c r="AI77" s="15">
        <f t="shared" si="77"/>
        <v>0</v>
      </c>
      <c r="AJ77" s="15">
        <f t="shared" si="78"/>
        <v>0</v>
      </c>
      <c r="AK77" s="15">
        <f t="shared" si="79"/>
        <v>0</v>
      </c>
      <c r="AL77" s="15">
        <f t="shared" si="80"/>
        <v>0</v>
      </c>
      <c r="AM77" s="15">
        <f t="shared" si="81"/>
        <v>0</v>
      </c>
      <c r="AN77" s="15">
        <f t="shared" si="82"/>
        <v>0</v>
      </c>
      <c r="AO77" s="15">
        <f t="shared" si="83"/>
        <v>0</v>
      </c>
      <c r="AP77" s="10">
        <f t="shared" si="84"/>
        <v>0</v>
      </c>
      <c r="AQ77" s="10">
        <f t="shared" si="85"/>
        <v>0</v>
      </c>
      <c r="AR77" s="10">
        <f t="shared" si="86"/>
        <v>0</v>
      </c>
      <c r="AS77" s="10">
        <f t="shared" si="87"/>
        <v>0</v>
      </c>
      <c r="AT77" s="10" t="b">
        <f t="shared" si="88"/>
        <v>1</v>
      </c>
      <c r="AU77" s="10">
        <f t="shared" si="64"/>
        <v>0</v>
      </c>
      <c r="AV77" s="10">
        <f t="shared" si="65"/>
        <v>0</v>
      </c>
      <c r="AW77" s="10">
        <f t="shared" si="66"/>
        <v>0</v>
      </c>
      <c r="AX77" s="10">
        <f t="shared" si="67"/>
        <v>0</v>
      </c>
      <c r="AY77" s="10">
        <f t="shared" si="89"/>
        <v>0</v>
      </c>
      <c r="AZ77" s="19">
        <f>IFERROR(IF($E77="REC",INDEX(A_Type_Volume!$B:$B,MATCH($D77,A_Type_Volume!$A:$A,0),1),IF($E77="VAM",INDEX(C_Type_Volume!$B:$B,MATCH($D77,C_Type_Volume!$A:$A,0),1),"X")),"")</f>
        <v>185134</v>
      </c>
      <c r="BA77" s="19">
        <f>IFERROR(IF($E77="REC",INDEX(A_Type_Volume!$C:$C,MATCH($D77,A_Type_Volume!$A:$A,0),1),IF($E77="VAM",INDEX(C_Type_Volume!$C:$C,MATCH($D77,C_Type_Volume!$A:$A,0),1),"X")),"")</f>
        <v>230396</v>
      </c>
      <c r="BB77" s="19">
        <f>IFERROR(IF($E77="REC",INDEX(A_Type_Volume!$D:$D,MATCH($D77,A_Type_Volume!$A:$A,0),1),IF($E77="VAM",INDEX(C_Type_Volume!$D:$D,MATCH($D77,C_Type_Volume!$A:$A,0),1),"X")),"")</f>
        <v>268501</v>
      </c>
      <c r="BC77" s="19">
        <f>IFERROR(IF($E77="REC",INDEX(A_Type_Volume!$E:$E,MATCH($D77,A_Type_Volume!$A:$A,0),1),IF($E77="VAM",INDEX(C_Type_Volume!$E:$E,MATCH($D77,C_Type_Volume!$A:$A,0),1),"X")),"")</f>
        <v>222965</v>
      </c>
      <c r="BD77" s="19">
        <f>IFERROR(IF($E77="REC",INDEX(A_Type_Volume!$F:$F,MATCH($D77,A_Type_Volume!$A:$A,0),1),IF($E77="VAM",INDEX(C_Type_Volume!$F:$F,MATCH($D77,C_Type_Volume!$A:$A,0),1),"X")),"")</f>
        <v>269413</v>
      </c>
      <c r="BE77" s="19">
        <f>IFERROR(IF($E77="REC",INDEX(A_Type_Volume!$G:$G,MATCH($D77,A_Type_Volume!$A:$A,0),1),IF($E77="VAM",INDEX(C_Type_Volume!$G:$G,MATCH($D77,C_Type_Volume!$A:$A,0),1),"X")),"")</f>
        <v>263175</v>
      </c>
      <c r="BF77" s="19">
        <f>IFERROR(IF($E77="REC",INDEX(A_Type_Volume!$H:$H,MATCH($D77,A_Type_Volume!$A:$A,0),1),IF($E77="VAM",INDEX(C_Type_Volume!$H:$H,MATCH($D77,C_Type_Volume!$A:$A,0),1),"X")),"")</f>
        <v>263859</v>
      </c>
      <c r="BG77" s="19">
        <f>IFERROR(IF($E77="REC",INDEX(A_Type_Volume!$I:$I,MATCH($D77,A_Type_Volume!$A:$A,0),1),IF($E77="VAM",INDEX(C_Type_Volume!$I:$I,MATCH($D77,C_Type_Volume!$A:$A,0),1),"X")),"")</f>
        <v>193052</v>
      </c>
      <c r="BH77" s="19">
        <f>IFERROR(IF($E77="REC",INDEX(A_Type_Volume!$J:$J,MATCH($D77,A_Type_Volume!$A:$A,0),1),IF($E77="VAM",INDEX(C_Type_Volume!$J:$J,MATCH($D77,C_Type_Volume!$A:$A,0),1),"X")),"")</f>
        <v>179257</v>
      </c>
      <c r="BI77" s="19">
        <f>IFERROR(IF($E77="REC",INDEX(A_Type_Volume!$K:$K,MATCH($D77,A_Type_Volume!$A:$A,0),1),IF($E77="VAM",INDEX(C_Type_Volume!$K:$K,MATCH($D77,C_Type_Volume!$A:$A,0),1),"X")),"")</f>
        <v>198248</v>
      </c>
      <c r="BJ77" s="19">
        <f>IFERROR(IF($E77="REC",INDEX(A_Type_Volume!$L:$L,MATCH($D77,A_Type_Volume!$A:$A,0),1),IF($E77="VAM",INDEX(C_Type_Volume!$L:$L,MATCH($D77,C_Type_Volume!$A:$A,0),1),"X")),"")</f>
        <v>170922</v>
      </c>
      <c r="BK77" s="19">
        <f>IFERROR(IF($E77="REC",INDEX(A_Type_Volume!M:M,MATCH($D77,A_Type_Volume!$A:$A,0),1),IF($E77="VAM",INDEX(C_Type_Volume!M:M,MATCH($D77,C_Type_Volume!$A:$A,0),1),"X")),"")</f>
        <v>171478</v>
      </c>
      <c r="BL77" s="38">
        <f>SUM(Table1[[#This Row],[Jan_AVF]:[Dec_AVF]])</f>
        <v>2616400</v>
      </c>
      <c r="BM77" s="16">
        <f t="shared" si="90"/>
        <v>2942.2136712027373</v>
      </c>
      <c r="BN77" s="16">
        <f t="shared" si="91"/>
        <v>3661.533057085278</v>
      </c>
      <c r="BO77" s="16">
        <f t="shared" si="92"/>
        <v>4267.1109192887643</v>
      </c>
      <c r="BP77" s="16">
        <f t="shared" si="93"/>
        <v>3543.4370304737017</v>
      </c>
      <c r="BQ77" s="16">
        <f t="shared" si="94"/>
        <v>4281.6047392685459</v>
      </c>
      <c r="BR77" s="16">
        <f t="shared" si="95"/>
        <v>4182.4682819945574</v>
      </c>
      <c r="BS77" s="16">
        <f t="shared" si="96"/>
        <v>4193.3386469793932</v>
      </c>
      <c r="BT77" s="16">
        <f t="shared" si="97"/>
        <v>3068.049270544745</v>
      </c>
      <c r="BU77" s="16">
        <f t="shared" si="98"/>
        <v>2848.8143510040782</v>
      </c>
      <c r="BV77" s="16">
        <f t="shared" si="99"/>
        <v>3150.6259027979745</v>
      </c>
      <c r="BW77" s="16">
        <f t="shared" si="100"/>
        <v>2716.3516431844732</v>
      </c>
      <c r="BX77" s="16">
        <f t="shared" si="101"/>
        <v>2725.1877878212699</v>
      </c>
      <c r="BY77" s="10">
        <f t="shared" si="68"/>
        <v>10870.85764757678</v>
      </c>
      <c r="BZ77" s="10">
        <f t="shared" si="69"/>
        <v>12007.510051736805</v>
      </c>
      <c r="CA77" s="10">
        <f t="shared" si="70"/>
        <v>10110.202268528217</v>
      </c>
      <c r="CB77" s="10">
        <f t="shared" si="71"/>
        <v>8592.1653338037177</v>
      </c>
      <c r="CC77" s="10">
        <f>IFERROR(Table1[[#This Row],[Labor
Saving]]*Table1[[#This Row],[Annual Volume]],"")</f>
        <v>13478.43077176471</v>
      </c>
      <c r="CD77" s="10">
        <f>IFERROR(Table1[[#This Row],[Annual Volume]]*Table1[[#This Row],[Yield
Saving]],"")</f>
        <v>0</v>
      </c>
      <c r="CE77" s="10">
        <f>IFERROR(Table1[[#This Row],[Annual Volume]]*Table1[[#This Row],[Material
Saving]],"")</f>
        <v>28102.304529880807</v>
      </c>
      <c r="CF77" s="10">
        <f>IFERROR(Table1[[#This Row],[OH
Saving]]*Table1[[#This Row],[Annual Volume]],"")</f>
        <v>0</v>
      </c>
      <c r="CG77" s="10">
        <f>SUM(Table1[[#This Row],[Labor_ASV]:[OH_ASV]])</f>
        <v>41580.735301645516</v>
      </c>
    </row>
    <row r="78" spans="1:85" x14ac:dyDescent="0.3">
      <c r="A78" t="str">
        <f>Table1[[#This Row],[Project Name]]&amp;Table1[[#This Row],[Part Number]]</f>
        <v>Oven time time Reduction 50%R55</v>
      </c>
      <c r="B78" t="str">
        <f>IFERROR(Table1[[#This Row],[Project Number]]&amp;Table1[[#This Row],[Part Number]],"")</f>
        <v>AME25-045R55</v>
      </c>
      <c r="C78" s="22" t="s">
        <v>97</v>
      </c>
      <c r="D78" s="24" t="s">
        <v>293</v>
      </c>
      <c r="E78" s="25" t="s">
        <v>58</v>
      </c>
      <c r="F78" s="6">
        <f>INDEX(Proj_Reg!G:G,MATCH($C78,Proj_Reg!$B:$B,0),1)</f>
        <v>46327</v>
      </c>
      <c r="G78" s="6">
        <f>INDEX(Proj_Reg!H:H,MATCH($C78,Proj_Reg!$B:$B,0),1)</f>
        <v>46661</v>
      </c>
      <c r="H78" s="6" t="str">
        <f>IF(INDEX(Proj_Reg!C:C,MATCH($C78,Proj_Reg!$B:$B,0),1)=0,"",INDEX(Proj_Reg!C:C,MATCH($C78,Proj_Reg!$B:$B,0),1))</f>
        <v>Wafer Saw Dicing</v>
      </c>
      <c r="I78" s="6" t="str">
        <f>IF(INDEX(Proj_Reg!D:D,MATCH($C78,Proj_Reg!$B:$B,0),1)=0,"",INDEX(Proj_Reg!D:D,MATCH($C78,Proj_Reg!$B:$B,0),1))</f>
        <v>XCD</v>
      </c>
      <c r="J78" s="6" t="str">
        <f>INDEX(Proj_Reg!E:E,MATCH($C78,Proj_Reg!$B:$B,0),1)</f>
        <v>Oven time time Reduction 50%</v>
      </c>
      <c r="K78" s="21">
        <v>5.1515176470588253E-3</v>
      </c>
      <c r="L78" s="21">
        <v>0</v>
      </c>
      <c r="M78" s="21">
        <v>1.0740828822000002E-2</v>
      </c>
      <c r="N78" s="21">
        <v>0</v>
      </c>
      <c r="O78" s="11">
        <f>SUM(Table1[[#This Row],[Labor
Saving]:[OH
Saving]])</f>
        <v>1.5892346469058828E-2</v>
      </c>
      <c r="Q78" s="40">
        <f t="shared" si="52"/>
        <v>0</v>
      </c>
      <c r="R78" s="40">
        <f t="shared" si="53"/>
        <v>0</v>
      </c>
      <c r="S78" s="40">
        <f t="shared" si="54"/>
        <v>0</v>
      </c>
      <c r="T78" s="40">
        <f t="shared" si="55"/>
        <v>0</v>
      </c>
      <c r="U78" s="40">
        <f t="shared" si="56"/>
        <v>0</v>
      </c>
      <c r="V78" s="40">
        <f t="shared" si="57"/>
        <v>0</v>
      </c>
      <c r="W78" s="40">
        <f t="shared" si="58"/>
        <v>0</v>
      </c>
      <c r="X78" s="40">
        <f t="shared" si="59"/>
        <v>0</v>
      </c>
      <c r="Y78" s="40">
        <f t="shared" si="60"/>
        <v>0</v>
      </c>
      <c r="Z78" s="40">
        <f t="shared" si="61"/>
        <v>0</v>
      </c>
      <c r="AA78" s="40">
        <f t="shared" si="62"/>
        <v>87805.5</v>
      </c>
      <c r="AB78" s="40">
        <f t="shared" si="63"/>
        <v>293636</v>
      </c>
      <c r="AC78" s="37">
        <f>SUM(Table1[[#This Row],[Jan]:[Dec]])</f>
        <v>381441.5</v>
      </c>
      <c r="AD78" s="15">
        <f t="shared" si="72"/>
        <v>0</v>
      </c>
      <c r="AE78" s="15">
        <f t="shared" si="73"/>
        <v>0</v>
      </c>
      <c r="AF78" s="15">
        <f t="shared" si="74"/>
        <v>0</v>
      </c>
      <c r="AG78" s="15">
        <f t="shared" si="75"/>
        <v>0</v>
      </c>
      <c r="AH78" s="15">
        <f t="shared" si="76"/>
        <v>0</v>
      </c>
      <c r="AI78" s="15">
        <f t="shared" si="77"/>
        <v>0</v>
      </c>
      <c r="AJ78" s="15">
        <f t="shared" si="78"/>
        <v>0</v>
      </c>
      <c r="AK78" s="15">
        <f t="shared" si="79"/>
        <v>0</v>
      </c>
      <c r="AL78" s="15">
        <f t="shared" si="80"/>
        <v>0</v>
      </c>
      <c r="AM78" s="15">
        <f t="shared" si="81"/>
        <v>0</v>
      </c>
      <c r="AN78" s="15">
        <f t="shared" si="82"/>
        <v>1395.435427888945</v>
      </c>
      <c r="AO78" s="15">
        <f t="shared" si="83"/>
        <v>4666.5650477885583</v>
      </c>
      <c r="AP78" s="10">
        <f t="shared" si="84"/>
        <v>0</v>
      </c>
      <c r="AQ78" s="10">
        <f t="shared" si="85"/>
        <v>0</v>
      </c>
      <c r="AR78" s="10">
        <f t="shared" si="86"/>
        <v>0</v>
      </c>
      <c r="AS78" s="10">
        <f t="shared" si="87"/>
        <v>6062.0004756775033</v>
      </c>
      <c r="AT78" s="10" t="b">
        <f t="shared" si="88"/>
        <v>1</v>
      </c>
      <c r="AU78" s="10">
        <f t="shared" si="64"/>
        <v>1965.002618570589</v>
      </c>
      <c r="AV78" s="10">
        <f t="shared" si="65"/>
        <v>0</v>
      </c>
      <c r="AW78" s="10">
        <f t="shared" si="66"/>
        <v>4096.9978571069141</v>
      </c>
      <c r="AX78" s="10">
        <f t="shared" si="67"/>
        <v>0</v>
      </c>
      <c r="AY78" s="10">
        <f t="shared" si="89"/>
        <v>6062.0004756775033</v>
      </c>
      <c r="AZ78" s="19">
        <f>IFERROR(IF($E78="REC",INDEX(A_Type_Volume!$B:$B,MATCH($D78,A_Type_Volume!$A:$A,0),1),IF($E78="VAM",INDEX(C_Type_Volume!$B:$B,MATCH($D78,C_Type_Volume!$A:$A,0),1),"X")),"")</f>
        <v>335575</v>
      </c>
      <c r="BA78" s="19">
        <f>IFERROR(IF($E78="REC",INDEX(A_Type_Volume!$C:$C,MATCH($D78,A_Type_Volume!$A:$A,0),1),IF($E78="VAM",INDEX(C_Type_Volume!$C:$C,MATCH($D78,C_Type_Volume!$A:$A,0),1),"X")),"")</f>
        <v>337974</v>
      </c>
      <c r="BB78" s="19">
        <f>IFERROR(IF($E78="REC",INDEX(A_Type_Volume!$D:$D,MATCH($D78,A_Type_Volume!$A:$A,0),1),IF($E78="VAM",INDEX(C_Type_Volume!$D:$D,MATCH($D78,C_Type_Volume!$A:$A,0),1),"X")),"")</f>
        <v>430223</v>
      </c>
      <c r="BC78" s="19">
        <f>IFERROR(IF($E78="REC",INDEX(A_Type_Volume!$E:$E,MATCH($D78,A_Type_Volume!$A:$A,0),1),IF($E78="VAM",INDEX(C_Type_Volume!$E:$E,MATCH($D78,C_Type_Volume!$A:$A,0),1),"X")),"")</f>
        <v>350908</v>
      </c>
      <c r="BD78" s="19">
        <f>IFERROR(IF($E78="REC",INDEX(A_Type_Volume!$F:$F,MATCH($D78,A_Type_Volume!$A:$A,0),1),IF($E78="VAM",INDEX(C_Type_Volume!$F:$F,MATCH($D78,C_Type_Volume!$A:$A,0),1),"X")),"")</f>
        <v>405026</v>
      </c>
      <c r="BE78" s="19">
        <f>IFERROR(IF($E78="REC",INDEX(A_Type_Volume!$G:$G,MATCH($D78,A_Type_Volume!$A:$A,0),1),IF($E78="VAM",INDEX(C_Type_Volume!$G:$G,MATCH($D78,C_Type_Volume!$A:$A,0),1),"X")),"")</f>
        <v>396641</v>
      </c>
      <c r="BF78" s="19">
        <f>IFERROR(IF($E78="REC",INDEX(A_Type_Volume!$H:$H,MATCH($D78,A_Type_Volume!$A:$A,0),1),IF($E78="VAM",INDEX(C_Type_Volume!$H:$H,MATCH($D78,C_Type_Volume!$A:$A,0),1),"X")),"")</f>
        <v>346573</v>
      </c>
      <c r="BG78" s="19">
        <f>IFERROR(IF($E78="REC",INDEX(A_Type_Volume!$I:$I,MATCH($D78,A_Type_Volume!$A:$A,0),1),IF($E78="VAM",INDEX(C_Type_Volume!$I:$I,MATCH($D78,C_Type_Volume!$A:$A,0),1),"X")),"")</f>
        <v>253570</v>
      </c>
      <c r="BH78" s="19">
        <f>IFERROR(IF($E78="REC",INDEX(A_Type_Volume!$J:$J,MATCH($D78,A_Type_Volume!$A:$A,0),1),IF($E78="VAM",INDEX(C_Type_Volume!$J:$J,MATCH($D78,C_Type_Volume!$A:$A,0),1),"X")),"")</f>
        <v>240535</v>
      </c>
      <c r="BI78" s="19">
        <f>IFERROR(IF($E78="REC",INDEX(A_Type_Volume!$K:$K,MATCH($D78,A_Type_Volume!$A:$A,0),1),IF($E78="VAM",INDEX(C_Type_Volume!$K:$K,MATCH($D78,C_Type_Volume!$A:$A,0),1),"X")),"")</f>
        <v>339478</v>
      </c>
      <c r="BJ78" s="19">
        <f>IFERROR(IF($E78="REC",INDEX(A_Type_Volume!$L:$L,MATCH($D78,A_Type_Volume!$A:$A,0),1),IF($E78="VAM",INDEX(C_Type_Volume!$L:$L,MATCH($D78,C_Type_Volume!$A:$A,0),1),"X")),"")</f>
        <v>292685</v>
      </c>
      <c r="BK78" s="19">
        <f>IFERROR(IF($E78="REC",INDEX(A_Type_Volume!M:M,MATCH($D78,A_Type_Volume!$A:$A,0),1),IF($E78="VAM",INDEX(C_Type_Volume!M:M,MATCH($D78,C_Type_Volume!$A:$A,0),1),"X")),"")</f>
        <v>293636</v>
      </c>
      <c r="BL78" s="38">
        <f>SUM(Table1[[#This Row],[Jan_AVF]:[Dec_AVF]])</f>
        <v>4022824</v>
      </c>
      <c r="BM78" s="16">
        <f t="shared" si="90"/>
        <v>5333.0741663544159</v>
      </c>
      <c r="BN78" s="16">
        <f t="shared" si="91"/>
        <v>5371.1999055336883</v>
      </c>
      <c r="BO78" s="16">
        <f t="shared" si="92"/>
        <v>6837.2529749578962</v>
      </c>
      <c r="BP78" s="16">
        <f t="shared" si="93"/>
        <v>5576.7515147644954</v>
      </c>
      <c r="BQ78" s="16">
        <f t="shared" si="94"/>
        <v>6436.8135209770207</v>
      </c>
      <c r="BR78" s="16">
        <f t="shared" si="95"/>
        <v>6303.5561958339631</v>
      </c>
      <c r="BS78" s="16">
        <f t="shared" si="96"/>
        <v>5507.8581928211252</v>
      </c>
      <c r="BT78" s="16">
        <f t="shared" si="97"/>
        <v>4029.8222941592471</v>
      </c>
      <c r="BU78" s="16">
        <f t="shared" si="98"/>
        <v>3822.6655579350654</v>
      </c>
      <c r="BV78" s="16">
        <f t="shared" si="99"/>
        <v>5395.1019946231527</v>
      </c>
      <c r="BW78" s="16">
        <f t="shared" si="100"/>
        <v>4651.4514262964831</v>
      </c>
      <c r="BX78" s="16">
        <f t="shared" si="101"/>
        <v>4666.5650477885583</v>
      </c>
      <c r="BY78" s="10">
        <f t="shared" si="68"/>
        <v>17541.527046846</v>
      </c>
      <c r="BZ78" s="10">
        <f t="shared" si="69"/>
        <v>18317.121231575478</v>
      </c>
      <c r="CA78" s="10">
        <f t="shared" si="70"/>
        <v>13360.346044915437</v>
      </c>
      <c r="CB78" s="10">
        <f t="shared" si="71"/>
        <v>14713.118468708195</v>
      </c>
      <c r="CC78" s="10">
        <f>IFERROR(Table1[[#This Row],[Labor
Saving]]*Table1[[#This Row],[Annual Volume]],"")</f>
        <v>20723.648827011773</v>
      </c>
      <c r="CD78" s="10">
        <f>IFERROR(Table1[[#This Row],[Annual Volume]]*Table1[[#This Row],[Yield
Saving]],"")</f>
        <v>0</v>
      </c>
      <c r="CE78" s="10">
        <f>IFERROR(Table1[[#This Row],[Annual Volume]]*Table1[[#This Row],[Material
Saving]],"")</f>
        <v>43208.463965033334</v>
      </c>
      <c r="CF78" s="10">
        <f>IFERROR(Table1[[#This Row],[OH
Saving]]*Table1[[#This Row],[Annual Volume]],"")</f>
        <v>0</v>
      </c>
      <c r="CG78" s="10">
        <f>SUM(Table1[[#This Row],[Labor_ASV]:[OH_ASV]])</f>
        <v>63932.112792045111</v>
      </c>
    </row>
    <row r="79" spans="1:85" x14ac:dyDescent="0.3">
      <c r="A79" t="str">
        <f>Table1[[#This Row],[Project Name]]&amp;Table1[[#This Row],[Part Number]]</f>
        <v>Oven time time Reduction 50%R56</v>
      </c>
      <c r="B79" t="str">
        <f>IFERROR(Table1[[#This Row],[Project Number]]&amp;Table1[[#This Row],[Part Number]],"")</f>
        <v>AME25-045R56</v>
      </c>
      <c r="C79" s="22" t="s">
        <v>97</v>
      </c>
      <c r="D79" s="24" t="s">
        <v>294</v>
      </c>
      <c r="E79" s="25" t="s">
        <v>58</v>
      </c>
      <c r="F79" s="6">
        <f>INDEX(Proj_Reg!G:G,MATCH($C79,Proj_Reg!$B:$B,0),1)</f>
        <v>46327</v>
      </c>
      <c r="G79" s="6">
        <f>INDEX(Proj_Reg!H:H,MATCH($C79,Proj_Reg!$B:$B,0),1)</f>
        <v>46661</v>
      </c>
      <c r="H79" s="6" t="str">
        <f>IF(INDEX(Proj_Reg!C:C,MATCH($C79,Proj_Reg!$B:$B,0),1)=0,"",INDEX(Proj_Reg!C:C,MATCH($C79,Proj_Reg!$B:$B,0),1))</f>
        <v>Wafer Saw Dicing</v>
      </c>
      <c r="I79" s="6" t="str">
        <f>IF(INDEX(Proj_Reg!D:D,MATCH($C79,Proj_Reg!$B:$B,0),1)=0,"",INDEX(Proj_Reg!D:D,MATCH($C79,Proj_Reg!$B:$B,0),1))</f>
        <v>XCD</v>
      </c>
      <c r="J79" s="6" t="str">
        <f>INDEX(Proj_Reg!E:E,MATCH($C79,Proj_Reg!$B:$B,0),1)</f>
        <v>Oven time time Reduction 50%</v>
      </c>
      <c r="K79" s="21">
        <v>9.7867680000000012E-3</v>
      </c>
      <c r="L79" s="21">
        <v>0</v>
      </c>
      <c r="M79" s="21">
        <v>1.0740828822000002E-2</v>
      </c>
      <c r="N79" s="21">
        <v>0</v>
      </c>
      <c r="O79" s="11">
        <f>SUM(Table1[[#This Row],[Labor
Saving]:[OH
Saving]])</f>
        <v>2.0527596822000005E-2</v>
      </c>
      <c r="Q79" s="40">
        <f t="shared" si="52"/>
        <v>0</v>
      </c>
      <c r="R79" s="40">
        <f t="shared" si="53"/>
        <v>0</v>
      </c>
      <c r="S79" s="40">
        <f t="shared" si="54"/>
        <v>0</v>
      </c>
      <c r="T79" s="40">
        <f t="shared" si="55"/>
        <v>0</v>
      </c>
      <c r="U79" s="40">
        <f t="shared" si="56"/>
        <v>0</v>
      </c>
      <c r="V79" s="40">
        <f t="shared" si="57"/>
        <v>0</v>
      </c>
      <c r="W79" s="40">
        <f t="shared" si="58"/>
        <v>0</v>
      </c>
      <c r="X79" s="40">
        <f t="shared" si="59"/>
        <v>0</v>
      </c>
      <c r="Y79" s="40">
        <f t="shared" si="60"/>
        <v>0</v>
      </c>
      <c r="Z79" s="40">
        <f t="shared" si="61"/>
        <v>0</v>
      </c>
      <c r="AA79" s="40">
        <f t="shared" si="62"/>
        <v>87805.5</v>
      </c>
      <c r="AB79" s="40">
        <f t="shared" si="63"/>
        <v>293636</v>
      </c>
      <c r="AC79" s="37">
        <f>SUM(Table1[[#This Row],[Jan]:[Dec]])</f>
        <v>381441.5</v>
      </c>
      <c r="AD79" s="15">
        <f t="shared" si="72"/>
        <v>0</v>
      </c>
      <c r="AE79" s="15">
        <f t="shared" si="73"/>
        <v>0</v>
      </c>
      <c r="AF79" s="15">
        <f t="shared" si="74"/>
        <v>0</v>
      </c>
      <c r="AG79" s="15">
        <f t="shared" si="75"/>
        <v>0</v>
      </c>
      <c r="AH79" s="15">
        <f t="shared" si="76"/>
        <v>0</v>
      </c>
      <c r="AI79" s="15">
        <f t="shared" si="77"/>
        <v>0</v>
      </c>
      <c r="AJ79" s="15">
        <f t="shared" si="78"/>
        <v>0</v>
      </c>
      <c r="AK79" s="15">
        <f t="shared" si="79"/>
        <v>0</v>
      </c>
      <c r="AL79" s="15">
        <f t="shared" si="80"/>
        <v>0</v>
      </c>
      <c r="AM79" s="15">
        <f t="shared" si="81"/>
        <v>0</v>
      </c>
      <c r="AN79" s="15">
        <f t="shared" si="82"/>
        <v>1802.4359027541213</v>
      </c>
      <c r="AO79" s="15">
        <f t="shared" si="83"/>
        <v>6027.6414204247931</v>
      </c>
      <c r="AP79" s="10">
        <f t="shared" si="84"/>
        <v>0</v>
      </c>
      <c r="AQ79" s="10">
        <f t="shared" si="85"/>
        <v>0</v>
      </c>
      <c r="AR79" s="10">
        <f t="shared" si="86"/>
        <v>0</v>
      </c>
      <c r="AS79" s="10">
        <f t="shared" si="87"/>
        <v>7830.0773231789144</v>
      </c>
      <c r="AT79" s="10" t="b">
        <f t="shared" si="88"/>
        <v>1</v>
      </c>
      <c r="AU79" s="10">
        <f t="shared" si="64"/>
        <v>3733.0794660720003</v>
      </c>
      <c r="AV79" s="10">
        <f t="shared" si="65"/>
        <v>0</v>
      </c>
      <c r="AW79" s="10">
        <f t="shared" si="66"/>
        <v>4096.9978571069141</v>
      </c>
      <c r="AX79" s="10">
        <f t="shared" si="67"/>
        <v>0</v>
      </c>
      <c r="AY79" s="10">
        <f t="shared" si="89"/>
        <v>7830.0773231789144</v>
      </c>
      <c r="AZ79" s="19">
        <f>IFERROR(IF($E79="REC",INDEX(A_Type_Volume!$B:$B,MATCH($D79,A_Type_Volume!$A:$A,0),1),IF($E79="VAM",INDEX(C_Type_Volume!$B:$B,MATCH($D79,C_Type_Volume!$A:$A,0),1),"X")),"")</f>
        <v>335575</v>
      </c>
      <c r="BA79" s="19">
        <f>IFERROR(IF($E79="REC",INDEX(A_Type_Volume!$C:$C,MATCH($D79,A_Type_Volume!$A:$A,0),1),IF($E79="VAM",INDEX(C_Type_Volume!$C:$C,MATCH($D79,C_Type_Volume!$A:$A,0),1),"X")),"")</f>
        <v>337974</v>
      </c>
      <c r="BB79" s="19">
        <f>IFERROR(IF($E79="REC",INDEX(A_Type_Volume!$D:$D,MATCH($D79,A_Type_Volume!$A:$A,0),1),IF($E79="VAM",INDEX(C_Type_Volume!$D:$D,MATCH($D79,C_Type_Volume!$A:$A,0),1),"X")),"")</f>
        <v>430223</v>
      </c>
      <c r="BC79" s="19">
        <f>IFERROR(IF($E79="REC",INDEX(A_Type_Volume!$E:$E,MATCH($D79,A_Type_Volume!$A:$A,0),1),IF($E79="VAM",INDEX(C_Type_Volume!$E:$E,MATCH($D79,C_Type_Volume!$A:$A,0),1),"X")),"")</f>
        <v>350908</v>
      </c>
      <c r="BD79" s="19">
        <f>IFERROR(IF($E79="REC",INDEX(A_Type_Volume!$F:$F,MATCH($D79,A_Type_Volume!$A:$A,0),1),IF($E79="VAM",INDEX(C_Type_Volume!$F:$F,MATCH($D79,C_Type_Volume!$A:$A,0),1),"X")),"")</f>
        <v>405026</v>
      </c>
      <c r="BE79" s="19">
        <f>IFERROR(IF($E79="REC",INDEX(A_Type_Volume!$G:$G,MATCH($D79,A_Type_Volume!$A:$A,0),1),IF($E79="VAM",INDEX(C_Type_Volume!$G:$G,MATCH($D79,C_Type_Volume!$A:$A,0),1),"X")),"")</f>
        <v>396641</v>
      </c>
      <c r="BF79" s="19">
        <f>IFERROR(IF($E79="REC",INDEX(A_Type_Volume!$H:$H,MATCH($D79,A_Type_Volume!$A:$A,0),1),IF($E79="VAM",INDEX(C_Type_Volume!$H:$H,MATCH($D79,C_Type_Volume!$A:$A,0),1),"X")),"")</f>
        <v>346573</v>
      </c>
      <c r="BG79" s="19">
        <f>IFERROR(IF($E79="REC",INDEX(A_Type_Volume!$I:$I,MATCH($D79,A_Type_Volume!$A:$A,0),1),IF($E79="VAM",INDEX(C_Type_Volume!$I:$I,MATCH($D79,C_Type_Volume!$A:$A,0),1),"X")),"")</f>
        <v>253570</v>
      </c>
      <c r="BH79" s="19">
        <f>IFERROR(IF($E79="REC",INDEX(A_Type_Volume!$J:$J,MATCH($D79,A_Type_Volume!$A:$A,0),1),IF($E79="VAM",INDEX(C_Type_Volume!$J:$J,MATCH($D79,C_Type_Volume!$A:$A,0),1),"X")),"")</f>
        <v>240535</v>
      </c>
      <c r="BI79" s="19">
        <f>IFERROR(IF($E79="REC",INDEX(A_Type_Volume!$K:$K,MATCH($D79,A_Type_Volume!$A:$A,0),1),IF($E79="VAM",INDEX(C_Type_Volume!$K:$K,MATCH($D79,C_Type_Volume!$A:$A,0),1),"X")),"")</f>
        <v>339478</v>
      </c>
      <c r="BJ79" s="19">
        <f>IFERROR(IF($E79="REC",INDEX(A_Type_Volume!$L:$L,MATCH($D79,A_Type_Volume!$A:$A,0),1),IF($E79="VAM",INDEX(C_Type_Volume!$L:$L,MATCH($D79,C_Type_Volume!$A:$A,0),1),"X")),"")</f>
        <v>292685</v>
      </c>
      <c r="BK79" s="19">
        <f>IFERROR(IF($E79="REC",INDEX(A_Type_Volume!M:M,MATCH($D79,A_Type_Volume!$A:$A,0),1),IF($E79="VAM",INDEX(C_Type_Volume!M:M,MATCH($D79,C_Type_Volume!$A:$A,0),1),"X")),"")</f>
        <v>293636</v>
      </c>
      <c r="BL79" s="38">
        <f>SUM(Table1[[#This Row],[Jan_AVF]:[Dec_AVF]])</f>
        <v>4022824</v>
      </c>
      <c r="BM79" s="16">
        <f t="shared" si="90"/>
        <v>6888.5483035426514</v>
      </c>
      <c r="BN79" s="16">
        <f t="shared" si="91"/>
        <v>6937.7940083186295</v>
      </c>
      <c r="BO79" s="16">
        <f t="shared" si="92"/>
        <v>8831.4442875513087</v>
      </c>
      <c r="BP79" s="16">
        <f t="shared" si="93"/>
        <v>7203.2979456143776</v>
      </c>
      <c r="BQ79" s="16">
        <f t="shared" si="94"/>
        <v>8314.2104304273744</v>
      </c>
      <c r="BR79" s="16">
        <f t="shared" si="95"/>
        <v>8142.0865310749041</v>
      </c>
      <c r="BS79" s="16">
        <f t="shared" si="96"/>
        <v>7114.3108133910073</v>
      </c>
      <c r="BT79" s="16">
        <f t="shared" si="97"/>
        <v>5205.1827261545413</v>
      </c>
      <c r="BU79" s="16">
        <f t="shared" si="98"/>
        <v>4937.605501579771</v>
      </c>
      <c r="BV79" s="16">
        <f t="shared" si="99"/>
        <v>6968.6675139389181</v>
      </c>
      <c r="BW79" s="16">
        <f t="shared" si="100"/>
        <v>6008.1196758470714</v>
      </c>
      <c r="BX79" s="16">
        <f t="shared" si="101"/>
        <v>6027.6414204247931</v>
      </c>
      <c r="BY79" s="10">
        <f t="shared" si="68"/>
        <v>22657.78659941259</v>
      </c>
      <c r="BZ79" s="10">
        <f t="shared" si="69"/>
        <v>23659.594907116654</v>
      </c>
      <c r="CA79" s="10">
        <f t="shared" si="70"/>
        <v>17257.099041125319</v>
      </c>
      <c r="CB79" s="10">
        <f t="shared" si="71"/>
        <v>19004.428610210784</v>
      </c>
      <c r="CC79" s="10">
        <f>IFERROR(Table1[[#This Row],[Labor
Saving]]*Table1[[#This Row],[Annual Volume]],"")</f>
        <v>39370.445192832005</v>
      </c>
      <c r="CD79" s="10">
        <f>IFERROR(Table1[[#This Row],[Annual Volume]]*Table1[[#This Row],[Yield
Saving]],"")</f>
        <v>0</v>
      </c>
      <c r="CE79" s="10">
        <f>IFERROR(Table1[[#This Row],[Annual Volume]]*Table1[[#This Row],[Material
Saving]],"")</f>
        <v>43208.463965033334</v>
      </c>
      <c r="CF79" s="10">
        <f>IFERROR(Table1[[#This Row],[OH
Saving]]*Table1[[#This Row],[Annual Volume]],"")</f>
        <v>0</v>
      </c>
      <c r="CG79" s="10">
        <f>SUM(Table1[[#This Row],[Labor_ASV]:[OH_ASV]])</f>
        <v>82578.909157865332</v>
      </c>
    </row>
    <row r="80" spans="1:85" x14ac:dyDescent="0.3">
      <c r="A80" t="str">
        <f>Table1[[#This Row],[Project Name]]&amp;Table1[[#This Row],[Part Number]]</f>
        <v>Oven time time Reduction 75%R89</v>
      </c>
      <c r="B80" t="str">
        <f>IFERROR(Table1[[#This Row],[Project Number]]&amp;Table1[[#This Row],[Part Number]],"")</f>
        <v>AME25-046R89</v>
      </c>
      <c r="C80" s="22" t="s">
        <v>98</v>
      </c>
      <c r="D80" s="24" t="s">
        <v>327</v>
      </c>
      <c r="E80" s="25" t="s">
        <v>58</v>
      </c>
      <c r="F80" s="6">
        <f>INDEX(Proj_Reg!G:G,MATCH($C80,Proj_Reg!$B:$B,0),1)</f>
        <v>46327</v>
      </c>
      <c r="G80" s="6">
        <f>INDEX(Proj_Reg!H:H,MATCH($C80,Proj_Reg!$B:$B,0),1)</f>
        <v>46661</v>
      </c>
      <c r="H80" s="6" t="str">
        <f>IF(INDEX(Proj_Reg!C:C,MATCH($C80,Proj_Reg!$B:$B,0),1)=0,"",INDEX(Proj_Reg!C:C,MATCH($C80,Proj_Reg!$B:$B,0),1))</f>
        <v>Wafer Saw Dicing</v>
      </c>
      <c r="I80" s="6" t="str">
        <f>IF(INDEX(Proj_Reg!D:D,MATCH($C80,Proj_Reg!$B:$B,0),1)=0,"",INDEX(Proj_Reg!D:D,MATCH($C80,Proj_Reg!$B:$B,0),1))</f>
        <v>XCD</v>
      </c>
      <c r="J80" s="6" t="str">
        <f>INDEX(Proj_Reg!E:E,MATCH($C80,Proj_Reg!$B:$B,0),1)</f>
        <v>Oven time time Reduction 75%</v>
      </c>
      <c r="K80" s="21">
        <v>9.7867680000000012E-3</v>
      </c>
      <c r="L80" s="21">
        <v>0</v>
      </c>
      <c r="M80" s="21">
        <v>1.0740828822000002E-2</v>
      </c>
      <c r="N80" s="21">
        <v>0</v>
      </c>
      <c r="O80" s="11">
        <f>SUM(Table1[[#This Row],[Labor
Saving]:[OH
Saving]])</f>
        <v>2.0527596822000005E-2</v>
      </c>
      <c r="Q80" s="40">
        <f t="shared" si="52"/>
        <v>0</v>
      </c>
      <c r="R80" s="40">
        <f t="shared" si="53"/>
        <v>0</v>
      </c>
      <c r="S80" s="40">
        <f t="shared" si="54"/>
        <v>0</v>
      </c>
      <c r="T80" s="40">
        <f t="shared" si="55"/>
        <v>0</v>
      </c>
      <c r="U80" s="40">
        <f t="shared" si="56"/>
        <v>0</v>
      </c>
      <c r="V80" s="40">
        <f t="shared" si="57"/>
        <v>0</v>
      </c>
      <c r="W80" s="40">
        <f t="shared" si="58"/>
        <v>0</v>
      </c>
      <c r="X80" s="40">
        <f t="shared" si="59"/>
        <v>0</v>
      </c>
      <c r="Y80" s="40">
        <f t="shared" si="60"/>
        <v>0</v>
      </c>
      <c r="Z80" s="40">
        <f t="shared" si="61"/>
        <v>0</v>
      </c>
      <c r="AA80" s="40">
        <f t="shared" si="62"/>
        <v>7165.5</v>
      </c>
      <c r="AB80" s="40">
        <f t="shared" si="63"/>
        <v>23963</v>
      </c>
      <c r="AC80" s="37">
        <f>SUM(Table1[[#This Row],[Jan]:[Dec]])</f>
        <v>31128.5</v>
      </c>
      <c r="AD80" s="15">
        <f t="shared" si="72"/>
        <v>0</v>
      </c>
      <c r="AE80" s="15">
        <f t="shared" si="73"/>
        <v>0</v>
      </c>
      <c r="AF80" s="15">
        <f t="shared" si="74"/>
        <v>0</v>
      </c>
      <c r="AG80" s="15">
        <f t="shared" si="75"/>
        <v>0</v>
      </c>
      <c r="AH80" s="15">
        <f t="shared" si="76"/>
        <v>0</v>
      </c>
      <c r="AI80" s="15">
        <f t="shared" si="77"/>
        <v>0</v>
      </c>
      <c r="AJ80" s="15">
        <f t="shared" si="78"/>
        <v>0</v>
      </c>
      <c r="AK80" s="15">
        <f t="shared" si="79"/>
        <v>0</v>
      </c>
      <c r="AL80" s="15">
        <f t="shared" si="80"/>
        <v>0</v>
      </c>
      <c r="AM80" s="15">
        <f t="shared" si="81"/>
        <v>0</v>
      </c>
      <c r="AN80" s="15">
        <f t="shared" si="82"/>
        <v>147.09049502804103</v>
      </c>
      <c r="AO80" s="15">
        <f t="shared" si="83"/>
        <v>491.90280264558612</v>
      </c>
      <c r="AP80" s="10">
        <f t="shared" si="84"/>
        <v>0</v>
      </c>
      <c r="AQ80" s="10">
        <f t="shared" si="85"/>
        <v>0</v>
      </c>
      <c r="AR80" s="10">
        <f t="shared" si="86"/>
        <v>0</v>
      </c>
      <c r="AS80" s="10">
        <f t="shared" si="87"/>
        <v>638.99329767362713</v>
      </c>
      <c r="AT80" s="10" t="b">
        <f t="shared" si="88"/>
        <v>1</v>
      </c>
      <c r="AU80" s="10">
        <f t="shared" si="64"/>
        <v>304.64740768800004</v>
      </c>
      <c r="AV80" s="10">
        <f t="shared" si="65"/>
        <v>0</v>
      </c>
      <c r="AW80" s="10">
        <f t="shared" si="66"/>
        <v>334.34588998562708</v>
      </c>
      <c r="AX80" s="10">
        <f t="shared" si="67"/>
        <v>0</v>
      </c>
      <c r="AY80" s="10">
        <f t="shared" si="89"/>
        <v>638.99329767362713</v>
      </c>
      <c r="AZ80" s="19">
        <f>IFERROR(IF($E80="REC",INDEX(A_Type_Volume!$B:$B,MATCH($D80,A_Type_Volume!$A:$A,0),1),IF($E80="VAM",INDEX(C_Type_Volume!$B:$B,MATCH($D80,C_Type_Volume!$A:$A,0),1),"X")),"")</f>
        <v>179678</v>
      </c>
      <c r="BA80" s="19">
        <f>IFERROR(IF($E80="REC",INDEX(A_Type_Volume!$C:$C,MATCH($D80,A_Type_Volume!$A:$A,0),1),IF($E80="VAM",INDEX(C_Type_Volume!$C:$C,MATCH($D80,C_Type_Volume!$A:$A,0),1),"X")),"")</f>
        <v>236254</v>
      </c>
      <c r="BB80" s="19">
        <f>IFERROR(IF($E80="REC",INDEX(A_Type_Volume!$D:$D,MATCH($D80,A_Type_Volume!$A:$A,0),1),IF($E80="VAM",INDEX(C_Type_Volume!$D:$D,MATCH($D80,C_Type_Volume!$A:$A,0),1),"X")),"")</f>
        <v>134867</v>
      </c>
      <c r="BC80" s="19">
        <f>IFERROR(IF($E80="REC",INDEX(A_Type_Volume!$E:$E,MATCH($D80,A_Type_Volume!$A:$A,0),1),IF($E80="VAM",INDEX(C_Type_Volume!$E:$E,MATCH($D80,C_Type_Volume!$A:$A,0),1),"X")),"")</f>
        <v>67750</v>
      </c>
      <c r="BD80" s="19">
        <f>IFERROR(IF($E80="REC",INDEX(A_Type_Volume!$F:$F,MATCH($D80,A_Type_Volume!$A:$A,0),1),IF($E80="VAM",INDEX(C_Type_Volume!$F:$F,MATCH($D80,C_Type_Volume!$A:$A,0),1),"X")),"")</f>
        <v>78198</v>
      </c>
      <c r="BE80" s="19">
        <f>IFERROR(IF($E80="REC",INDEX(A_Type_Volume!$G:$G,MATCH($D80,A_Type_Volume!$A:$A,0),1),IF($E80="VAM",INDEX(C_Type_Volume!$G:$G,MATCH($D80,C_Type_Volume!$A:$A,0),1),"X")),"")</f>
        <v>76580</v>
      </c>
      <c r="BF80" s="19">
        <f>IFERROR(IF($E80="REC",INDEX(A_Type_Volume!$H:$H,MATCH($D80,A_Type_Volume!$A:$A,0),1),IF($E80="VAM",INDEX(C_Type_Volume!$H:$H,MATCH($D80,C_Type_Volume!$A:$A,0),1),"X")),"")</f>
        <v>41314</v>
      </c>
      <c r="BG80" s="19">
        <f>IFERROR(IF($E80="REC",INDEX(A_Type_Volume!$I:$I,MATCH($D80,A_Type_Volume!$A:$A,0),1),IF($E80="VAM",INDEX(C_Type_Volume!$I:$I,MATCH($D80,C_Type_Volume!$A:$A,0),1),"X")),"")</f>
        <v>30227</v>
      </c>
      <c r="BH80" s="19">
        <f>IFERROR(IF($E80="REC",INDEX(A_Type_Volume!$J:$J,MATCH($D80,A_Type_Volume!$A:$A,0),1),IF($E80="VAM",INDEX(C_Type_Volume!$J:$J,MATCH($D80,C_Type_Volume!$A:$A,0),1),"X")),"")</f>
        <v>28673</v>
      </c>
      <c r="BI80" s="19">
        <f>IFERROR(IF($E80="REC",INDEX(A_Type_Volume!$K:$K,MATCH($D80,A_Type_Volume!$A:$A,0),1),IF($E80="VAM",INDEX(C_Type_Volume!$K:$K,MATCH($D80,C_Type_Volume!$A:$A,0),1),"X")),"")</f>
        <v>27704</v>
      </c>
      <c r="BJ80" s="19">
        <f>IFERROR(IF($E80="REC",INDEX(A_Type_Volume!$L:$L,MATCH($D80,A_Type_Volume!$A:$A,0),1),IF($E80="VAM",INDEX(C_Type_Volume!$L:$L,MATCH($D80,C_Type_Volume!$A:$A,0),1),"X")),"")</f>
        <v>23885</v>
      </c>
      <c r="BK80" s="19">
        <f>IFERROR(IF($E80="REC",INDEX(A_Type_Volume!M:M,MATCH($D80,A_Type_Volume!$A:$A,0),1),IF($E80="VAM",INDEX(C_Type_Volume!M:M,MATCH($D80,C_Type_Volume!$A:$A,0),1),"X")),"")</f>
        <v>23963</v>
      </c>
      <c r="BL80" s="38">
        <f>SUM(Table1[[#This Row],[Jan_AVF]:[Dec_AVF]])</f>
        <v>949093</v>
      </c>
      <c r="BM80" s="16">
        <f t="shared" si="90"/>
        <v>3688.3575417833167</v>
      </c>
      <c r="BN80" s="16">
        <f t="shared" si="91"/>
        <v>4849.7268595847891</v>
      </c>
      <c r="BO80" s="16">
        <f t="shared" si="92"/>
        <v>2768.4954005926747</v>
      </c>
      <c r="BP80" s="16">
        <f t="shared" si="93"/>
        <v>1390.7446846905004</v>
      </c>
      <c r="BQ80" s="16">
        <f t="shared" si="94"/>
        <v>1605.2170162867565</v>
      </c>
      <c r="BR80" s="16">
        <f t="shared" si="95"/>
        <v>1572.0033646287604</v>
      </c>
      <c r="BS80" s="16">
        <f t="shared" si="96"/>
        <v>848.07713510410815</v>
      </c>
      <c r="BT80" s="16">
        <f t="shared" si="97"/>
        <v>620.48766913859413</v>
      </c>
      <c r="BU80" s="16">
        <f t="shared" si="98"/>
        <v>588.58778367720618</v>
      </c>
      <c r="BV80" s="16">
        <f t="shared" si="99"/>
        <v>568.69654235668816</v>
      </c>
      <c r="BW80" s="16">
        <f t="shared" si="100"/>
        <v>490.30165009347013</v>
      </c>
      <c r="BX80" s="16">
        <f t="shared" si="101"/>
        <v>491.90280264558612</v>
      </c>
      <c r="BY80" s="10">
        <f t="shared" si="68"/>
        <v>11306.579801960779</v>
      </c>
      <c r="BZ80" s="10">
        <f t="shared" si="69"/>
        <v>4567.9650656060176</v>
      </c>
      <c r="CA80" s="10">
        <f t="shared" si="70"/>
        <v>2057.1525879199085</v>
      </c>
      <c r="CB80" s="10">
        <f t="shared" si="71"/>
        <v>1550.9009950957443</v>
      </c>
      <c r="CC80" s="10">
        <f>IFERROR(Table1[[#This Row],[Labor
Saving]]*Table1[[#This Row],[Annual Volume]],"")</f>
        <v>9288.5530014240012</v>
      </c>
      <c r="CD80" s="10">
        <f>IFERROR(Table1[[#This Row],[Annual Volume]]*Table1[[#This Row],[Yield
Saving]],"")</f>
        <v>0</v>
      </c>
      <c r="CE80" s="10">
        <f>IFERROR(Table1[[#This Row],[Annual Volume]]*Table1[[#This Row],[Material
Saving]],"")</f>
        <v>10194.045449158448</v>
      </c>
      <c r="CF80" s="10">
        <f>IFERROR(Table1[[#This Row],[OH
Saving]]*Table1[[#This Row],[Annual Volume]],"")</f>
        <v>0</v>
      </c>
      <c r="CG80" s="10">
        <f>SUM(Table1[[#This Row],[Labor_ASV]:[OH_ASV]])</f>
        <v>19482.598450582449</v>
      </c>
    </row>
    <row r="81" spans="1:85" x14ac:dyDescent="0.3">
      <c r="A81" t="str">
        <f>Table1[[#This Row],[Project Name]]&amp;Table1[[#This Row],[Part Number]]</f>
        <v>Oven time time Reduction 75%R90</v>
      </c>
      <c r="B81" t="str">
        <f>IFERROR(Table1[[#This Row],[Project Number]]&amp;Table1[[#This Row],[Part Number]],"")</f>
        <v>AME25-046R90</v>
      </c>
      <c r="C81" s="22" t="s">
        <v>98</v>
      </c>
      <c r="D81" s="24" t="s">
        <v>328</v>
      </c>
      <c r="E81" s="25" t="s">
        <v>58</v>
      </c>
      <c r="F81" s="6">
        <f>INDEX(Proj_Reg!G:G,MATCH($C81,Proj_Reg!$B:$B,0),1)</f>
        <v>46327</v>
      </c>
      <c r="G81" s="6">
        <f>INDEX(Proj_Reg!H:H,MATCH($C81,Proj_Reg!$B:$B,0),1)</f>
        <v>46661</v>
      </c>
      <c r="H81" s="6" t="str">
        <f>IF(INDEX(Proj_Reg!C:C,MATCH($C81,Proj_Reg!$B:$B,0),1)=0,"",INDEX(Proj_Reg!C:C,MATCH($C81,Proj_Reg!$B:$B,0),1))</f>
        <v>Wafer Saw Dicing</v>
      </c>
      <c r="I81" s="6" t="str">
        <f>IF(INDEX(Proj_Reg!D:D,MATCH($C81,Proj_Reg!$B:$B,0),1)=0,"",INDEX(Proj_Reg!D:D,MATCH($C81,Proj_Reg!$B:$B,0),1))</f>
        <v>XCD</v>
      </c>
      <c r="J81" s="6" t="str">
        <f>INDEX(Proj_Reg!E:E,MATCH($C81,Proj_Reg!$B:$B,0),1)</f>
        <v>Oven time time Reduction 75%</v>
      </c>
      <c r="K81" s="21">
        <v>9.7867680000000012E-3</v>
      </c>
      <c r="L81" s="21">
        <v>0</v>
      </c>
      <c r="M81" s="21">
        <v>1.0740828822000002E-2</v>
      </c>
      <c r="N81" s="21">
        <v>0</v>
      </c>
      <c r="O81" s="11">
        <f>SUM(Table1[[#This Row],[Labor
Saving]:[OH
Saving]])</f>
        <v>2.0527596822000005E-2</v>
      </c>
      <c r="Q81" s="40">
        <f t="shared" si="52"/>
        <v>0</v>
      </c>
      <c r="R81" s="40">
        <f t="shared" si="53"/>
        <v>0</v>
      </c>
      <c r="S81" s="40">
        <f t="shared" si="54"/>
        <v>0</v>
      </c>
      <c r="T81" s="40">
        <f t="shared" si="55"/>
        <v>0</v>
      </c>
      <c r="U81" s="40">
        <f t="shared" si="56"/>
        <v>0</v>
      </c>
      <c r="V81" s="40">
        <f t="shared" si="57"/>
        <v>0</v>
      </c>
      <c r="W81" s="40">
        <f t="shared" si="58"/>
        <v>0</v>
      </c>
      <c r="X81" s="40">
        <f t="shared" si="59"/>
        <v>0</v>
      </c>
      <c r="Y81" s="40">
        <f t="shared" si="60"/>
        <v>0</v>
      </c>
      <c r="Z81" s="40">
        <f t="shared" si="61"/>
        <v>0</v>
      </c>
      <c r="AA81" s="40">
        <f t="shared" si="62"/>
        <v>7165.5</v>
      </c>
      <c r="AB81" s="40">
        <f t="shared" si="63"/>
        <v>23963</v>
      </c>
      <c r="AC81" s="37">
        <f>SUM(Table1[[#This Row],[Jan]:[Dec]])</f>
        <v>31128.5</v>
      </c>
      <c r="AD81" s="15">
        <f t="shared" si="72"/>
        <v>0</v>
      </c>
      <c r="AE81" s="15">
        <f t="shared" si="73"/>
        <v>0</v>
      </c>
      <c r="AF81" s="15">
        <f t="shared" si="74"/>
        <v>0</v>
      </c>
      <c r="AG81" s="15">
        <f t="shared" si="75"/>
        <v>0</v>
      </c>
      <c r="AH81" s="15">
        <f t="shared" si="76"/>
        <v>0</v>
      </c>
      <c r="AI81" s="15">
        <f t="shared" si="77"/>
        <v>0</v>
      </c>
      <c r="AJ81" s="15">
        <f t="shared" si="78"/>
        <v>0</v>
      </c>
      <c r="AK81" s="15">
        <f t="shared" si="79"/>
        <v>0</v>
      </c>
      <c r="AL81" s="15">
        <f t="shared" si="80"/>
        <v>0</v>
      </c>
      <c r="AM81" s="15">
        <f t="shared" si="81"/>
        <v>0</v>
      </c>
      <c r="AN81" s="15">
        <f t="shared" si="82"/>
        <v>147.09049502804103</v>
      </c>
      <c r="AO81" s="15">
        <f t="shared" si="83"/>
        <v>491.90280264558612</v>
      </c>
      <c r="AP81" s="10">
        <f t="shared" si="84"/>
        <v>0</v>
      </c>
      <c r="AQ81" s="10">
        <f t="shared" si="85"/>
        <v>0</v>
      </c>
      <c r="AR81" s="10">
        <f t="shared" si="86"/>
        <v>0</v>
      </c>
      <c r="AS81" s="10">
        <f t="shared" si="87"/>
        <v>638.99329767362713</v>
      </c>
      <c r="AT81" s="10" t="b">
        <f t="shared" si="88"/>
        <v>1</v>
      </c>
      <c r="AU81" s="10">
        <f t="shared" si="64"/>
        <v>304.64740768800004</v>
      </c>
      <c r="AV81" s="10">
        <f t="shared" si="65"/>
        <v>0</v>
      </c>
      <c r="AW81" s="10">
        <f t="shared" si="66"/>
        <v>334.34588998562708</v>
      </c>
      <c r="AX81" s="10">
        <f t="shared" si="67"/>
        <v>0</v>
      </c>
      <c r="AY81" s="10">
        <f t="shared" si="89"/>
        <v>638.99329767362713</v>
      </c>
      <c r="AZ81" s="19">
        <f>IFERROR(IF($E81="REC",INDEX(A_Type_Volume!$B:$B,MATCH($D81,A_Type_Volume!$A:$A,0),1),IF($E81="VAM",INDEX(C_Type_Volume!$B:$B,MATCH($D81,C_Type_Volume!$A:$A,0),1),"X")),"")</f>
        <v>179678</v>
      </c>
      <c r="BA81" s="19">
        <f>IFERROR(IF($E81="REC",INDEX(A_Type_Volume!$C:$C,MATCH($D81,A_Type_Volume!$A:$A,0),1),IF($E81="VAM",INDEX(C_Type_Volume!$C:$C,MATCH($D81,C_Type_Volume!$A:$A,0),1),"X")),"")</f>
        <v>236254</v>
      </c>
      <c r="BB81" s="19">
        <f>IFERROR(IF($E81="REC",INDEX(A_Type_Volume!$D:$D,MATCH($D81,A_Type_Volume!$A:$A,0),1),IF($E81="VAM",INDEX(C_Type_Volume!$D:$D,MATCH($D81,C_Type_Volume!$A:$A,0),1),"X")),"")</f>
        <v>134867</v>
      </c>
      <c r="BC81" s="19">
        <f>IFERROR(IF($E81="REC",INDEX(A_Type_Volume!$E:$E,MATCH($D81,A_Type_Volume!$A:$A,0),1),IF($E81="VAM",INDEX(C_Type_Volume!$E:$E,MATCH($D81,C_Type_Volume!$A:$A,0),1),"X")),"")</f>
        <v>67750</v>
      </c>
      <c r="BD81" s="19">
        <f>IFERROR(IF($E81="REC",INDEX(A_Type_Volume!$F:$F,MATCH($D81,A_Type_Volume!$A:$A,0),1),IF($E81="VAM",INDEX(C_Type_Volume!$F:$F,MATCH($D81,C_Type_Volume!$A:$A,0),1),"X")),"")</f>
        <v>78198</v>
      </c>
      <c r="BE81" s="19">
        <f>IFERROR(IF($E81="REC",INDEX(A_Type_Volume!$G:$G,MATCH($D81,A_Type_Volume!$A:$A,0),1),IF($E81="VAM",INDEX(C_Type_Volume!$G:$G,MATCH($D81,C_Type_Volume!$A:$A,0),1),"X")),"")</f>
        <v>76580</v>
      </c>
      <c r="BF81" s="19">
        <f>IFERROR(IF($E81="REC",INDEX(A_Type_Volume!$H:$H,MATCH($D81,A_Type_Volume!$A:$A,0),1),IF($E81="VAM",INDEX(C_Type_Volume!$H:$H,MATCH($D81,C_Type_Volume!$A:$A,0),1),"X")),"")</f>
        <v>41314</v>
      </c>
      <c r="BG81" s="19">
        <f>IFERROR(IF($E81="REC",INDEX(A_Type_Volume!$I:$I,MATCH($D81,A_Type_Volume!$A:$A,0),1),IF($E81="VAM",INDEX(C_Type_Volume!$I:$I,MATCH($D81,C_Type_Volume!$A:$A,0),1),"X")),"")</f>
        <v>30227</v>
      </c>
      <c r="BH81" s="19">
        <f>IFERROR(IF($E81="REC",INDEX(A_Type_Volume!$J:$J,MATCH($D81,A_Type_Volume!$A:$A,0),1),IF($E81="VAM",INDEX(C_Type_Volume!$J:$J,MATCH($D81,C_Type_Volume!$A:$A,0),1),"X")),"")</f>
        <v>28673</v>
      </c>
      <c r="BI81" s="19">
        <f>IFERROR(IF($E81="REC",INDEX(A_Type_Volume!$K:$K,MATCH($D81,A_Type_Volume!$A:$A,0),1),IF($E81="VAM",INDEX(C_Type_Volume!$K:$K,MATCH($D81,C_Type_Volume!$A:$A,0),1),"X")),"")</f>
        <v>27704</v>
      </c>
      <c r="BJ81" s="19">
        <f>IFERROR(IF($E81="REC",INDEX(A_Type_Volume!$L:$L,MATCH($D81,A_Type_Volume!$A:$A,0),1),IF($E81="VAM",INDEX(C_Type_Volume!$L:$L,MATCH($D81,C_Type_Volume!$A:$A,0),1),"X")),"")</f>
        <v>23885</v>
      </c>
      <c r="BK81" s="19">
        <f>IFERROR(IF($E81="REC",INDEX(A_Type_Volume!M:M,MATCH($D81,A_Type_Volume!$A:$A,0),1),IF($E81="VAM",INDEX(C_Type_Volume!M:M,MATCH($D81,C_Type_Volume!$A:$A,0),1),"X")),"")</f>
        <v>23963</v>
      </c>
      <c r="BL81" s="38">
        <f>SUM(Table1[[#This Row],[Jan_AVF]:[Dec_AVF]])</f>
        <v>949093</v>
      </c>
      <c r="BM81" s="16">
        <f t="shared" si="90"/>
        <v>3688.3575417833167</v>
      </c>
      <c r="BN81" s="16">
        <f t="shared" si="91"/>
        <v>4849.7268595847891</v>
      </c>
      <c r="BO81" s="16">
        <f t="shared" si="92"/>
        <v>2768.4954005926747</v>
      </c>
      <c r="BP81" s="16">
        <f t="shared" si="93"/>
        <v>1390.7446846905004</v>
      </c>
      <c r="BQ81" s="16">
        <f t="shared" si="94"/>
        <v>1605.2170162867565</v>
      </c>
      <c r="BR81" s="16">
        <f t="shared" si="95"/>
        <v>1572.0033646287604</v>
      </c>
      <c r="BS81" s="16">
        <f t="shared" si="96"/>
        <v>848.07713510410815</v>
      </c>
      <c r="BT81" s="16">
        <f t="shared" si="97"/>
        <v>620.48766913859413</v>
      </c>
      <c r="BU81" s="16">
        <f t="shared" si="98"/>
        <v>588.58778367720618</v>
      </c>
      <c r="BV81" s="16">
        <f t="shared" si="99"/>
        <v>568.69654235668816</v>
      </c>
      <c r="BW81" s="16">
        <f t="shared" si="100"/>
        <v>490.30165009347013</v>
      </c>
      <c r="BX81" s="16">
        <f t="shared" si="101"/>
        <v>491.90280264558612</v>
      </c>
      <c r="BY81" s="10">
        <f t="shared" si="68"/>
        <v>11306.579801960779</v>
      </c>
      <c r="BZ81" s="10">
        <f t="shared" si="69"/>
        <v>4567.9650656060176</v>
      </c>
      <c r="CA81" s="10">
        <f t="shared" si="70"/>
        <v>2057.1525879199085</v>
      </c>
      <c r="CB81" s="10">
        <f t="shared" si="71"/>
        <v>1550.9009950957443</v>
      </c>
      <c r="CC81" s="10">
        <f>IFERROR(Table1[[#This Row],[Labor
Saving]]*Table1[[#This Row],[Annual Volume]],"")</f>
        <v>9288.5530014240012</v>
      </c>
      <c r="CD81" s="10">
        <f>IFERROR(Table1[[#This Row],[Annual Volume]]*Table1[[#This Row],[Yield
Saving]],"")</f>
        <v>0</v>
      </c>
      <c r="CE81" s="10">
        <f>IFERROR(Table1[[#This Row],[Annual Volume]]*Table1[[#This Row],[Material
Saving]],"")</f>
        <v>10194.045449158448</v>
      </c>
      <c r="CF81" s="10">
        <f>IFERROR(Table1[[#This Row],[OH
Saving]]*Table1[[#This Row],[Annual Volume]],"")</f>
        <v>0</v>
      </c>
      <c r="CG81" s="10">
        <f>SUM(Table1[[#This Row],[Labor_ASV]:[OH_ASV]])</f>
        <v>19482.598450582449</v>
      </c>
    </row>
    <row r="82" spans="1:85" x14ac:dyDescent="0.3">
      <c r="A82" t="str">
        <f>Table1[[#This Row],[Project Name]]&amp;Table1[[#This Row],[Part Number]]</f>
        <v>Chip Cleaning Solvent 1R68</v>
      </c>
      <c r="B82" t="str">
        <f>IFERROR(Table1[[#This Row],[Project Number]]&amp;Table1[[#This Row],[Part Number]],"")</f>
        <v>AME25-047R68</v>
      </c>
      <c r="C82" s="22" t="s">
        <v>99</v>
      </c>
      <c r="D82" s="24" t="s">
        <v>306</v>
      </c>
      <c r="E82" s="25" t="s">
        <v>58</v>
      </c>
      <c r="F82" s="6">
        <f>INDEX(Proj_Reg!G:G,MATCH($C82,Proj_Reg!$B:$B,0),1)</f>
        <v>46082</v>
      </c>
      <c r="G82" s="6">
        <f>INDEX(Proj_Reg!H:H,MATCH($C82,Proj_Reg!$B:$B,0),1)</f>
        <v>46419</v>
      </c>
      <c r="H82" s="6" t="str">
        <f>IF(INDEX(Proj_Reg!C:C,MATCH($C82,Proj_Reg!$B:$B,0),1)=0,"",INDEX(Proj_Reg!C:C,MATCH($C82,Proj_Reg!$B:$B,0),1))</f>
        <v>Wafer Saw Dicing</v>
      </c>
      <c r="I82" s="6" t="str">
        <f>IF(INDEX(Proj_Reg!D:D,MATCH($C82,Proj_Reg!$B:$B,0),1)=0,"",INDEX(Proj_Reg!D:D,MATCH($C82,Proj_Reg!$B:$B,0),1))</f>
        <v>XCD</v>
      </c>
      <c r="J82" s="6" t="str">
        <f>INDEX(Proj_Reg!E:E,MATCH($C82,Proj_Reg!$B:$B,0),1)</f>
        <v>Chip Cleaning Solvent 1</v>
      </c>
      <c r="K82" s="21">
        <v>9.7867680000000012E-3</v>
      </c>
      <c r="L82" s="21">
        <v>0</v>
      </c>
      <c r="M82" s="21">
        <v>1.0740828822000002E-2</v>
      </c>
      <c r="N82" s="21">
        <v>0</v>
      </c>
      <c r="O82" s="11">
        <f>SUM(Table1[[#This Row],[Labor
Saving]:[OH
Saving]])</f>
        <v>2.0527596822000005E-2</v>
      </c>
      <c r="Q82" s="40">
        <f t="shared" si="52"/>
        <v>0</v>
      </c>
      <c r="R82" s="40">
        <f t="shared" si="53"/>
        <v>0</v>
      </c>
      <c r="S82" s="40">
        <f t="shared" si="54"/>
        <v>102642.3</v>
      </c>
      <c r="T82" s="40">
        <f t="shared" si="55"/>
        <v>354371</v>
      </c>
      <c r="U82" s="40">
        <f t="shared" si="56"/>
        <v>405156</v>
      </c>
      <c r="V82" s="40">
        <f t="shared" si="57"/>
        <v>366126</v>
      </c>
      <c r="W82" s="40">
        <f t="shared" si="58"/>
        <v>417726</v>
      </c>
      <c r="X82" s="40">
        <f t="shared" si="59"/>
        <v>329603</v>
      </c>
      <c r="Y82" s="40">
        <f t="shared" si="60"/>
        <v>340790</v>
      </c>
      <c r="Z82" s="40">
        <f t="shared" si="61"/>
        <v>318150</v>
      </c>
      <c r="AA82" s="40">
        <f t="shared" si="62"/>
        <v>300655</v>
      </c>
      <c r="AB82" s="40">
        <f t="shared" si="63"/>
        <v>267146</v>
      </c>
      <c r="AC82" s="37">
        <f>SUM(Table1[[#This Row],[Jan]:[Dec]])</f>
        <v>3202365.3</v>
      </c>
      <c r="AD82" s="15">
        <f t="shared" si="72"/>
        <v>0</v>
      </c>
      <c r="AE82" s="15">
        <f t="shared" si="73"/>
        <v>0</v>
      </c>
      <c r="AF82" s="15">
        <f t="shared" si="74"/>
        <v>2106.9997512827713</v>
      </c>
      <c r="AG82" s="15">
        <f t="shared" si="75"/>
        <v>7274.3850134089635</v>
      </c>
      <c r="AH82" s="15">
        <f t="shared" si="76"/>
        <v>8316.8790180142332</v>
      </c>
      <c r="AI82" s="15">
        <f t="shared" si="77"/>
        <v>7515.6869140515737</v>
      </c>
      <c r="AJ82" s="15">
        <f t="shared" si="78"/>
        <v>8574.9109100667738</v>
      </c>
      <c r="AK82" s="15">
        <f t="shared" si="79"/>
        <v>6765.9574953216679</v>
      </c>
      <c r="AL82" s="15">
        <f t="shared" si="80"/>
        <v>6995.5997209693815</v>
      </c>
      <c r="AM82" s="15">
        <f t="shared" si="81"/>
        <v>6530.8549289193015</v>
      </c>
      <c r="AN82" s="15">
        <f t="shared" si="82"/>
        <v>6171.7246225184117</v>
      </c>
      <c r="AO82" s="15">
        <f t="shared" si="83"/>
        <v>5483.8653806100137</v>
      </c>
      <c r="AP82" s="10">
        <f t="shared" si="84"/>
        <v>2106.9997512827713</v>
      </c>
      <c r="AQ82" s="10">
        <f t="shared" si="85"/>
        <v>23106.950945474771</v>
      </c>
      <c r="AR82" s="10">
        <f t="shared" si="86"/>
        <v>22336.468126357824</v>
      </c>
      <c r="AS82" s="10">
        <f t="shared" si="87"/>
        <v>18186.444932047729</v>
      </c>
      <c r="AT82" s="10" t="b">
        <f t="shared" si="88"/>
        <v>1</v>
      </c>
      <c r="AU82" s="10">
        <f t="shared" si="64"/>
        <v>31340.806242350402</v>
      </c>
      <c r="AV82" s="10">
        <f t="shared" si="65"/>
        <v>0</v>
      </c>
      <c r="AW82" s="10">
        <f t="shared" si="66"/>
        <v>34396.05751281268</v>
      </c>
      <c r="AX82" s="10">
        <f t="shared" si="67"/>
        <v>0</v>
      </c>
      <c r="AY82" s="10">
        <f t="shared" si="89"/>
        <v>65736.863755163082</v>
      </c>
      <c r="AZ82" s="19">
        <f>IFERROR(IF($E82="REC",INDEX(A_Type_Volume!$B:$B,MATCH($D82,A_Type_Volume!$A:$A,0),1),IF($E82="VAM",INDEX(C_Type_Volume!$B:$B,MATCH($D82,C_Type_Volume!$A:$A,0),1),"X")),"")</f>
        <v>388434</v>
      </c>
      <c r="BA82" s="19">
        <f>IFERROR(IF($E82="REC",INDEX(A_Type_Volume!$C:$C,MATCH($D82,A_Type_Volume!$A:$A,0),1),IF($E82="VAM",INDEX(C_Type_Volume!$C:$C,MATCH($D82,C_Type_Volume!$A:$A,0),1),"X")),"")</f>
        <v>251443</v>
      </c>
      <c r="BB82" s="19">
        <f>IFERROR(IF($E82="REC",INDEX(A_Type_Volume!$D:$D,MATCH($D82,A_Type_Volume!$A:$A,0),1),IF($E82="VAM",INDEX(C_Type_Volume!$D:$D,MATCH($D82,C_Type_Volume!$A:$A,0),1),"X")),"")</f>
        <v>342141</v>
      </c>
      <c r="BC82" s="19">
        <f>IFERROR(IF($E82="REC",INDEX(A_Type_Volume!$E:$E,MATCH($D82,A_Type_Volume!$A:$A,0),1),IF($E82="VAM",INDEX(C_Type_Volume!$E:$E,MATCH($D82,C_Type_Volume!$A:$A,0),1),"X")),"")</f>
        <v>354371</v>
      </c>
      <c r="BD82" s="19">
        <f>IFERROR(IF($E82="REC",INDEX(A_Type_Volume!$F:$F,MATCH($D82,A_Type_Volume!$A:$A,0),1),IF($E82="VAM",INDEX(C_Type_Volume!$F:$F,MATCH($D82,C_Type_Volume!$A:$A,0),1),"X")),"")</f>
        <v>405156</v>
      </c>
      <c r="BE82" s="19">
        <f>IFERROR(IF($E82="REC",INDEX(A_Type_Volume!$G:$G,MATCH($D82,A_Type_Volume!$A:$A,0),1),IF($E82="VAM",INDEX(C_Type_Volume!$G:$G,MATCH($D82,C_Type_Volume!$A:$A,0),1),"X")),"")</f>
        <v>366126</v>
      </c>
      <c r="BF82" s="19">
        <f>IFERROR(IF($E82="REC",INDEX(A_Type_Volume!$H:$H,MATCH($D82,A_Type_Volume!$A:$A,0),1),IF($E82="VAM",INDEX(C_Type_Volume!$H:$H,MATCH($D82,C_Type_Volume!$A:$A,0),1),"X")),"")</f>
        <v>417726</v>
      </c>
      <c r="BG82" s="19">
        <f>IFERROR(IF($E82="REC",INDEX(A_Type_Volume!$I:$I,MATCH($D82,A_Type_Volume!$A:$A,0),1),IF($E82="VAM",INDEX(C_Type_Volume!$I:$I,MATCH($D82,C_Type_Volume!$A:$A,0),1),"X")),"")</f>
        <v>329603</v>
      </c>
      <c r="BH82" s="19">
        <f>IFERROR(IF($E82="REC",INDEX(A_Type_Volume!$J:$J,MATCH($D82,A_Type_Volume!$A:$A,0),1),IF($E82="VAM",INDEX(C_Type_Volume!$J:$J,MATCH($D82,C_Type_Volume!$A:$A,0),1),"X")),"")</f>
        <v>340790</v>
      </c>
      <c r="BI82" s="19">
        <f>IFERROR(IF($E82="REC",INDEX(A_Type_Volume!$K:$K,MATCH($D82,A_Type_Volume!$A:$A,0),1),IF($E82="VAM",INDEX(C_Type_Volume!$K:$K,MATCH($D82,C_Type_Volume!$A:$A,0),1),"X")),"")</f>
        <v>318150</v>
      </c>
      <c r="BJ82" s="19">
        <f>IFERROR(IF($E82="REC",INDEX(A_Type_Volume!$L:$L,MATCH($D82,A_Type_Volume!$A:$A,0),1),IF($E82="VAM",INDEX(C_Type_Volume!$L:$L,MATCH($D82,C_Type_Volume!$A:$A,0),1),"X")),"")</f>
        <v>300655</v>
      </c>
      <c r="BK82" s="19">
        <f>IFERROR(IF($E82="REC",INDEX(A_Type_Volume!M:M,MATCH($D82,A_Type_Volume!$A:$A,0),1),IF($E82="VAM",INDEX(C_Type_Volume!M:M,MATCH($D82,C_Type_Volume!$A:$A,0),1),"X")),"")</f>
        <v>267146</v>
      </c>
      <c r="BL82" s="38">
        <f>SUM(Table1[[#This Row],[Jan_AVF]:[Dec_AVF]])</f>
        <v>4081741</v>
      </c>
      <c r="BM82" s="16">
        <f t="shared" si="90"/>
        <v>7973.6165439567503</v>
      </c>
      <c r="BN82" s="16">
        <f t="shared" si="91"/>
        <v>5161.5205277141476</v>
      </c>
      <c r="BO82" s="16">
        <f t="shared" si="92"/>
        <v>7023.3325042759034</v>
      </c>
      <c r="BP82" s="16">
        <f t="shared" si="93"/>
        <v>7274.3850134089635</v>
      </c>
      <c r="BQ82" s="16">
        <f t="shared" si="94"/>
        <v>8316.8790180142332</v>
      </c>
      <c r="BR82" s="16">
        <f t="shared" si="95"/>
        <v>7515.6869140515737</v>
      </c>
      <c r="BS82" s="16">
        <f t="shared" si="96"/>
        <v>8574.9109100667738</v>
      </c>
      <c r="BT82" s="16">
        <f t="shared" si="97"/>
        <v>6765.9574953216679</v>
      </c>
      <c r="BU82" s="16">
        <f t="shared" si="98"/>
        <v>6995.5997209693815</v>
      </c>
      <c r="BV82" s="16">
        <f t="shared" si="99"/>
        <v>6530.8549289193015</v>
      </c>
      <c r="BW82" s="16">
        <f t="shared" si="100"/>
        <v>6171.7246225184117</v>
      </c>
      <c r="BX82" s="16">
        <f t="shared" si="101"/>
        <v>5483.8653806100137</v>
      </c>
      <c r="BY82" s="10">
        <f t="shared" si="68"/>
        <v>20158.469575946801</v>
      </c>
      <c r="BZ82" s="10">
        <f t="shared" si="69"/>
        <v>23106.950945474771</v>
      </c>
      <c r="CA82" s="10">
        <f t="shared" si="70"/>
        <v>22336.468126357824</v>
      </c>
      <c r="CB82" s="10">
        <f t="shared" si="71"/>
        <v>18186.444932047729</v>
      </c>
      <c r="CC82" s="10">
        <f>IFERROR(Table1[[#This Row],[Labor
Saving]]*Table1[[#This Row],[Annual Volume]],"")</f>
        <v>39947.052203088002</v>
      </c>
      <c r="CD82" s="10">
        <f>IFERROR(Table1[[#This Row],[Annual Volume]]*Table1[[#This Row],[Yield
Saving]],"")</f>
        <v>0</v>
      </c>
      <c r="CE82" s="10">
        <f>IFERROR(Table1[[#This Row],[Annual Volume]]*Table1[[#This Row],[Material
Saving]],"")</f>
        <v>43841.281376739113</v>
      </c>
      <c r="CF82" s="10">
        <f>IFERROR(Table1[[#This Row],[OH
Saving]]*Table1[[#This Row],[Annual Volume]],"")</f>
        <v>0</v>
      </c>
      <c r="CG82" s="10">
        <f>SUM(Table1[[#This Row],[Labor_ASV]:[OH_ASV]])</f>
        <v>83788.333579827115</v>
      </c>
    </row>
    <row r="83" spans="1:85" x14ac:dyDescent="0.3">
      <c r="A83" t="str">
        <f>Table1[[#This Row],[Project Name]]&amp;Table1[[#This Row],[Part Number]]</f>
        <v>Chip Cleaning Solvent 1R69</v>
      </c>
      <c r="B83" t="str">
        <f>IFERROR(Table1[[#This Row],[Project Number]]&amp;Table1[[#This Row],[Part Number]],"")</f>
        <v>AME25-047R69</v>
      </c>
      <c r="C83" s="22" t="s">
        <v>99</v>
      </c>
      <c r="D83" s="24" t="s">
        <v>307</v>
      </c>
      <c r="E83" s="25" t="s">
        <v>58</v>
      </c>
      <c r="F83" s="6">
        <f>INDEX(Proj_Reg!G:G,MATCH($C83,Proj_Reg!$B:$B,0),1)</f>
        <v>46082</v>
      </c>
      <c r="G83" s="6">
        <f>INDEX(Proj_Reg!H:H,MATCH($C83,Proj_Reg!$B:$B,0),1)</f>
        <v>46419</v>
      </c>
      <c r="H83" s="6" t="str">
        <f>IF(INDEX(Proj_Reg!C:C,MATCH($C83,Proj_Reg!$B:$B,0),1)=0,"",INDEX(Proj_Reg!C:C,MATCH($C83,Proj_Reg!$B:$B,0),1))</f>
        <v>Wafer Saw Dicing</v>
      </c>
      <c r="I83" s="6" t="str">
        <f>IF(INDEX(Proj_Reg!D:D,MATCH($C83,Proj_Reg!$B:$B,0),1)=0,"",INDEX(Proj_Reg!D:D,MATCH($C83,Proj_Reg!$B:$B,0),1))</f>
        <v>XCD</v>
      </c>
      <c r="J83" s="6" t="str">
        <f>INDEX(Proj_Reg!E:E,MATCH($C83,Proj_Reg!$B:$B,0),1)</f>
        <v>Chip Cleaning Solvent 1</v>
      </c>
      <c r="K83" s="21">
        <v>9.7799840000000002E-3</v>
      </c>
      <c r="L83" s="21">
        <v>0</v>
      </c>
      <c r="M83" s="21">
        <v>1.3071317186230006E-2</v>
      </c>
      <c r="N83" s="21">
        <v>0</v>
      </c>
      <c r="O83" s="11">
        <f>SUM(Table1[[#This Row],[Labor
Saving]:[OH
Saving]])</f>
        <v>2.2851301186230008E-2</v>
      </c>
      <c r="Q83" s="40">
        <f t="shared" si="52"/>
        <v>0</v>
      </c>
      <c r="R83" s="40">
        <f t="shared" si="53"/>
        <v>0</v>
      </c>
      <c r="S83" s="40">
        <f t="shared" si="54"/>
        <v>102642.3</v>
      </c>
      <c r="T83" s="40">
        <f t="shared" si="55"/>
        <v>354371</v>
      </c>
      <c r="U83" s="40">
        <f t="shared" si="56"/>
        <v>405156</v>
      </c>
      <c r="V83" s="40">
        <f t="shared" si="57"/>
        <v>366126</v>
      </c>
      <c r="W83" s="40">
        <f t="shared" si="58"/>
        <v>417726</v>
      </c>
      <c r="X83" s="40">
        <f t="shared" si="59"/>
        <v>329603</v>
      </c>
      <c r="Y83" s="40">
        <f t="shared" si="60"/>
        <v>340790</v>
      </c>
      <c r="Z83" s="40">
        <f t="shared" si="61"/>
        <v>318150</v>
      </c>
      <c r="AA83" s="40">
        <f t="shared" si="62"/>
        <v>300655</v>
      </c>
      <c r="AB83" s="40">
        <f t="shared" si="63"/>
        <v>267146</v>
      </c>
      <c r="AC83" s="37">
        <f>SUM(Table1[[#This Row],[Jan]:[Dec]])</f>
        <v>3202365.3</v>
      </c>
      <c r="AD83" s="15">
        <f t="shared" si="72"/>
        <v>0</v>
      </c>
      <c r="AE83" s="15">
        <f t="shared" si="73"/>
        <v>0</v>
      </c>
      <c r="AF83" s="15">
        <f t="shared" si="74"/>
        <v>2345.5101117473764</v>
      </c>
      <c r="AG83" s="15">
        <f t="shared" si="75"/>
        <v>8097.8384526655145</v>
      </c>
      <c r="AH83" s="15">
        <f t="shared" si="76"/>
        <v>9258.3417834082047</v>
      </c>
      <c r="AI83" s="15">
        <f t="shared" si="77"/>
        <v>8366.455498109648</v>
      </c>
      <c r="AJ83" s="15">
        <f t="shared" si="78"/>
        <v>9545.5826393191164</v>
      </c>
      <c r="AK83" s="15">
        <f t="shared" si="79"/>
        <v>7531.8574248849691</v>
      </c>
      <c r="AL83" s="15">
        <f t="shared" si="80"/>
        <v>7787.4949312553244</v>
      </c>
      <c r="AM83" s="15">
        <f t="shared" si="81"/>
        <v>7270.1414723990774</v>
      </c>
      <c r="AN83" s="15">
        <f t="shared" si="82"/>
        <v>6870.3579581459835</v>
      </c>
      <c r="AO83" s="15">
        <f t="shared" si="83"/>
        <v>6104.6337066966016</v>
      </c>
      <c r="AP83" s="10">
        <f t="shared" si="84"/>
        <v>2345.5101117473764</v>
      </c>
      <c r="AQ83" s="10">
        <f t="shared" si="85"/>
        <v>25722.635734183368</v>
      </c>
      <c r="AR83" s="10">
        <f t="shared" si="86"/>
        <v>24864.934995459411</v>
      </c>
      <c r="AS83" s="10">
        <f t="shared" si="87"/>
        <v>20245.133137241661</v>
      </c>
      <c r="AT83" s="10" t="b">
        <f t="shared" si="88"/>
        <v>1</v>
      </c>
      <c r="AU83" s="10">
        <f t="shared" si="64"/>
        <v>31319.081396155198</v>
      </c>
      <c r="AV83" s="10">
        <f t="shared" si="65"/>
        <v>0</v>
      </c>
      <c r="AW83" s="10">
        <f t="shared" si="66"/>
        <v>41859.13258247661</v>
      </c>
      <c r="AX83" s="10">
        <f t="shared" si="67"/>
        <v>0</v>
      </c>
      <c r="AY83" s="10">
        <f t="shared" si="89"/>
        <v>73178.2139786318</v>
      </c>
      <c r="AZ83" s="19">
        <f>IFERROR(IF($E83="REC",INDEX(A_Type_Volume!$B:$B,MATCH($D83,A_Type_Volume!$A:$A,0),1),IF($E83="VAM",INDEX(C_Type_Volume!$B:$B,MATCH($D83,C_Type_Volume!$A:$A,0),1),"X")),"")</f>
        <v>388434</v>
      </c>
      <c r="BA83" s="19">
        <f>IFERROR(IF($E83="REC",INDEX(A_Type_Volume!$C:$C,MATCH($D83,A_Type_Volume!$A:$A,0),1),IF($E83="VAM",INDEX(C_Type_Volume!$C:$C,MATCH($D83,C_Type_Volume!$A:$A,0),1),"X")),"")</f>
        <v>251443</v>
      </c>
      <c r="BB83" s="19">
        <f>IFERROR(IF($E83="REC",INDEX(A_Type_Volume!$D:$D,MATCH($D83,A_Type_Volume!$A:$A,0),1),IF($E83="VAM",INDEX(C_Type_Volume!$D:$D,MATCH($D83,C_Type_Volume!$A:$A,0),1),"X")),"")</f>
        <v>342141</v>
      </c>
      <c r="BC83" s="19">
        <f>IFERROR(IF($E83="REC",INDEX(A_Type_Volume!$E:$E,MATCH($D83,A_Type_Volume!$A:$A,0),1),IF($E83="VAM",INDEX(C_Type_Volume!$E:$E,MATCH($D83,C_Type_Volume!$A:$A,0),1),"X")),"")</f>
        <v>354371</v>
      </c>
      <c r="BD83" s="19">
        <f>IFERROR(IF($E83="REC",INDEX(A_Type_Volume!$F:$F,MATCH($D83,A_Type_Volume!$A:$A,0),1),IF($E83="VAM",INDEX(C_Type_Volume!$F:$F,MATCH($D83,C_Type_Volume!$A:$A,0),1),"X")),"")</f>
        <v>405156</v>
      </c>
      <c r="BE83" s="19">
        <f>IFERROR(IF($E83="REC",INDEX(A_Type_Volume!$G:$G,MATCH($D83,A_Type_Volume!$A:$A,0),1),IF($E83="VAM",INDEX(C_Type_Volume!$G:$G,MATCH($D83,C_Type_Volume!$A:$A,0),1),"X")),"")</f>
        <v>366126</v>
      </c>
      <c r="BF83" s="19">
        <f>IFERROR(IF($E83="REC",INDEX(A_Type_Volume!$H:$H,MATCH($D83,A_Type_Volume!$A:$A,0),1),IF($E83="VAM",INDEX(C_Type_Volume!$H:$H,MATCH($D83,C_Type_Volume!$A:$A,0),1),"X")),"")</f>
        <v>417726</v>
      </c>
      <c r="BG83" s="19">
        <f>IFERROR(IF($E83="REC",INDEX(A_Type_Volume!$I:$I,MATCH($D83,A_Type_Volume!$A:$A,0),1),IF($E83="VAM",INDEX(C_Type_Volume!$I:$I,MATCH($D83,C_Type_Volume!$A:$A,0),1),"X")),"")</f>
        <v>329603</v>
      </c>
      <c r="BH83" s="19">
        <f>IFERROR(IF($E83="REC",INDEX(A_Type_Volume!$J:$J,MATCH($D83,A_Type_Volume!$A:$A,0),1),IF($E83="VAM",INDEX(C_Type_Volume!$J:$J,MATCH($D83,C_Type_Volume!$A:$A,0),1),"X")),"")</f>
        <v>340790</v>
      </c>
      <c r="BI83" s="19">
        <f>IFERROR(IF($E83="REC",INDEX(A_Type_Volume!$K:$K,MATCH($D83,A_Type_Volume!$A:$A,0),1),IF($E83="VAM",INDEX(C_Type_Volume!$K:$K,MATCH($D83,C_Type_Volume!$A:$A,0),1),"X")),"")</f>
        <v>318150</v>
      </c>
      <c r="BJ83" s="19">
        <f>IFERROR(IF($E83="REC",INDEX(A_Type_Volume!$L:$L,MATCH($D83,A_Type_Volume!$A:$A,0),1),IF($E83="VAM",INDEX(C_Type_Volume!$L:$L,MATCH($D83,C_Type_Volume!$A:$A,0),1),"X")),"")</f>
        <v>300655</v>
      </c>
      <c r="BK83" s="19">
        <f>IFERROR(IF($E83="REC",INDEX(A_Type_Volume!M:M,MATCH($D83,A_Type_Volume!$A:$A,0),1),IF($E83="VAM",INDEX(C_Type_Volume!M:M,MATCH($D83,C_Type_Volume!$A:$A,0),1),"X")),"")</f>
        <v>267146</v>
      </c>
      <c r="BL83" s="38">
        <f>SUM(Table1[[#This Row],[Jan_AVF]:[Dec_AVF]])</f>
        <v>4081741</v>
      </c>
      <c r="BM83" s="16">
        <f t="shared" si="90"/>
        <v>8876.2223249720664</v>
      </c>
      <c r="BN83" s="16">
        <f t="shared" si="91"/>
        <v>5745.7997241692319</v>
      </c>
      <c r="BO83" s="16">
        <f t="shared" si="92"/>
        <v>7818.3670391579208</v>
      </c>
      <c r="BP83" s="16">
        <f t="shared" si="93"/>
        <v>8097.8384526655145</v>
      </c>
      <c r="BQ83" s="16">
        <f t="shared" si="94"/>
        <v>9258.3417834082047</v>
      </c>
      <c r="BR83" s="16">
        <f t="shared" si="95"/>
        <v>8366.455498109648</v>
      </c>
      <c r="BS83" s="16">
        <f t="shared" si="96"/>
        <v>9545.5826393191164</v>
      </c>
      <c r="BT83" s="16">
        <f t="shared" si="97"/>
        <v>7531.8574248849691</v>
      </c>
      <c r="BU83" s="16">
        <f t="shared" si="98"/>
        <v>7787.4949312553244</v>
      </c>
      <c r="BV83" s="16">
        <f t="shared" si="99"/>
        <v>7270.1414723990774</v>
      </c>
      <c r="BW83" s="16">
        <f t="shared" si="100"/>
        <v>6870.3579581459835</v>
      </c>
      <c r="BX83" s="16">
        <f t="shared" si="101"/>
        <v>6104.6337066966016</v>
      </c>
      <c r="BY83" s="10">
        <f t="shared" si="68"/>
        <v>22440.38908829922</v>
      </c>
      <c r="BZ83" s="10">
        <f t="shared" si="69"/>
        <v>25722.635734183368</v>
      </c>
      <c r="CA83" s="10">
        <f t="shared" si="70"/>
        <v>24864.934995459411</v>
      </c>
      <c r="CB83" s="10">
        <f t="shared" si="71"/>
        <v>20245.133137241661</v>
      </c>
      <c r="CC83" s="10">
        <f>IFERROR(Table1[[#This Row],[Labor
Saving]]*Table1[[#This Row],[Annual Volume]],"")</f>
        <v>39919.361672143998</v>
      </c>
      <c r="CD83" s="10">
        <f>IFERROR(Table1[[#This Row],[Annual Volume]]*Table1[[#This Row],[Yield
Saving]],"")</f>
        <v>0</v>
      </c>
      <c r="CE83" s="10">
        <f>IFERROR(Table1[[#This Row],[Annual Volume]]*Table1[[#This Row],[Material
Saving]],"")</f>
        <v>53353.731283039648</v>
      </c>
      <c r="CF83" s="10">
        <f>IFERROR(Table1[[#This Row],[OH
Saving]]*Table1[[#This Row],[Annual Volume]],"")</f>
        <v>0</v>
      </c>
      <c r="CG83" s="10">
        <f>SUM(Table1[[#This Row],[Labor_ASV]:[OH_ASV]])</f>
        <v>93273.092955183645</v>
      </c>
    </row>
    <row r="84" spans="1:85" x14ac:dyDescent="0.3">
      <c r="A84" t="str">
        <f>Table1[[#This Row],[Project Name]]&amp;Table1[[#This Row],[Part Number]]</f>
        <v>Chip Cleaning Solvent 2R81</v>
      </c>
      <c r="B84" t="str">
        <f>IFERROR(Table1[[#This Row],[Project Number]]&amp;Table1[[#This Row],[Part Number]],"")</f>
        <v>AME25-048R81</v>
      </c>
      <c r="C84" s="22" t="s">
        <v>100</v>
      </c>
      <c r="D84" s="24" t="s">
        <v>319</v>
      </c>
      <c r="E84" s="25" t="s">
        <v>58</v>
      </c>
      <c r="F84" s="6">
        <f>INDEX(Proj_Reg!G:G,MATCH($C84,Proj_Reg!$B:$B,0),1)</f>
        <v>46113</v>
      </c>
      <c r="G84" s="6">
        <f>INDEX(Proj_Reg!H:H,MATCH($C84,Proj_Reg!$B:$B,0),1)</f>
        <v>46447</v>
      </c>
      <c r="H84" s="6" t="str">
        <f>IF(INDEX(Proj_Reg!C:C,MATCH($C84,Proj_Reg!$B:$B,0),1)=0,"",INDEX(Proj_Reg!C:C,MATCH($C84,Proj_Reg!$B:$B,0),1))</f>
        <v>Wafer Saw Dicing</v>
      </c>
      <c r="I84" s="6" t="str">
        <f>IF(INDEX(Proj_Reg!D:D,MATCH($C84,Proj_Reg!$B:$B,0),1)=0,"",INDEX(Proj_Reg!D:D,MATCH($C84,Proj_Reg!$B:$B,0),1))</f>
        <v>XCD</v>
      </c>
      <c r="J84" s="6" t="str">
        <f>INDEX(Proj_Reg!E:E,MATCH($C84,Proj_Reg!$B:$B,0),1)</f>
        <v>Chip Cleaning Solvent 2</v>
      </c>
      <c r="K84" s="21">
        <v>9.7799840000000002E-3</v>
      </c>
      <c r="L84" s="21">
        <v>0</v>
      </c>
      <c r="M84" s="21">
        <v>1.3071317186230006E-2</v>
      </c>
      <c r="N84" s="21">
        <v>0</v>
      </c>
      <c r="O84" s="11">
        <f>SUM(Table1[[#This Row],[Labor
Saving]:[OH
Saving]])</f>
        <v>2.2851301186230008E-2</v>
      </c>
      <c r="Q84" s="40">
        <f t="shared" si="52"/>
        <v>0</v>
      </c>
      <c r="R84" s="40">
        <f t="shared" si="53"/>
        <v>0</v>
      </c>
      <c r="S84" s="40">
        <f t="shared" si="54"/>
        <v>0</v>
      </c>
      <c r="T84" s="40">
        <f t="shared" si="55"/>
        <v>81400.5</v>
      </c>
      <c r="U84" s="40">
        <f t="shared" si="56"/>
        <v>161181</v>
      </c>
      <c r="V84" s="40">
        <f t="shared" si="57"/>
        <v>0</v>
      </c>
      <c r="W84" s="40">
        <f t="shared" si="58"/>
        <v>309606</v>
      </c>
      <c r="X84" s="40">
        <f t="shared" si="59"/>
        <v>241230</v>
      </c>
      <c r="Y84" s="40">
        <f t="shared" si="60"/>
        <v>234130</v>
      </c>
      <c r="Z84" s="40">
        <f t="shared" si="61"/>
        <v>208152</v>
      </c>
      <c r="AA84" s="40">
        <f t="shared" si="62"/>
        <v>230519</v>
      </c>
      <c r="AB84" s="40">
        <f t="shared" si="63"/>
        <v>178094</v>
      </c>
      <c r="AC84" s="37">
        <f>SUM(Table1[[#This Row],[Jan]:[Dec]])</f>
        <v>1644312.5</v>
      </c>
      <c r="AD84" s="15">
        <f t="shared" si="72"/>
        <v>0</v>
      </c>
      <c r="AE84" s="15">
        <f t="shared" si="73"/>
        <v>0</v>
      </c>
      <c r="AF84" s="15">
        <f t="shared" si="74"/>
        <v>0</v>
      </c>
      <c r="AG84" s="15">
        <f t="shared" si="75"/>
        <v>1860.1073422097159</v>
      </c>
      <c r="AH84" s="15">
        <f t="shared" si="76"/>
        <v>3683.1955764977388</v>
      </c>
      <c r="AI84" s="15">
        <f t="shared" si="77"/>
        <v>0</v>
      </c>
      <c r="AJ84" s="15">
        <f t="shared" si="78"/>
        <v>7074.8999550639282</v>
      </c>
      <c r="AK84" s="15">
        <f t="shared" si="79"/>
        <v>5512.419385154265</v>
      </c>
      <c r="AL84" s="15">
        <f t="shared" si="80"/>
        <v>5350.1751467320319</v>
      </c>
      <c r="AM84" s="15">
        <f t="shared" si="81"/>
        <v>4756.5440445161485</v>
      </c>
      <c r="AN84" s="15">
        <f t="shared" si="82"/>
        <v>5267.6590981485551</v>
      </c>
      <c r="AO84" s="15">
        <f t="shared" si="83"/>
        <v>4069.6796334604469</v>
      </c>
      <c r="AP84" s="10">
        <f t="shared" si="84"/>
        <v>0</v>
      </c>
      <c r="AQ84" s="10">
        <f t="shared" si="85"/>
        <v>5543.3029187074544</v>
      </c>
      <c r="AR84" s="10">
        <f t="shared" si="86"/>
        <v>17937.494486950225</v>
      </c>
      <c r="AS84" s="10">
        <f t="shared" si="87"/>
        <v>14093.882776125152</v>
      </c>
      <c r="AT84" s="10" t="b">
        <f t="shared" si="88"/>
        <v>1</v>
      </c>
      <c r="AU84" s="10">
        <f t="shared" si="64"/>
        <v>16081.349941</v>
      </c>
      <c r="AV84" s="10">
        <f t="shared" si="65"/>
        <v>0</v>
      </c>
      <c r="AW84" s="10">
        <f t="shared" si="66"/>
        <v>21493.330240782827</v>
      </c>
      <c r="AX84" s="10">
        <f t="shared" si="67"/>
        <v>0</v>
      </c>
      <c r="AY84" s="10">
        <f t="shared" si="89"/>
        <v>37574.680181782824</v>
      </c>
      <c r="AZ84" s="19">
        <f>IFERROR(IF($E84="REC",INDEX(A_Type_Volume!$B:$B,MATCH($D84,A_Type_Volume!$A:$A,0),1),IF($E84="VAM",INDEX(C_Type_Volume!$B:$B,MATCH($D84,C_Type_Volume!$A:$A,0),1),"X")),"")</f>
        <v>324387</v>
      </c>
      <c r="BA84" s="19">
        <f>IFERROR(IF($E84="REC",INDEX(A_Type_Volume!$C:$C,MATCH($D84,A_Type_Volume!$A:$A,0),1),IF($E84="VAM",INDEX(C_Type_Volume!$C:$C,MATCH($D84,C_Type_Volume!$A:$A,0),1),"X")),"")</f>
        <v>290516</v>
      </c>
      <c r="BB84" s="19">
        <f>IFERROR(IF($E84="REC",INDEX(A_Type_Volume!$D:$D,MATCH($D84,A_Type_Volume!$A:$A,0),1),IF($E84="VAM",INDEX(C_Type_Volume!$D:$D,MATCH($D84,C_Type_Volume!$A:$A,0),1),"X")),"")</f>
        <v>0</v>
      </c>
      <c r="BC84" s="19">
        <f>IFERROR(IF($E84="REC",INDEX(A_Type_Volume!$E:$E,MATCH($D84,A_Type_Volume!$A:$A,0),1),IF($E84="VAM",INDEX(C_Type_Volume!$E:$E,MATCH($D84,C_Type_Volume!$A:$A,0),1),"X")),"")</f>
        <v>271335</v>
      </c>
      <c r="BD84" s="19">
        <f>IFERROR(IF($E84="REC",INDEX(A_Type_Volume!$F:$F,MATCH($D84,A_Type_Volume!$A:$A,0),1),IF($E84="VAM",INDEX(C_Type_Volume!$F:$F,MATCH($D84,C_Type_Volume!$A:$A,0),1),"X")),"")</f>
        <v>161181</v>
      </c>
      <c r="BE84" s="19">
        <f>IFERROR(IF($E84="REC",INDEX(A_Type_Volume!$G:$G,MATCH($D84,A_Type_Volume!$A:$A,0),1),IF($E84="VAM",INDEX(C_Type_Volume!$G:$G,MATCH($D84,C_Type_Volume!$A:$A,0),1),"X")),"")</f>
        <v>0</v>
      </c>
      <c r="BF84" s="19">
        <f>IFERROR(IF($E84="REC",INDEX(A_Type_Volume!$H:$H,MATCH($D84,A_Type_Volume!$A:$A,0),1),IF($E84="VAM",INDEX(C_Type_Volume!$H:$H,MATCH($D84,C_Type_Volume!$A:$A,0),1),"X")),"")</f>
        <v>309606</v>
      </c>
      <c r="BG84" s="19">
        <f>IFERROR(IF($E84="REC",INDEX(A_Type_Volume!$I:$I,MATCH($D84,A_Type_Volume!$A:$A,0),1),IF($E84="VAM",INDEX(C_Type_Volume!$I:$I,MATCH($D84,C_Type_Volume!$A:$A,0),1),"X")),"")</f>
        <v>241230</v>
      </c>
      <c r="BH84" s="19">
        <f>IFERROR(IF($E84="REC",INDEX(A_Type_Volume!$J:$J,MATCH($D84,A_Type_Volume!$A:$A,0),1),IF($E84="VAM",INDEX(C_Type_Volume!$J:$J,MATCH($D84,C_Type_Volume!$A:$A,0),1),"X")),"")</f>
        <v>234130</v>
      </c>
      <c r="BI84" s="19">
        <f>IFERROR(IF($E84="REC",INDEX(A_Type_Volume!$K:$K,MATCH($D84,A_Type_Volume!$A:$A,0),1),IF($E84="VAM",INDEX(C_Type_Volume!$K:$K,MATCH($D84,C_Type_Volume!$A:$A,0),1),"X")),"")</f>
        <v>208152</v>
      </c>
      <c r="BJ84" s="19">
        <f>IFERROR(IF($E84="REC",INDEX(A_Type_Volume!$L:$L,MATCH($D84,A_Type_Volume!$A:$A,0),1),IF($E84="VAM",INDEX(C_Type_Volume!$L:$L,MATCH($D84,C_Type_Volume!$A:$A,0),1),"X")),"")</f>
        <v>230519</v>
      </c>
      <c r="BK84" s="19">
        <f>IFERROR(IF($E84="REC",INDEX(A_Type_Volume!M:M,MATCH($D84,A_Type_Volume!$A:$A,0),1),IF($E84="VAM",INDEX(C_Type_Volume!M:M,MATCH($D84,C_Type_Volume!$A:$A,0),1),"X")),"")</f>
        <v>178094</v>
      </c>
      <c r="BL84" s="38">
        <f>SUM(Table1[[#This Row],[Jan_AVF]:[Dec_AVF]])</f>
        <v>2449150</v>
      </c>
      <c r="BM84" s="16">
        <f t="shared" si="90"/>
        <v>7412.6650378975937</v>
      </c>
      <c r="BN84" s="16">
        <f t="shared" si="91"/>
        <v>6638.6686154187973</v>
      </c>
      <c r="BO84" s="16">
        <f t="shared" si="92"/>
        <v>0</v>
      </c>
      <c r="BP84" s="16">
        <f t="shared" si="93"/>
        <v>6200.3578073657191</v>
      </c>
      <c r="BQ84" s="16">
        <f t="shared" si="94"/>
        <v>3683.1955764977388</v>
      </c>
      <c r="BR84" s="16">
        <f t="shared" si="95"/>
        <v>0</v>
      </c>
      <c r="BS84" s="16">
        <f t="shared" si="96"/>
        <v>7074.8999550639282</v>
      </c>
      <c r="BT84" s="16">
        <f t="shared" si="97"/>
        <v>5512.419385154265</v>
      </c>
      <c r="BU84" s="16">
        <f t="shared" si="98"/>
        <v>5350.1751467320319</v>
      </c>
      <c r="BV84" s="16">
        <f t="shared" si="99"/>
        <v>4756.5440445161485</v>
      </c>
      <c r="BW84" s="16">
        <f t="shared" si="100"/>
        <v>5267.6590981485551</v>
      </c>
      <c r="BX84" s="16">
        <f t="shared" si="101"/>
        <v>4069.6796334604469</v>
      </c>
      <c r="BY84" s="10">
        <f t="shared" si="68"/>
        <v>14051.333653316391</v>
      </c>
      <c r="BZ84" s="10">
        <f t="shared" si="69"/>
        <v>9883.5533838634583</v>
      </c>
      <c r="CA84" s="10">
        <f t="shared" si="70"/>
        <v>17937.494486950225</v>
      </c>
      <c r="CB84" s="10">
        <f t="shared" si="71"/>
        <v>14093.882776125152</v>
      </c>
      <c r="CC84" s="10">
        <f>IFERROR(Table1[[#This Row],[Labor
Saving]]*Table1[[#This Row],[Annual Volume]],"")</f>
        <v>23952.647813600001</v>
      </c>
      <c r="CD84" s="10">
        <f>IFERROR(Table1[[#This Row],[Annual Volume]]*Table1[[#This Row],[Yield
Saving]],"")</f>
        <v>0</v>
      </c>
      <c r="CE84" s="10">
        <f>IFERROR(Table1[[#This Row],[Annual Volume]]*Table1[[#This Row],[Material
Saving]],"")</f>
        <v>32013.616486655221</v>
      </c>
      <c r="CF84" s="10">
        <f>IFERROR(Table1[[#This Row],[OH
Saving]]*Table1[[#This Row],[Annual Volume]],"")</f>
        <v>0</v>
      </c>
      <c r="CG84" s="10">
        <f>SUM(Table1[[#This Row],[Labor_ASV]:[OH_ASV]])</f>
        <v>55966.264300255221</v>
      </c>
    </row>
    <row r="85" spans="1:85" x14ac:dyDescent="0.3">
      <c r="A85" t="str">
        <f>Table1[[#This Row],[Project Name]]&amp;Table1[[#This Row],[Part Number]]</f>
        <v>Chip Cleaning Solvent 4R23</v>
      </c>
      <c r="B85" t="str">
        <f>IFERROR(Table1[[#This Row],[Project Number]]&amp;Table1[[#This Row],[Part Number]],"")</f>
        <v>AME25-050R23</v>
      </c>
      <c r="C85" s="22" t="s">
        <v>102</v>
      </c>
      <c r="D85" s="24" t="s">
        <v>261</v>
      </c>
      <c r="E85" s="25" t="s">
        <v>58</v>
      </c>
      <c r="F85" s="6">
        <f>INDEX(Proj_Reg!G:G,MATCH($C85,Proj_Reg!$B:$B,0),1)</f>
        <v>46113</v>
      </c>
      <c r="G85" s="6">
        <f>INDEX(Proj_Reg!H:H,MATCH($C85,Proj_Reg!$B:$B,0),1)</f>
        <v>46447</v>
      </c>
      <c r="H85" s="6" t="str">
        <f>IF(INDEX(Proj_Reg!C:C,MATCH($C85,Proj_Reg!$B:$B,0),1)=0,"",INDEX(Proj_Reg!C:C,MATCH($C85,Proj_Reg!$B:$B,0),1))</f>
        <v>Wafer Saw Dicing</v>
      </c>
      <c r="I85" s="6" t="str">
        <f>IF(INDEX(Proj_Reg!D:D,MATCH($C85,Proj_Reg!$B:$B,0),1)=0,"",INDEX(Proj_Reg!D:D,MATCH($C85,Proj_Reg!$B:$B,0),1))</f>
        <v>XCD</v>
      </c>
      <c r="J85" s="6" t="str">
        <f>INDEX(Proj_Reg!E:E,MATCH($C85,Proj_Reg!$B:$B,0),1)</f>
        <v>Chip Cleaning Solvent 4</v>
      </c>
      <c r="K85" s="21">
        <v>1.8376159999999989E-3</v>
      </c>
      <c r="L85" s="21">
        <v>0</v>
      </c>
      <c r="M85" s="21">
        <v>-7.202972883000092E-5</v>
      </c>
      <c r="N85" s="21">
        <v>0</v>
      </c>
      <c r="O85" s="11">
        <f>SUM(Table1[[#This Row],[Labor
Saving]:[OH
Saving]])</f>
        <v>1.7655862711699981E-3</v>
      </c>
      <c r="Q85" s="40">
        <f t="shared" si="52"/>
        <v>0</v>
      </c>
      <c r="R85" s="40">
        <f t="shared" si="53"/>
        <v>0</v>
      </c>
      <c r="S85" s="40">
        <f t="shared" si="54"/>
        <v>0</v>
      </c>
      <c r="T85" s="40">
        <f t="shared" si="55"/>
        <v>30627</v>
      </c>
      <c r="U85" s="40">
        <f t="shared" si="56"/>
        <v>125834</v>
      </c>
      <c r="V85" s="40">
        <f t="shared" si="57"/>
        <v>111253</v>
      </c>
      <c r="W85" s="40">
        <f t="shared" si="58"/>
        <v>107294</v>
      </c>
      <c r="X85" s="40">
        <f t="shared" si="59"/>
        <v>83598</v>
      </c>
      <c r="Y85" s="40">
        <f t="shared" si="60"/>
        <v>89239</v>
      </c>
      <c r="Z85" s="40">
        <f t="shared" si="61"/>
        <v>131136</v>
      </c>
      <c r="AA85" s="40">
        <f t="shared" si="62"/>
        <v>145227</v>
      </c>
      <c r="AB85" s="40">
        <f t="shared" si="63"/>
        <v>112199</v>
      </c>
      <c r="AC85" s="37">
        <f>SUM(Table1[[#This Row],[Jan]:[Dec]])</f>
        <v>936407</v>
      </c>
      <c r="AD85" s="15">
        <f t="shared" si="72"/>
        <v>0</v>
      </c>
      <c r="AE85" s="15">
        <f t="shared" si="73"/>
        <v>0</v>
      </c>
      <c r="AF85" s="15">
        <f t="shared" si="74"/>
        <v>0</v>
      </c>
      <c r="AG85" s="15">
        <f t="shared" si="75"/>
        <v>54.074610727123535</v>
      </c>
      <c r="AH85" s="15">
        <f t="shared" si="76"/>
        <v>222.17078284640553</v>
      </c>
      <c r="AI85" s="15">
        <f t="shared" si="77"/>
        <v>196.4267694264758</v>
      </c>
      <c r="AJ85" s="15">
        <f t="shared" si="78"/>
        <v>189.43681337891377</v>
      </c>
      <c r="AK85" s="15">
        <f t="shared" si="79"/>
        <v>147.59948109726949</v>
      </c>
      <c r="AL85" s="15">
        <f t="shared" si="80"/>
        <v>157.55915325293947</v>
      </c>
      <c r="AM85" s="15">
        <f t="shared" si="81"/>
        <v>231.53192125614888</v>
      </c>
      <c r="AN85" s="15">
        <f t="shared" si="82"/>
        <v>256.41079740320532</v>
      </c>
      <c r="AO85" s="15">
        <f t="shared" si="83"/>
        <v>198.09701403900263</v>
      </c>
      <c r="AP85" s="10">
        <f t="shared" si="84"/>
        <v>0</v>
      </c>
      <c r="AQ85" s="10">
        <f t="shared" si="85"/>
        <v>472.67216300000484</v>
      </c>
      <c r="AR85" s="10">
        <f t="shared" si="86"/>
        <v>494.59544772912272</v>
      </c>
      <c r="AS85" s="10">
        <f t="shared" si="87"/>
        <v>686.03973269835683</v>
      </c>
      <c r="AT85" s="10" t="b">
        <f t="shared" si="88"/>
        <v>1</v>
      </c>
      <c r="AU85" s="10">
        <f t="shared" si="64"/>
        <v>1720.7564857119989</v>
      </c>
      <c r="AV85" s="10">
        <f t="shared" si="65"/>
        <v>0</v>
      </c>
      <c r="AW85" s="10">
        <f t="shared" si="66"/>
        <v>-67.449142284514664</v>
      </c>
      <c r="AX85" s="10">
        <f t="shared" si="67"/>
        <v>0</v>
      </c>
      <c r="AY85" s="10">
        <f t="shared" si="89"/>
        <v>1653.3073434274843</v>
      </c>
      <c r="AZ85" s="19">
        <f>IFERROR(IF($E85="REC",INDEX(A_Type_Volume!$B:$B,MATCH($D85,A_Type_Volume!$A:$A,0),1),IF($E85="VAM",INDEX(C_Type_Volume!$B:$B,MATCH($D85,C_Type_Volume!$A:$A,0),1),"X")),"")</f>
        <v>37986</v>
      </c>
      <c r="BA85" s="19">
        <f>IFERROR(IF($E85="REC",INDEX(A_Type_Volume!$C:$C,MATCH($D85,A_Type_Volume!$A:$A,0),1),IF($E85="VAM",INDEX(C_Type_Volume!$C:$C,MATCH($D85,C_Type_Volume!$A:$A,0),1),"X")),"")</f>
        <v>48894</v>
      </c>
      <c r="BB85" s="19">
        <f>IFERROR(IF($E85="REC",INDEX(A_Type_Volume!$D:$D,MATCH($D85,A_Type_Volume!$A:$A,0),1),IF($E85="VAM",INDEX(C_Type_Volume!$D:$D,MATCH($D85,C_Type_Volume!$A:$A,0),1),"X")),"")</f>
        <v>62463</v>
      </c>
      <c r="BC85" s="19">
        <f>IFERROR(IF($E85="REC",INDEX(A_Type_Volume!$E:$E,MATCH($D85,A_Type_Volume!$A:$A,0),1),IF($E85="VAM",INDEX(C_Type_Volume!$E:$E,MATCH($D85,C_Type_Volume!$A:$A,0),1),"X")),"")</f>
        <v>102090</v>
      </c>
      <c r="BD85" s="19">
        <f>IFERROR(IF($E85="REC",INDEX(A_Type_Volume!$F:$F,MATCH($D85,A_Type_Volume!$A:$A,0),1),IF($E85="VAM",INDEX(C_Type_Volume!$F:$F,MATCH($D85,C_Type_Volume!$A:$A,0),1),"X")),"")</f>
        <v>125834</v>
      </c>
      <c r="BE85" s="19">
        <f>IFERROR(IF($E85="REC",INDEX(A_Type_Volume!$G:$G,MATCH($D85,A_Type_Volume!$A:$A,0),1),IF($E85="VAM",INDEX(C_Type_Volume!$G:$G,MATCH($D85,C_Type_Volume!$A:$A,0),1),"X")),"")</f>
        <v>111253</v>
      </c>
      <c r="BF85" s="19">
        <f>IFERROR(IF($E85="REC",INDEX(A_Type_Volume!$H:$H,MATCH($D85,A_Type_Volume!$A:$A,0),1),IF($E85="VAM",INDEX(C_Type_Volume!$H:$H,MATCH($D85,C_Type_Volume!$A:$A,0),1),"X")),"")</f>
        <v>107294</v>
      </c>
      <c r="BG85" s="19">
        <f>IFERROR(IF($E85="REC",INDEX(A_Type_Volume!$I:$I,MATCH($D85,A_Type_Volume!$A:$A,0),1),IF($E85="VAM",INDEX(C_Type_Volume!$I:$I,MATCH($D85,C_Type_Volume!$A:$A,0),1),"X")),"")</f>
        <v>83598</v>
      </c>
      <c r="BH85" s="19">
        <f>IFERROR(IF($E85="REC",INDEX(A_Type_Volume!$J:$J,MATCH($D85,A_Type_Volume!$A:$A,0),1),IF($E85="VAM",INDEX(C_Type_Volume!$J:$J,MATCH($D85,C_Type_Volume!$A:$A,0),1),"X")),"")</f>
        <v>89239</v>
      </c>
      <c r="BI85" s="19">
        <f>IFERROR(IF($E85="REC",INDEX(A_Type_Volume!$K:$K,MATCH($D85,A_Type_Volume!$A:$A,0),1),IF($E85="VAM",INDEX(C_Type_Volume!$K:$K,MATCH($D85,C_Type_Volume!$A:$A,0),1),"X")),"")</f>
        <v>131136</v>
      </c>
      <c r="BJ85" s="19">
        <f>IFERROR(IF($E85="REC",INDEX(A_Type_Volume!$L:$L,MATCH($D85,A_Type_Volume!$A:$A,0),1),IF($E85="VAM",INDEX(C_Type_Volume!$L:$L,MATCH($D85,C_Type_Volume!$A:$A,0),1),"X")),"")</f>
        <v>145227</v>
      </c>
      <c r="BK85" s="19">
        <f>IFERROR(IF($E85="REC",INDEX(A_Type_Volume!M:M,MATCH($D85,A_Type_Volume!$A:$A,0),1),IF($E85="VAM",INDEX(C_Type_Volume!M:M,MATCH($D85,C_Type_Volume!$A:$A,0),1),"X")),"")</f>
        <v>112199</v>
      </c>
      <c r="BL85" s="38">
        <f>SUM(Table1[[#This Row],[Jan_AVF]:[Dec_AVF]])</f>
        <v>1157213</v>
      </c>
      <c r="BM85" s="16">
        <f t="shared" si="90"/>
        <v>67.067560096663541</v>
      </c>
      <c r="BN85" s="16">
        <f t="shared" si="91"/>
        <v>86.326575142585881</v>
      </c>
      <c r="BO85" s="16">
        <f t="shared" si="92"/>
        <v>110.28381525609159</v>
      </c>
      <c r="BP85" s="16">
        <f t="shared" si="93"/>
        <v>180.2487024237451</v>
      </c>
      <c r="BQ85" s="16">
        <f t="shared" si="94"/>
        <v>222.17078284640553</v>
      </c>
      <c r="BR85" s="16">
        <f t="shared" si="95"/>
        <v>196.4267694264758</v>
      </c>
      <c r="BS85" s="16">
        <f t="shared" si="96"/>
        <v>189.43681337891377</v>
      </c>
      <c r="BT85" s="16">
        <f t="shared" si="97"/>
        <v>147.59948109726949</v>
      </c>
      <c r="BU85" s="16">
        <f t="shared" si="98"/>
        <v>157.55915325293947</v>
      </c>
      <c r="BV85" s="16">
        <f t="shared" si="99"/>
        <v>231.53192125614888</v>
      </c>
      <c r="BW85" s="16">
        <f t="shared" si="100"/>
        <v>256.41079740320532</v>
      </c>
      <c r="BX85" s="16">
        <f t="shared" si="101"/>
        <v>198.09701403900263</v>
      </c>
      <c r="BY85" s="10">
        <f t="shared" si="68"/>
        <v>263.67795049534101</v>
      </c>
      <c r="BZ85" s="10">
        <f t="shared" si="69"/>
        <v>598.84625469662637</v>
      </c>
      <c r="CA85" s="10">
        <f t="shared" si="70"/>
        <v>494.59544772912272</v>
      </c>
      <c r="CB85" s="10">
        <f t="shared" si="71"/>
        <v>686.03973269835683</v>
      </c>
      <c r="CC85" s="10">
        <f>IFERROR(Table1[[#This Row],[Labor
Saving]]*Table1[[#This Row],[Annual Volume]],"")</f>
        <v>2126.5131242079988</v>
      </c>
      <c r="CD85" s="10">
        <f>IFERROR(Table1[[#This Row],[Annual Volume]]*Table1[[#This Row],[Yield
Saving]],"")</f>
        <v>0</v>
      </c>
      <c r="CE85" s="10">
        <f>IFERROR(Table1[[#This Row],[Annual Volume]]*Table1[[#This Row],[Material
Saving]],"")</f>
        <v>-83.353738588551849</v>
      </c>
      <c r="CF85" s="10">
        <f>IFERROR(Table1[[#This Row],[OH
Saving]]*Table1[[#This Row],[Annual Volume]],"")</f>
        <v>0</v>
      </c>
      <c r="CG85" s="10">
        <f>SUM(Table1[[#This Row],[Labor_ASV]:[OH_ASV]])</f>
        <v>2043.159385619447</v>
      </c>
    </row>
    <row r="86" spans="1:85" x14ac:dyDescent="0.3">
      <c r="A86" t="str">
        <f>Table1[[#This Row],[Project Name]]&amp;Table1[[#This Row],[Part Number]]</f>
        <v>Chip Cleaning Solvent 5R53</v>
      </c>
      <c r="B86" t="str">
        <f>IFERROR(Table1[[#This Row],[Project Number]]&amp;Table1[[#This Row],[Part Number]],"")</f>
        <v>AME25-051R53</v>
      </c>
      <c r="C86" s="22" t="s">
        <v>103</v>
      </c>
      <c r="D86" s="24" t="s">
        <v>291</v>
      </c>
      <c r="E86" s="25" t="s">
        <v>58</v>
      </c>
      <c r="F86" s="6">
        <f>INDEX(Proj_Reg!G:G,MATCH($C86,Proj_Reg!$B:$B,0),1)</f>
        <v>46113</v>
      </c>
      <c r="G86" s="6">
        <f>INDEX(Proj_Reg!H:H,MATCH($C86,Proj_Reg!$B:$B,0),1)</f>
        <v>46447</v>
      </c>
      <c r="H86" s="6" t="str">
        <f>IF(INDEX(Proj_Reg!C:C,MATCH($C86,Proj_Reg!$B:$B,0),1)=0,"",INDEX(Proj_Reg!C:C,MATCH($C86,Proj_Reg!$B:$B,0),1))</f>
        <v>Wafer Saw Dicing</v>
      </c>
      <c r="I86" s="6" t="str">
        <f>IF(INDEX(Proj_Reg!D:D,MATCH($C86,Proj_Reg!$B:$B,0),1)=0,"",INDEX(Proj_Reg!D:D,MATCH($C86,Proj_Reg!$B:$B,0),1))</f>
        <v>XCD</v>
      </c>
      <c r="J86" s="6" t="str">
        <f>INDEX(Proj_Reg!E:E,MATCH($C86,Proj_Reg!$B:$B,0),1)</f>
        <v>Chip Cleaning Solvent 5</v>
      </c>
      <c r="K86" s="21">
        <v>1.8376159999999989E-3</v>
      </c>
      <c r="L86" s="21">
        <v>0</v>
      </c>
      <c r="M86" s="21">
        <v>3.2731530485999294E-4</v>
      </c>
      <c r="N86" s="21">
        <v>0</v>
      </c>
      <c r="O86" s="11">
        <f>SUM(Table1[[#This Row],[Labor
Saving]:[OH
Saving]])</f>
        <v>2.164931304859992E-3</v>
      </c>
      <c r="Q86" s="40">
        <f t="shared" si="52"/>
        <v>0</v>
      </c>
      <c r="R86" s="40">
        <f t="shared" si="53"/>
        <v>0</v>
      </c>
      <c r="S86" s="40">
        <f t="shared" si="54"/>
        <v>0</v>
      </c>
      <c r="T86" s="40">
        <f t="shared" si="55"/>
        <v>96459.599999999991</v>
      </c>
      <c r="U86" s="40">
        <f t="shared" si="56"/>
        <v>377165</v>
      </c>
      <c r="V86" s="40">
        <f t="shared" si="57"/>
        <v>454259</v>
      </c>
      <c r="W86" s="40">
        <f t="shared" si="58"/>
        <v>349854</v>
      </c>
      <c r="X86" s="40">
        <f t="shared" si="59"/>
        <v>291888</v>
      </c>
      <c r="Y86" s="40">
        <f t="shared" si="60"/>
        <v>360560</v>
      </c>
      <c r="Z86" s="40">
        <f t="shared" si="61"/>
        <v>259150</v>
      </c>
      <c r="AA86" s="40">
        <f t="shared" si="62"/>
        <v>290454</v>
      </c>
      <c r="AB86" s="40">
        <f t="shared" si="63"/>
        <v>231522</v>
      </c>
      <c r="AC86" s="37">
        <f>SUM(Table1[[#This Row],[Jan]:[Dec]])</f>
        <v>2711311.6</v>
      </c>
      <c r="AD86" s="15">
        <f t="shared" si="72"/>
        <v>0</v>
      </c>
      <c r="AE86" s="15">
        <f t="shared" si="73"/>
        <v>0</v>
      </c>
      <c r="AF86" s="15">
        <f t="shared" si="74"/>
        <v>0</v>
      </c>
      <c r="AG86" s="15">
        <f t="shared" si="75"/>
        <v>208.82840769427287</v>
      </c>
      <c r="AH86" s="15">
        <f t="shared" si="76"/>
        <v>816.53631559751886</v>
      </c>
      <c r="AI86" s="15">
        <f t="shared" si="77"/>
        <v>983.43952961439516</v>
      </c>
      <c r="AJ86" s="15">
        <f t="shared" si="78"/>
        <v>757.40987673048767</v>
      </c>
      <c r="AK86" s="15">
        <f t="shared" si="79"/>
        <v>631.91746871297335</v>
      </c>
      <c r="AL86" s="15">
        <f t="shared" si="80"/>
        <v>780.58763128031876</v>
      </c>
      <c r="AM86" s="15">
        <f t="shared" si="81"/>
        <v>561.04194765446698</v>
      </c>
      <c r="AN86" s="15">
        <f t="shared" si="82"/>
        <v>628.81295722180414</v>
      </c>
      <c r="AO86" s="15">
        <f t="shared" si="83"/>
        <v>501.22922556379507</v>
      </c>
      <c r="AP86" s="10">
        <f t="shared" si="84"/>
        <v>0</v>
      </c>
      <c r="AQ86" s="10">
        <f t="shared" si="85"/>
        <v>2008.8042529061868</v>
      </c>
      <c r="AR86" s="10">
        <f t="shared" si="86"/>
        <v>2169.91497672378</v>
      </c>
      <c r="AS86" s="10">
        <f t="shared" si="87"/>
        <v>1691.0841304400662</v>
      </c>
      <c r="AT86" s="10" t="b">
        <f t="shared" si="88"/>
        <v>1</v>
      </c>
      <c r="AU86" s="10">
        <f t="shared" si="64"/>
        <v>4982.3495771455973</v>
      </c>
      <c r="AV86" s="10">
        <f t="shared" si="65"/>
        <v>0</v>
      </c>
      <c r="AW86" s="10">
        <f t="shared" si="66"/>
        <v>887.45378292443525</v>
      </c>
      <c r="AX86" s="10">
        <f t="shared" si="67"/>
        <v>0</v>
      </c>
      <c r="AY86" s="10">
        <f t="shared" si="89"/>
        <v>5869.8033600700328</v>
      </c>
      <c r="AZ86" s="19">
        <f>IFERROR(IF($E86="REC",INDEX(A_Type_Volume!$B:$B,MATCH($D86,A_Type_Volume!$A:$A,0),1),IF($E86="VAM",INDEX(C_Type_Volume!$B:$B,MATCH($D86,C_Type_Volume!$A:$A,0),1),"X")),"")</f>
        <v>437923</v>
      </c>
      <c r="BA86" s="19">
        <f>IFERROR(IF($E86="REC",INDEX(A_Type_Volume!$C:$C,MATCH($D86,A_Type_Volume!$A:$A,0),1),IF($E86="VAM",INDEX(C_Type_Volume!$C:$C,MATCH($D86,C_Type_Volume!$A:$A,0),1),"X")),"")</f>
        <v>334093</v>
      </c>
      <c r="BB86" s="19">
        <f>IFERROR(IF($E86="REC",INDEX(A_Type_Volume!$D:$D,MATCH($D86,A_Type_Volume!$A:$A,0),1),IF($E86="VAM",INDEX(C_Type_Volume!$D:$D,MATCH($D86,C_Type_Volume!$A:$A,0),1),"X")),"")</f>
        <v>495989</v>
      </c>
      <c r="BC86" s="19">
        <f>IFERROR(IF($E86="REC",INDEX(A_Type_Volume!$E:$E,MATCH($D86,A_Type_Volume!$A:$A,0),1),IF($E86="VAM",INDEX(C_Type_Volume!$E:$E,MATCH($D86,C_Type_Volume!$A:$A,0),1),"X")),"")</f>
        <v>321532</v>
      </c>
      <c r="BD86" s="19">
        <f>IFERROR(IF($E86="REC",INDEX(A_Type_Volume!$F:$F,MATCH($D86,A_Type_Volume!$A:$A,0),1),IF($E86="VAM",INDEX(C_Type_Volume!$F:$F,MATCH($D86,C_Type_Volume!$A:$A,0),1),"X")),"")</f>
        <v>377165</v>
      </c>
      <c r="BE86" s="19">
        <f>IFERROR(IF($E86="REC",INDEX(A_Type_Volume!$G:$G,MATCH($D86,A_Type_Volume!$A:$A,0),1),IF($E86="VAM",INDEX(C_Type_Volume!$G:$G,MATCH($D86,C_Type_Volume!$A:$A,0),1),"X")),"")</f>
        <v>454259</v>
      </c>
      <c r="BF86" s="19">
        <f>IFERROR(IF($E86="REC",INDEX(A_Type_Volume!$H:$H,MATCH($D86,A_Type_Volume!$A:$A,0),1),IF($E86="VAM",INDEX(C_Type_Volume!$H:$H,MATCH($D86,C_Type_Volume!$A:$A,0),1),"X")),"")</f>
        <v>349854</v>
      </c>
      <c r="BG86" s="19">
        <f>IFERROR(IF($E86="REC",INDEX(A_Type_Volume!$I:$I,MATCH($D86,A_Type_Volume!$A:$A,0),1),IF($E86="VAM",INDEX(C_Type_Volume!$I:$I,MATCH($D86,C_Type_Volume!$A:$A,0),1),"X")),"")</f>
        <v>291888</v>
      </c>
      <c r="BH86" s="19">
        <f>IFERROR(IF($E86="REC",INDEX(A_Type_Volume!$J:$J,MATCH($D86,A_Type_Volume!$A:$A,0),1),IF($E86="VAM",INDEX(C_Type_Volume!$J:$J,MATCH($D86,C_Type_Volume!$A:$A,0),1),"X")),"")</f>
        <v>360560</v>
      </c>
      <c r="BI86" s="19">
        <f>IFERROR(IF($E86="REC",INDEX(A_Type_Volume!$K:$K,MATCH($D86,A_Type_Volume!$A:$A,0),1),IF($E86="VAM",INDEX(C_Type_Volume!$K:$K,MATCH($D86,C_Type_Volume!$A:$A,0),1),"X")),"")</f>
        <v>259150</v>
      </c>
      <c r="BJ86" s="19">
        <f>IFERROR(IF($E86="REC",INDEX(A_Type_Volume!$L:$L,MATCH($D86,A_Type_Volume!$A:$A,0),1),IF($E86="VAM",INDEX(C_Type_Volume!$L:$L,MATCH($D86,C_Type_Volume!$A:$A,0),1),"X")),"")</f>
        <v>290454</v>
      </c>
      <c r="BK86" s="19">
        <f>IFERROR(IF($E86="REC",INDEX(A_Type_Volume!M:M,MATCH($D86,A_Type_Volume!$A:$A,0),1),IF($E86="VAM",INDEX(C_Type_Volume!M:M,MATCH($D86,C_Type_Volume!$A:$A,0),1),"X")),"")</f>
        <v>231522</v>
      </c>
      <c r="BL86" s="38">
        <f>SUM(Table1[[#This Row],[Jan_AVF]:[Dec_AVF]])</f>
        <v>4204389</v>
      </c>
      <c r="BM86" s="16">
        <f t="shared" si="90"/>
        <v>948.07321181820225</v>
      </c>
      <c r="BN86" s="16">
        <f t="shared" si="91"/>
        <v>723.28839443458935</v>
      </c>
      <c r="BO86" s="16">
        <f t="shared" si="92"/>
        <v>1073.7821129662025</v>
      </c>
      <c r="BP86" s="16">
        <f t="shared" si="93"/>
        <v>696.09469231424293</v>
      </c>
      <c r="BQ86" s="16">
        <f t="shared" si="94"/>
        <v>816.53631559751886</v>
      </c>
      <c r="BR86" s="16">
        <f t="shared" si="95"/>
        <v>983.43952961439516</v>
      </c>
      <c r="BS86" s="16">
        <f t="shared" si="96"/>
        <v>757.40987673048767</v>
      </c>
      <c r="BT86" s="16">
        <f t="shared" si="97"/>
        <v>631.91746871297335</v>
      </c>
      <c r="BU86" s="16">
        <f t="shared" si="98"/>
        <v>780.58763128031876</v>
      </c>
      <c r="BV86" s="16">
        <f t="shared" si="99"/>
        <v>561.04194765446698</v>
      </c>
      <c r="BW86" s="16">
        <f t="shared" si="100"/>
        <v>628.81295722180414</v>
      </c>
      <c r="BX86" s="16">
        <f t="shared" si="101"/>
        <v>501.22922556379507</v>
      </c>
      <c r="BY86" s="10">
        <f t="shared" si="68"/>
        <v>2745.1437192189942</v>
      </c>
      <c r="BZ86" s="10">
        <f t="shared" si="69"/>
        <v>2496.0705375261568</v>
      </c>
      <c r="CA86" s="10">
        <f t="shared" si="70"/>
        <v>2169.91497672378</v>
      </c>
      <c r="CB86" s="10">
        <f t="shared" si="71"/>
        <v>1691.0841304400662</v>
      </c>
      <c r="CC86" s="10">
        <f>IFERROR(Table1[[#This Row],[Labor
Saving]]*Table1[[#This Row],[Annual Volume]],"")</f>
        <v>7726.0524966239955</v>
      </c>
      <c r="CD86" s="10">
        <f>IFERROR(Table1[[#This Row],[Annual Volume]]*Table1[[#This Row],[Yield
Saving]],"")</f>
        <v>0</v>
      </c>
      <c r="CE86" s="10">
        <f>IFERROR(Table1[[#This Row],[Annual Volume]]*Table1[[#This Row],[Material
Saving]],"")</f>
        <v>1376.1608672850009</v>
      </c>
      <c r="CF86" s="10">
        <f>IFERROR(Table1[[#This Row],[OH
Saving]]*Table1[[#This Row],[Annual Volume]],"")</f>
        <v>0</v>
      </c>
      <c r="CG86" s="10">
        <f>SUM(Table1[[#This Row],[Labor_ASV]:[OH_ASV]])</f>
        <v>9102.2133639089971</v>
      </c>
    </row>
    <row r="87" spans="1:85" x14ac:dyDescent="0.3">
      <c r="A87" t="str">
        <f>Table1[[#This Row],[Project Name]]&amp;Table1[[#This Row],[Part Number]]</f>
        <v>Chip Cleaning Solvent 6R182</v>
      </c>
      <c r="B87" t="str">
        <f>IFERROR(Table1[[#This Row],[Project Number]]&amp;Table1[[#This Row],[Part Number]],"")</f>
        <v>AME25-052R182</v>
      </c>
      <c r="C87" s="22" t="s">
        <v>104</v>
      </c>
      <c r="D87" s="24" t="s">
        <v>420</v>
      </c>
      <c r="E87" s="25" t="s">
        <v>58</v>
      </c>
      <c r="F87" s="6">
        <f>INDEX(Proj_Reg!G:G,MATCH($C87,Proj_Reg!$B:$B,0),1)</f>
        <v>46296</v>
      </c>
      <c r="G87" s="6">
        <f>INDEX(Proj_Reg!H:H,MATCH($C87,Proj_Reg!$B:$B,0),1)</f>
        <v>46631</v>
      </c>
      <c r="H87" s="6" t="str">
        <f>IF(INDEX(Proj_Reg!C:C,MATCH($C87,Proj_Reg!$B:$B,0),1)=0,"",INDEX(Proj_Reg!C:C,MATCH($C87,Proj_Reg!$B:$B,0),1))</f>
        <v>Wafer Saw Dicing</v>
      </c>
      <c r="I87" s="6" t="str">
        <f>IF(INDEX(Proj_Reg!D:D,MATCH($C87,Proj_Reg!$B:$B,0),1)=0,"",INDEX(Proj_Reg!D:D,MATCH($C87,Proj_Reg!$B:$B,0),1))</f>
        <v>XCD</v>
      </c>
      <c r="J87" s="6" t="str">
        <f>INDEX(Proj_Reg!E:E,MATCH($C87,Proj_Reg!$B:$B,0),1)</f>
        <v>Chip Cleaning Solvent 6</v>
      </c>
      <c r="K87" s="21">
        <v>1.8376159999999989E-3</v>
      </c>
      <c r="L87" s="21">
        <v>0</v>
      </c>
      <c r="M87" s="21">
        <v>3.2731530485999294E-4</v>
      </c>
      <c r="N87" s="21">
        <v>0</v>
      </c>
      <c r="O87" s="11">
        <f>SUM(Table1[[#This Row],[Labor
Saving]:[OH
Saving]])</f>
        <v>2.164931304859992E-3</v>
      </c>
      <c r="Q87" s="40">
        <f t="shared" si="52"/>
        <v>0</v>
      </c>
      <c r="R87" s="40">
        <f t="shared" si="53"/>
        <v>0</v>
      </c>
      <c r="S87" s="40">
        <f t="shared" si="54"/>
        <v>0</v>
      </c>
      <c r="T87" s="40">
        <f t="shared" si="55"/>
        <v>0</v>
      </c>
      <c r="U87" s="40">
        <f t="shared" si="56"/>
        <v>0</v>
      </c>
      <c r="V87" s="40">
        <f t="shared" si="57"/>
        <v>0</v>
      </c>
      <c r="W87" s="40">
        <f t="shared" si="58"/>
        <v>0</v>
      </c>
      <c r="X87" s="40">
        <f t="shared" si="59"/>
        <v>0</v>
      </c>
      <c r="Y87" s="40">
        <f t="shared" si="60"/>
        <v>0</v>
      </c>
      <c r="Z87" s="40">
        <f t="shared" si="61"/>
        <v>0</v>
      </c>
      <c r="AA87" s="40">
        <f t="shared" si="62"/>
        <v>0</v>
      </c>
      <c r="AB87" s="40">
        <f t="shared" si="63"/>
        <v>0</v>
      </c>
      <c r="AC87" s="37">
        <f>SUM(Table1[[#This Row],[Jan]:[Dec]])</f>
        <v>0</v>
      </c>
      <c r="AD87" s="15">
        <f t="shared" si="72"/>
        <v>0</v>
      </c>
      <c r="AE87" s="15">
        <f t="shared" si="73"/>
        <v>0</v>
      </c>
      <c r="AF87" s="15">
        <f t="shared" si="74"/>
        <v>0</v>
      </c>
      <c r="AG87" s="15">
        <f t="shared" si="75"/>
        <v>0</v>
      </c>
      <c r="AH87" s="15">
        <f t="shared" si="76"/>
        <v>0</v>
      </c>
      <c r="AI87" s="15">
        <f t="shared" si="77"/>
        <v>0</v>
      </c>
      <c r="AJ87" s="15">
        <f t="shared" si="78"/>
        <v>0</v>
      </c>
      <c r="AK87" s="15">
        <f t="shared" si="79"/>
        <v>0</v>
      </c>
      <c r="AL87" s="15">
        <f t="shared" si="80"/>
        <v>0</v>
      </c>
      <c r="AM87" s="15">
        <f t="shared" si="81"/>
        <v>0</v>
      </c>
      <c r="AN87" s="15">
        <f t="shared" si="82"/>
        <v>0</v>
      </c>
      <c r="AO87" s="15">
        <f t="shared" si="83"/>
        <v>0</v>
      </c>
      <c r="AP87" s="10">
        <f t="shared" si="84"/>
        <v>0</v>
      </c>
      <c r="AQ87" s="10">
        <f t="shared" si="85"/>
        <v>0</v>
      </c>
      <c r="AR87" s="10">
        <f t="shared" si="86"/>
        <v>0</v>
      </c>
      <c r="AS87" s="10">
        <f t="shared" si="87"/>
        <v>0</v>
      </c>
      <c r="AT87" s="10" t="b">
        <f t="shared" si="88"/>
        <v>1</v>
      </c>
      <c r="AU87" s="10">
        <f t="shared" si="64"/>
        <v>0</v>
      </c>
      <c r="AV87" s="10">
        <f t="shared" si="65"/>
        <v>0</v>
      </c>
      <c r="AW87" s="10">
        <f t="shared" si="66"/>
        <v>0</v>
      </c>
      <c r="AX87" s="10">
        <f t="shared" si="67"/>
        <v>0</v>
      </c>
      <c r="AY87" s="10">
        <f t="shared" si="89"/>
        <v>0</v>
      </c>
      <c r="AZ87" s="19">
        <f>IFERROR(IF($E87="REC",INDEX(A_Type_Volume!$B:$B,MATCH($D87,A_Type_Volume!$A:$A,0),1),IF($E87="VAM",INDEX(C_Type_Volume!$B:$B,MATCH($D87,C_Type_Volume!$A:$A,0),1),"X")),"")</f>
        <v>0</v>
      </c>
      <c r="BA87" s="19">
        <f>IFERROR(IF($E87="REC",INDEX(A_Type_Volume!$C:$C,MATCH($D87,A_Type_Volume!$A:$A,0),1),IF($E87="VAM",INDEX(C_Type_Volume!$C:$C,MATCH($D87,C_Type_Volume!$A:$A,0),1),"X")),"")</f>
        <v>0</v>
      </c>
      <c r="BB87" s="19">
        <f>IFERROR(IF($E87="REC",INDEX(A_Type_Volume!$D:$D,MATCH($D87,A_Type_Volume!$A:$A,0),1),IF($E87="VAM",INDEX(C_Type_Volume!$D:$D,MATCH($D87,C_Type_Volume!$A:$A,0),1),"X")),"")</f>
        <v>0</v>
      </c>
      <c r="BC87" s="19">
        <f>IFERROR(IF($E87="REC",INDEX(A_Type_Volume!$E:$E,MATCH($D87,A_Type_Volume!$A:$A,0),1),IF($E87="VAM",INDEX(C_Type_Volume!$E:$E,MATCH($D87,C_Type_Volume!$A:$A,0),1),"X")),"")</f>
        <v>0</v>
      </c>
      <c r="BD87" s="19">
        <f>IFERROR(IF($E87="REC",INDEX(A_Type_Volume!$F:$F,MATCH($D87,A_Type_Volume!$A:$A,0),1),IF($E87="VAM",INDEX(C_Type_Volume!$F:$F,MATCH($D87,C_Type_Volume!$A:$A,0),1),"X")),"")</f>
        <v>0</v>
      </c>
      <c r="BE87" s="19">
        <f>IFERROR(IF($E87="REC",INDEX(A_Type_Volume!$G:$G,MATCH($D87,A_Type_Volume!$A:$A,0),1),IF($E87="VAM",INDEX(C_Type_Volume!$G:$G,MATCH($D87,C_Type_Volume!$A:$A,0),1),"X")),"")</f>
        <v>0</v>
      </c>
      <c r="BF87" s="19">
        <f>IFERROR(IF($E87="REC",INDEX(A_Type_Volume!$H:$H,MATCH($D87,A_Type_Volume!$A:$A,0),1),IF($E87="VAM",INDEX(C_Type_Volume!$H:$H,MATCH($D87,C_Type_Volume!$A:$A,0),1),"X")),"")</f>
        <v>0</v>
      </c>
      <c r="BG87" s="19">
        <f>IFERROR(IF($E87="REC",INDEX(A_Type_Volume!$I:$I,MATCH($D87,A_Type_Volume!$A:$A,0),1),IF($E87="VAM",INDEX(C_Type_Volume!$I:$I,MATCH($D87,C_Type_Volume!$A:$A,0),1),"X")),"")</f>
        <v>0</v>
      </c>
      <c r="BH87" s="19">
        <f>IFERROR(IF($E87="REC",INDEX(A_Type_Volume!$J:$J,MATCH($D87,A_Type_Volume!$A:$A,0),1),IF($E87="VAM",INDEX(C_Type_Volume!$J:$J,MATCH($D87,C_Type_Volume!$A:$A,0),1),"X")),"")</f>
        <v>0</v>
      </c>
      <c r="BI87" s="19">
        <f>IFERROR(IF($E87="REC",INDEX(A_Type_Volume!$K:$K,MATCH($D87,A_Type_Volume!$A:$A,0),1),IF($E87="VAM",INDEX(C_Type_Volume!$K:$K,MATCH($D87,C_Type_Volume!$A:$A,0),1),"X")),"")</f>
        <v>0</v>
      </c>
      <c r="BJ87" s="19">
        <f>IFERROR(IF($E87="REC",INDEX(A_Type_Volume!$L:$L,MATCH($D87,A_Type_Volume!$A:$A,0),1),IF($E87="VAM",INDEX(C_Type_Volume!$L:$L,MATCH($D87,C_Type_Volume!$A:$A,0),1),"X")),"")</f>
        <v>0</v>
      </c>
      <c r="BK87" s="19">
        <f>IFERROR(IF($E87="REC",INDEX(A_Type_Volume!M:M,MATCH($D87,A_Type_Volume!$A:$A,0),1),IF($E87="VAM",INDEX(C_Type_Volume!M:M,MATCH($D87,C_Type_Volume!$A:$A,0),1),"X")),"")</f>
        <v>0</v>
      </c>
      <c r="BL87" s="38">
        <f>SUM(Table1[[#This Row],[Jan_AVF]:[Dec_AVF]])</f>
        <v>0</v>
      </c>
      <c r="BM87" s="16">
        <f t="shared" si="90"/>
        <v>0</v>
      </c>
      <c r="BN87" s="16">
        <f t="shared" si="91"/>
        <v>0</v>
      </c>
      <c r="BO87" s="16">
        <f t="shared" si="92"/>
        <v>0</v>
      </c>
      <c r="BP87" s="16">
        <f t="shared" si="93"/>
        <v>0</v>
      </c>
      <c r="BQ87" s="16">
        <f t="shared" si="94"/>
        <v>0</v>
      </c>
      <c r="BR87" s="16">
        <f t="shared" si="95"/>
        <v>0</v>
      </c>
      <c r="BS87" s="16">
        <f t="shared" si="96"/>
        <v>0</v>
      </c>
      <c r="BT87" s="16">
        <f t="shared" si="97"/>
        <v>0</v>
      </c>
      <c r="BU87" s="16">
        <f t="shared" si="98"/>
        <v>0</v>
      </c>
      <c r="BV87" s="16">
        <f t="shared" si="99"/>
        <v>0</v>
      </c>
      <c r="BW87" s="16">
        <f t="shared" si="100"/>
        <v>0</v>
      </c>
      <c r="BX87" s="16">
        <f t="shared" si="101"/>
        <v>0</v>
      </c>
      <c r="BY87" s="10">
        <f t="shared" si="68"/>
        <v>0</v>
      </c>
      <c r="BZ87" s="10">
        <f t="shared" si="69"/>
        <v>0</v>
      </c>
      <c r="CA87" s="10">
        <f t="shared" si="70"/>
        <v>0</v>
      </c>
      <c r="CB87" s="10">
        <f t="shared" si="71"/>
        <v>0</v>
      </c>
      <c r="CC87" s="10">
        <f>IFERROR(Table1[[#This Row],[Labor
Saving]]*Table1[[#This Row],[Annual Volume]],"")</f>
        <v>0</v>
      </c>
      <c r="CD87" s="10">
        <f>IFERROR(Table1[[#This Row],[Annual Volume]]*Table1[[#This Row],[Yield
Saving]],"")</f>
        <v>0</v>
      </c>
      <c r="CE87" s="10">
        <f>IFERROR(Table1[[#This Row],[Annual Volume]]*Table1[[#This Row],[Material
Saving]],"")</f>
        <v>0</v>
      </c>
      <c r="CF87" s="10">
        <f>IFERROR(Table1[[#This Row],[OH
Saving]]*Table1[[#This Row],[Annual Volume]],"")</f>
        <v>0</v>
      </c>
      <c r="CG87" s="10">
        <f>SUM(Table1[[#This Row],[Labor_ASV]:[OH_ASV]])</f>
        <v>0</v>
      </c>
    </row>
    <row r="88" spans="1:85" x14ac:dyDescent="0.3">
      <c r="A88" t="str">
        <f>Table1[[#This Row],[Project Name]]&amp;Table1[[#This Row],[Part Number]]</f>
        <v>Chip Cleaning Solvent 6R183</v>
      </c>
      <c r="B88" t="str">
        <f>IFERROR(Table1[[#This Row],[Project Number]]&amp;Table1[[#This Row],[Part Number]],"")</f>
        <v>AME25-052R183</v>
      </c>
      <c r="C88" s="22" t="s">
        <v>104</v>
      </c>
      <c r="D88" s="24" t="s">
        <v>421</v>
      </c>
      <c r="E88" s="25" t="s">
        <v>58</v>
      </c>
      <c r="F88" s="6">
        <f>INDEX(Proj_Reg!G:G,MATCH($C88,Proj_Reg!$B:$B,0),1)</f>
        <v>46296</v>
      </c>
      <c r="G88" s="6">
        <f>INDEX(Proj_Reg!H:H,MATCH($C88,Proj_Reg!$B:$B,0),1)</f>
        <v>46631</v>
      </c>
      <c r="H88" s="6" t="str">
        <f>IF(INDEX(Proj_Reg!C:C,MATCH($C88,Proj_Reg!$B:$B,0),1)=0,"",INDEX(Proj_Reg!C:C,MATCH($C88,Proj_Reg!$B:$B,0),1))</f>
        <v>Wafer Saw Dicing</v>
      </c>
      <c r="I88" s="6" t="str">
        <f>IF(INDEX(Proj_Reg!D:D,MATCH($C88,Proj_Reg!$B:$B,0),1)=0,"",INDEX(Proj_Reg!D:D,MATCH($C88,Proj_Reg!$B:$B,0),1))</f>
        <v>XCD</v>
      </c>
      <c r="J88" s="6" t="str">
        <f>INDEX(Proj_Reg!E:E,MATCH($C88,Proj_Reg!$B:$B,0),1)</f>
        <v>Chip Cleaning Solvent 6</v>
      </c>
      <c r="K88" s="21">
        <v>8.9854079999999985E-3</v>
      </c>
      <c r="L88" s="21">
        <v>0</v>
      </c>
      <c r="M88" s="21">
        <v>0</v>
      </c>
      <c r="N88" s="21">
        <v>0</v>
      </c>
      <c r="O88" s="11">
        <f>SUM(Table1[[#This Row],[Labor
Saving]:[OH
Saving]])</f>
        <v>8.9854079999999985E-3</v>
      </c>
      <c r="Q88" s="40">
        <f t="shared" si="52"/>
        <v>0</v>
      </c>
      <c r="R88" s="40">
        <f t="shared" si="53"/>
        <v>0</v>
      </c>
      <c r="S88" s="40">
        <f t="shared" si="54"/>
        <v>0</v>
      </c>
      <c r="T88" s="40">
        <f t="shared" si="55"/>
        <v>0</v>
      </c>
      <c r="U88" s="40">
        <f t="shared" si="56"/>
        <v>0</v>
      </c>
      <c r="V88" s="40">
        <f t="shared" si="57"/>
        <v>0</v>
      </c>
      <c r="W88" s="40">
        <f t="shared" si="58"/>
        <v>0</v>
      </c>
      <c r="X88" s="40">
        <f t="shared" si="59"/>
        <v>0</v>
      </c>
      <c r="Y88" s="40">
        <f t="shared" si="60"/>
        <v>0</v>
      </c>
      <c r="Z88" s="40">
        <f t="shared" si="61"/>
        <v>0</v>
      </c>
      <c r="AA88" s="40">
        <f t="shared" si="62"/>
        <v>0</v>
      </c>
      <c r="AB88" s="40">
        <f t="shared" si="63"/>
        <v>0</v>
      </c>
      <c r="AC88" s="37">
        <f>SUM(Table1[[#This Row],[Jan]:[Dec]])</f>
        <v>0</v>
      </c>
      <c r="AD88" s="15">
        <f t="shared" si="72"/>
        <v>0</v>
      </c>
      <c r="AE88" s="15">
        <f t="shared" si="73"/>
        <v>0</v>
      </c>
      <c r="AF88" s="15">
        <f t="shared" si="74"/>
        <v>0</v>
      </c>
      <c r="AG88" s="15">
        <f t="shared" si="75"/>
        <v>0</v>
      </c>
      <c r="AH88" s="15">
        <f t="shared" si="76"/>
        <v>0</v>
      </c>
      <c r="AI88" s="15">
        <f t="shared" si="77"/>
        <v>0</v>
      </c>
      <c r="AJ88" s="15">
        <f t="shared" si="78"/>
        <v>0</v>
      </c>
      <c r="AK88" s="15">
        <f t="shared" si="79"/>
        <v>0</v>
      </c>
      <c r="AL88" s="15">
        <f t="shared" si="80"/>
        <v>0</v>
      </c>
      <c r="AM88" s="15">
        <f t="shared" si="81"/>
        <v>0</v>
      </c>
      <c r="AN88" s="15">
        <f t="shared" si="82"/>
        <v>0</v>
      </c>
      <c r="AO88" s="15">
        <f t="shared" si="83"/>
        <v>0</v>
      </c>
      <c r="AP88" s="10">
        <f t="shared" si="84"/>
        <v>0</v>
      </c>
      <c r="AQ88" s="10">
        <f t="shared" si="85"/>
        <v>0</v>
      </c>
      <c r="AR88" s="10">
        <f t="shared" si="86"/>
        <v>0</v>
      </c>
      <c r="AS88" s="10">
        <f t="shared" si="87"/>
        <v>0</v>
      </c>
      <c r="AT88" s="10" t="b">
        <f t="shared" si="88"/>
        <v>1</v>
      </c>
      <c r="AU88" s="10">
        <f t="shared" si="64"/>
        <v>0</v>
      </c>
      <c r="AV88" s="10">
        <f t="shared" si="65"/>
        <v>0</v>
      </c>
      <c r="AW88" s="10">
        <f t="shared" si="66"/>
        <v>0</v>
      </c>
      <c r="AX88" s="10">
        <f t="shared" si="67"/>
        <v>0</v>
      </c>
      <c r="AY88" s="10">
        <f t="shared" si="89"/>
        <v>0</v>
      </c>
      <c r="AZ88" s="19">
        <f>IFERROR(IF($E88="REC",INDEX(A_Type_Volume!$B:$B,MATCH($D88,A_Type_Volume!$A:$A,0),1),IF($E88="VAM",INDEX(C_Type_Volume!$B:$B,MATCH($D88,C_Type_Volume!$A:$A,0),1),"X")),"")</f>
        <v>0</v>
      </c>
      <c r="BA88" s="19">
        <f>IFERROR(IF($E88="REC",INDEX(A_Type_Volume!$C:$C,MATCH($D88,A_Type_Volume!$A:$A,0),1),IF($E88="VAM",INDEX(C_Type_Volume!$C:$C,MATCH($D88,C_Type_Volume!$A:$A,0),1),"X")),"")</f>
        <v>0</v>
      </c>
      <c r="BB88" s="19">
        <f>IFERROR(IF($E88="REC",INDEX(A_Type_Volume!$D:$D,MATCH($D88,A_Type_Volume!$A:$A,0),1),IF($E88="VAM",INDEX(C_Type_Volume!$D:$D,MATCH($D88,C_Type_Volume!$A:$A,0),1),"X")),"")</f>
        <v>0</v>
      </c>
      <c r="BC88" s="19">
        <f>IFERROR(IF($E88="REC",INDEX(A_Type_Volume!$E:$E,MATCH($D88,A_Type_Volume!$A:$A,0),1),IF($E88="VAM",INDEX(C_Type_Volume!$E:$E,MATCH($D88,C_Type_Volume!$A:$A,0),1),"X")),"")</f>
        <v>0</v>
      </c>
      <c r="BD88" s="19">
        <f>IFERROR(IF($E88="REC",INDEX(A_Type_Volume!$F:$F,MATCH($D88,A_Type_Volume!$A:$A,0),1),IF($E88="VAM",INDEX(C_Type_Volume!$F:$F,MATCH($D88,C_Type_Volume!$A:$A,0),1),"X")),"")</f>
        <v>0</v>
      </c>
      <c r="BE88" s="19">
        <f>IFERROR(IF($E88="REC",INDEX(A_Type_Volume!$G:$G,MATCH($D88,A_Type_Volume!$A:$A,0),1),IF($E88="VAM",INDEX(C_Type_Volume!$G:$G,MATCH($D88,C_Type_Volume!$A:$A,0),1),"X")),"")</f>
        <v>0</v>
      </c>
      <c r="BF88" s="19">
        <f>IFERROR(IF($E88="REC",INDEX(A_Type_Volume!$H:$H,MATCH($D88,A_Type_Volume!$A:$A,0),1),IF($E88="VAM",INDEX(C_Type_Volume!$H:$H,MATCH($D88,C_Type_Volume!$A:$A,0),1),"X")),"")</f>
        <v>0</v>
      </c>
      <c r="BG88" s="19">
        <f>IFERROR(IF($E88="REC",INDEX(A_Type_Volume!$I:$I,MATCH($D88,A_Type_Volume!$A:$A,0),1),IF($E88="VAM",INDEX(C_Type_Volume!$I:$I,MATCH($D88,C_Type_Volume!$A:$A,0),1),"X")),"")</f>
        <v>0</v>
      </c>
      <c r="BH88" s="19">
        <f>IFERROR(IF($E88="REC",INDEX(A_Type_Volume!$J:$J,MATCH($D88,A_Type_Volume!$A:$A,0),1),IF($E88="VAM",INDEX(C_Type_Volume!$J:$J,MATCH($D88,C_Type_Volume!$A:$A,0),1),"X")),"")</f>
        <v>0</v>
      </c>
      <c r="BI88" s="19">
        <f>IFERROR(IF($E88="REC",INDEX(A_Type_Volume!$K:$K,MATCH($D88,A_Type_Volume!$A:$A,0),1),IF($E88="VAM",INDEX(C_Type_Volume!$K:$K,MATCH($D88,C_Type_Volume!$A:$A,0),1),"X")),"")</f>
        <v>0</v>
      </c>
      <c r="BJ88" s="19">
        <f>IFERROR(IF($E88="REC",INDEX(A_Type_Volume!$L:$L,MATCH($D88,A_Type_Volume!$A:$A,0),1),IF($E88="VAM",INDEX(C_Type_Volume!$L:$L,MATCH($D88,C_Type_Volume!$A:$A,0),1),"X")),"")</f>
        <v>0</v>
      </c>
      <c r="BK88" s="19">
        <f>IFERROR(IF($E88="REC",INDEX(A_Type_Volume!M:M,MATCH($D88,A_Type_Volume!$A:$A,0),1),IF($E88="VAM",INDEX(C_Type_Volume!M:M,MATCH($D88,C_Type_Volume!$A:$A,0),1),"X")),"")</f>
        <v>0</v>
      </c>
      <c r="BL88" s="38">
        <f>SUM(Table1[[#This Row],[Jan_AVF]:[Dec_AVF]])</f>
        <v>0</v>
      </c>
      <c r="BM88" s="16">
        <f t="shared" si="90"/>
        <v>0</v>
      </c>
      <c r="BN88" s="16">
        <f t="shared" si="91"/>
        <v>0</v>
      </c>
      <c r="BO88" s="16">
        <f t="shared" si="92"/>
        <v>0</v>
      </c>
      <c r="BP88" s="16">
        <f t="shared" si="93"/>
        <v>0</v>
      </c>
      <c r="BQ88" s="16">
        <f t="shared" si="94"/>
        <v>0</v>
      </c>
      <c r="BR88" s="16">
        <f t="shared" si="95"/>
        <v>0</v>
      </c>
      <c r="BS88" s="16">
        <f t="shared" si="96"/>
        <v>0</v>
      </c>
      <c r="BT88" s="16">
        <f t="shared" si="97"/>
        <v>0</v>
      </c>
      <c r="BU88" s="16">
        <f t="shared" si="98"/>
        <v>0</v>
      </c>
      <c r="BV88" s="16">
        <f t="shared" si="99"/>
        <v>0</v>
      </c>
      <c r="BW88" s="16">
        <f t="shared" si="100"/>
        <v>0</v>
      </c>
      <c r="BX88" s="16">
        <f t="shared" si="101"/>
        <v>0</v>
      </c>
      <c r="BY88" s="10">
        <f t="shared" si="68"/>
        <v>0</v>
      </c>
      <c r="BZ88" s="10">
        <f t="shared" si="69"/>
        <v>0</v>
      </c>
      <c r="CA88" s="10">
        <f t="shared" si="70"/>
        <v>0</v>
      </c>
      <c r="CB88" s="10">
        <f t="shared" si="71"/>
        <v>0</v>
      </c>
      <c r="CC88" s="10">
        <f>IFERROR(Table1[[#This Row],[Labor
Saving]]*Table1[[#This Row],[Annual Volume]],"")</f>
        <v>0</v>
      </c>
      <c r="CD88" s="10">
        <f>IFERROR(Table1[[#This Row],[Annual Volume]]*Table1[[#This Row],[Yield
Saving]],"")</f>
        <v>0</v>
      </c>
      <c r="CE88" s="10">
        <f>IFERROR(Table1[[#This Row],[Annual Volume]]*Table1[[#This Row],[Material
Saving]],"")</f>
        <v>0</v>
      </c>
      <c r="CF88" s="10">
        <f>IFERROR(Table1[[#This Row],[OH
Saving]]*Table1[[#This Row],[Annual Volume]],"")</f>
        <v>0</v>
      </c>
      <c r="CG88" s="10">
        <f>SUM(Table1[[#This Row],[Labor_ASV]:[OH_ASV]])</f>
        <v>0</v>
      </c>
    </row>
    <row r="89" spans="1:85" x14ac:dyDescent="0.3">
      <c r="A89" t="str">
        <f>Table1[[#This Row],[Project Name]]&amp;Table1[[#This Row],[Part Number]]</f>
        <v>Chip Cleaning Solvent 7R150</v>
      </c>
      <c r="B89" t="str">
        <f>IFERROR(Table1[[#This Row],[Project Number]]&amp;Table1[[#This Row],[Part Number]],"")</f>
        <v>AME25-053R150</v>
      </c>
      <c r="C89" s="22" t="s">
        <v>105</v>
      </c>
      <c r="D89" s="24" t="s">
        <v>388</v>
      </c>
      <c r="E89" s="25" t="s">
        <v>58</v>
      </c>
      <c r="F89" s="6">
        <f>INDEX(Proj_Reg!G:G,MATCH($C89,Proj_Reg!$B:$B,0),1)</f>
        <v>46327</v>
      </c>
      <c r="G89" s="6">
        <f>INDEX(Proj_Reg!H:H,MATCH($C89,Proj_Reg!$B:$B,0),1)</f>
        <v>46661</v>
      </c>
      <c r="H89" s="6" t="str">
        <f>IF(INDEX(Proj_Reg!C:C,MATCH($C89,Proj_Reg!$B:$B,0),1)=0,"",INDEX(Proj_Reg!C:C,MATCH($C89,Proj_Reg!$B:$B,0),1))</f>
        <v>Wafer Saw Dicing</v>
      </c>
      <c r="I89" s="6" t="str">
        <f>IF(INDEX(Proj_Reg!D:D,MATCH($C89,Proj_Reg!$B:$B,0),1)=0,"",INDEX(Proj_Reg!D:D,MATCH($C89,Proj_Reg!$B:$B,0),1))</f>
        <v>XCD</v>
      </c>
      <c r="J89" s="6" t="str">
        <f>INDEX(Proj_Reg!E:E,MATCH($C89,Proj_Reg!$B:$B,0),1)</f>
        <v>Chip Cleaning Solvent 7</v>
      </c>
      <c r="K89" s="21">
        <v>8.9854079999999985E-3</v>
      </c>
      <c r="L89" s="21">
        <v>0</v>
      </c>
      <c r="M89" s="21">
        <v>0</v>
      </c>
      <c r="N89" s="21">
        <v>0</v>
      </c>
      <c r="O89" s="11">
        <f>SUM(Table1[[#This Row],[Labor
Saving]:[OH
Saving]])</f>
        <v>8.9854079999999985E-3</v>
      </c>
      <c r="Q89" s="40">
        <f t="shared" si="52"/>
        <v>0</v>
      </c>
      <c r="R89" s="40">
        <f t="shared" si="53"/>
        <v>0</v>
      </c>
      <c r="S89" s="40">
        <f t="shared" si="54"/>
        <v>0</v>
      </c>
      <c r="T89" s="40">
        <f t="shared" si="55"/>
        <v>0</v>
      </c>
      <c r="U89" s="40">
        <f t="shared" si="56"/>
        <v>0</v>
      </c>
      <c r="V89" s="40">
        <f t="shared" si="57"/>
        <v>0</v>
      </c>
      <c r="W89" s="40">
        <f t="shared" si="58"/>
        <v>0</v>
      </c>
      <c r="X89" s="40">
        <f t="shared" si="59"/>
        <v>0</v>
      </c>
      <c r="Y89" s="40">
        <f t="shared" si="60"/>
        <v>0</v>
      </c>
      <c r="Z89" s="40">
        <f t="shared" si="61"/>
        <v>0</v>
      </c>
      <c r="AA89" s="40">
        <f t="shared" si="62"/>
        <v>6564.9</v>
      </c>
      <c r="AB89" s="40">
        <f t="shared" si="63"/>
        <v>13859</v>
      </c>
      <c r="AC89" s="37">
        <f>SUM(Table1[[#This Row],[Jan]:[Dec]])</f>
        <v>20423.900000000001</v>
      </c>
      <c r="AD89" s="15">
        <f t="shared" si="72"/>
        <v>0</v>
      </c>
      <c r="AE89" s="15">
        <f t="shared" si="73"/>
        <v>0</v>
      </c>
      <c r="AF89" s="15">
        <f t="shared" si="74"/>
        <v>0</v>
      </c>
      <c r="AG89" s="15">
        <f t="shared" si="75"/>
        <v>0</v>
      </c>
      <c r="AH89" s="15">
        <f t="shared" si="76"/>
        <v>0</v>
      </c>
      <c r="AI89" s="15">
        <f t="shared" si="77"/>
        <v>0</v>
      </c>
      <c r="AJ89" s="15">
        <f t="shared" si="78"/>
        <v>0</v>
      </c>
      <c r="AK89" s="15">
        <f t="shared" si="79"/>
        <v>0</v>
      </c>
      <c r="AL89" s="15">
        <f t="shared" si="80"/>
        <v>0</v>
      </c>
      <c r="AM89" s="15">
        <f t="shared" si="81"/>
        <v>0</v>
      </c>
      <c r="AN89" s="15">
        <f t="shared" si="82"/>
        <v>58.988304979199988</v>
      </c>
      <c r="AO89" s="15">
        <f t="shared" si="83"/>
        <v>124.52876947199998</v>
      </c>
      <c r="AP89" s="10">
        <f t="shared" si="84"/>
        <v>0</v>
      </c>
      <c r="AQ89" s="10">
        <f t="shared" si="85"/>
        <v>0</v>
      </c>
      <c r="AR89" s="10">
        <f t="shared" si="86"/>
        <v>0</v>
      </c>
      <c r="AS89" s="10">
        <f t="shared" si="87"/>
        <v>183.51707445119996</v>
      </c>
      <c r="AT89" s="10" t="b">
        <f t="shared" si="88"/>
        <v>1</v>
      </c>
      <c r="AU89" s="10">
        <f t="shared" si="64"/>
        <v>183.51707445119999</v>
      </c>
      <c r="AV89" s="10">
        <f t="shared" si="65"/>
        <v>0</v>
      </c>
      <c r="AW89" s="10">
        <f t="shared" si="66"/>
        <v>0</v>
      </c>
      <c r="AX89" s="10">
        <f t="shared" si="67"/>
        <v>0</v>
      </c>
      <c r="AY89" s="10">
        <f t="shared" si="89"/>
        <v>183.51707445119999</v>
      </c>
      <c r="AZ89" s="19">
        <f>IFERROR(IF($E89="REC",INDEX(A_Type_Volume!$B:$B,MATCH($D89,A_Type_Volume!$A:$A,0),1),IF($E89="VAM",INDEX(C_Type_Volume!$B:$B,MATCH($D89,C_Type_Volume!$A:$A,0),1),"X")),"")</f>
        <v>34275</v>
      </c>
      <c r="BA89" s="19">
        <f>IFERROR(IF($E89="REC",INDEX(A_Type_Volume!$C:$C,MATCH($D89,A_Type_Volume!$A:$A,0),1),IF($E89="VAM",INDEX(C_Type_Volume!$C:$C,MATCH($D89,C_Type_Volume!$A:$A,0),1),"X")),"")</f>
        <v>35147</v>
      </c>
      <c r="BB89" s="19">
        <f>IFERROR(IF($E89="REC",INDEX(A_Type_Volume!$D:$D,MATCH($D89,A_Type_Volume!$A:$A,0),1),IF($E89="VAM",INDEX(C_Type_Volume!$D:$D,MATCH($D89,C_Type_Volume!$A:$A,0),1),"X")),"")</f>
        <v>163306</v>
      </c>
      <c r="BC89" s="19">
        <f>IFERROR(IF($E89="REC",INDEX(A_Type_Volume!$E:$E,MATCH($D89,A_Type_Volume!$A:$A,0),1),IF($E89="VAM",INDEX(C_Type_Volume!$E:$E,MATCH($D89,C_Type_Volume!$A:$A,0),1),"X")),"")</f>
        <v>56425</v>
      </c>
      <c r="BD89" s="19">
        <f>IFERROR(IF($E89="REC",INDEX(A_Type_Volume!$F:$F,MATCH($D89,A_Type_Volume!$A:$A,0),1),IF($E89="VAM",INDEX(C_Type_Volume!$F:$F,MATCH($D89,C_Type_Volume!$A:$A,0),1),"X")),"")</f>
        <v>64357</v>
      </c>
      <c r="BE89" s="19">
        <f>IFERROR(IF($E89="REC",INDEX(A_Type_Volume!$G:$G,MATCH($D89,A_Type_Volume!$A:$A,0),1),IF($E89="VAM",INDEX(C_Type_Volume!$G:$G,MATCH($D89,C_Type_Volume!$A:$A,0),1),"X")),"")</f>
        <v>61804</v>
      </c>
      <c r="BF89" s="19">
        <f>IFERROR(IF($E89="REC",INDEX(A_Type_Volume!$H:$H,MATCH($D89,A_Type_Volume!$A:$A,0),1),IF($E89="VAM",INDEX(C_Type_Volume!$H:$H,MATCH($D89,C_Type_Volume!$A:$A,0),1),"X")),"")</f>
        <v>67857</v>
      </c>
      <c r="BG89" s="19">
        <f>IFERROR(IF($E89="REC",INDEX(A_Type_Volume!$I:$I,MATCH($D89,A_Type_Volume!$A:$A,0),1),IF($E89="VAM",INDEX(C_Type_Volume!$I:$I,MATCH($D89,C_Type_Volume!$A:$A,0),1),"X")),"")</f>
        <v>57021</v>
      </c>
      <c r="BH89" s="19">
        <f>IFERROR(IF($E89="REC",INDEX(A_Type_Volume!$J:$J,MATCH($D89,A_Type_Volume!$A:$A,0),1),IF($E89="VAM",INDEX(C_Type_Volume!$J:$J,MATCH($D89,C_Type_Volume!$A:$A,0),1),"X")),"")</f>
        <v>27952</v>
      </c>
      <c r="BI89" s="19">
        <f>IFERROR(IF($E89="REC",INDEX(A_Type_Volume!$K:$K,MATCH($D89,A_Type_Volume!$A:$A,0),1),IF($E89="VAM",INDEX(C_Type_Volume!$K:$K,MATCH($D89,C_Type_Volume!$A:$A,0),1),"X")),"")</f>
        <v>27430</v>
      </c>
      <c r="BJ89" s="19">
        <f>IFERROR(IF($E89="REC",INDEX(A_Type_Volume!$L:$L,MATCH($D89,A_Type_Volume!$A:$A,0),1),IF($E89="VAM",INDEX(C_Type_Volume!$L:$L,MATCH($D89,C_Type_Volume!$A:$A,0),1),"X")),"")</f>
        <v>21883</v>
      </c>
      <c r="BK89" s="19">
        <f>IFERROR(IF($E89="REC",INDEX(A_Type_Volume!M:M,MATCH($D89,A_Type_Volume!$A:$A,0),1),IF($E89="VAM",INDEX(C_Type_Volume!M:M,MATCH($D89,C_Type_Volume!$A:$A,0),1),"X")),"")</f>
        <v>13859</v>
      </c>
      <c r="BL89" s="38">
        <f>SUM(Table1[[#This Row],[Jan_AVF]:[Dec_AVF]])</f>
        <v>631316</v>
      </c>
      <c r="BM89" s="16">
        <f t="shared" si="90"/>
        <v>307.97485919999997</v>
      </c>
      <c r="BN89" s="16">
        <f t="shared" si="91"/>
        <v>315.81013497599997</v>
      </c>
      <c r="BO89" s="16">
        <f t="shared" si="92"/>
        <v>1467.3710388479997</v>
      </c>
      <c r="BP89" s="16">
        <f t="shared" si="93"/>
        <v>507.00164639999991</v>
      </c>
      <c r="BQ89" s="16">
        <f t="shared" si="94"/>
        <v>578.2739026559999</v>
      </c>
      <c r="BR89" s="16">
        <f t="shared" si="95"/>
        <v>555.3341560319999</v>
      </c>
      <c r="BS89" s="16">
        <f t="shared" si="96"/>
        <v>609.72283065599993</v>
      </c>
      <c r="BT89" s="16">
        <f t="shared" si="97"/>
        <v>512.35694956799989</v>
      </c>
      <c r="BU89" s="16">
        <f t="shared" si="98"/>
        <v>251.16012441599995</v>
      </c>
      <c r="BV89" s="16">
        <f t="shared" si="99"/>
        <v>246.46974143999995</v>
      </c>
      <c r="BW89" s="16">
        <f t="shared" si="100"/>
        <v>196.62768326399996</v>
      </c>
      <c r="BX89" s="16">
        <f t="shared" si="101"/>
        <v>124.52876947199998</v>
      </c>
      <c r="BY89" s="10">
        <f t="shared" si="68"/>
        <v>2091.1560330239995</v>
      </c>
      <c r="BZ89" s="10">
        <f t="shared" si="69"/>
        <v>1640.6097050879998</v>
      </c>
      <c r="CA89" s="10">
        <f t="shared" si="70"/>
        <v>1373.2399046399998</v>
      </c>
      <c r="CB89" s="10">
        <f t="shared" si="71"/>
        <v>567.6261941759999</v>
      </c>
      <c r="CC89" s="10">
        <f>IFERROR(Table1[[#This Row],[Labor
Saving]]*Table1[[#This Row],[Annual Volume]],"")</f>
        <v>5672.6318369279988</v>
      </c>
      <c r="CD89" s="10">
        <f>IFERROR(Table1[[#This Row],[Annual Volume]]*Table1[[#This Row],[Yield
Saving]],"")</f>
        <v>0</v>
      </c>
      <c r="CE89" s="10">
        <f>IFERROR(Table1[[#This Row],[Annual Volume]]*Table1[[#This Row],[Material
Saving]],"")</f>
        <v>0</v>
      </c>
      <c r="CF89" s="10">
        <f>IFERROR(Table1[[#This Row],[OH
Saving]]*Table1[[#This Row],[Annual Volume]],"")</f>
        <v>0</v>
      </c>
      <c r="CG89" s="10">
        <f>SUM(Table1[[#This Row],[Labor_ASV]:[OH_ASV]])</f>
        <v>5672.6318369279988</v>
      </c>
    </row>
    <row r="90" spans="1:85" x14ac:dyDescent="0.3">
      <c r="A90" t="str">
        <f>Table1[[#This Row],[Project Name]]&amp;Table1[[#This Row],[Part Number]]</f>
        <v>Chip Cleaning Solvent 7R151</v>
      </c>
      <c r="B90" t="str">
        <f>IFERROR(Table1[[#This Row],[Project Number]]&amp;Table1[[#This Row],[Part Number]],"")</f>
        <v>AME25-053R151</v>
      </c>
      <c r="C90" s="22" t="s">
        <v>105</v>
      </c>
      <c r="D90" s="24" t="s">
        <v>389</v>
      </c>
      <c r="E90" s="25" t="s">
        <v>58</v>
      </c>
      <c r="F90" s="6">
        <f>INDEX(Proj_Reg!G:G,MATCH($C90,Proj_Reg!$B:$B,0),1)</f>
        <v>46327</v>
      </c>
      <c r="G90" s="6">
        <f>INDEX(Proj_Reg!H:H,MATCH($C90,Proj_Reg!$B:$B,0),1)</f>
        <v>46661</v>
      </c>
      <c r="H90" s="6" t="str">
        <f>IF(INDEX(Proj_Reg!C:C,MATCH($C90,Proj_Reg!$B:$B,0),1)=0,"",INDEX(Proj_Reg!C:C,MATCH($C90,Proj_Reg!$B:$B,0),1))</f>
        <v>Wafer Saw Dicing</v>
      </c>
      <c r="I90" s="6" t="str">
        <f>IF(INDEX(Proj_Reg!D:D,MATCH($C90,Proj_Reg!$B:$B,0),1)=0,"",INDEX(Proj_Reg!D:D,MATCH($C90,Proj_Reg!$B:$B,0),1))</f>
        <v>XCD</v>
      </c>
      <c r="J90" s="6" t="str">
        <f>INDEX(Proj_Reg!E:E,MATCH($C90,Proj_Reg!$B:$B,0),1)</f>
        <v>Chip Cleaning Solvent 7</v>
      </c>
      <c r="K90" s="21">
        <v>8.9854079999999985E-3</v>
      </c>
      <c r="L90" s="21">
        <v>0</v>
      </c>
      <c r="M90" s="21">
        <v>0</v>
      </c>
      <c r="N90" s="21">
        <v>0</v>
      </c>
      <c r="O90" s="11">
        <f>SUM(Table1[[#This Row],[Labor
Saving]:[OH
Saving]])</f>
        <v>8.9854079999999985E-3</v>
      </c>
      <c r="Q90" s="40">
        <f t="shared" si="52"/>
        <v>0</v>
      </c>
      <c r="R90" s="40">
        <f t="shared" si="53"/>
        <v>0</v>
      </c>
      <c r="S90" s="40">
        <f t="shared" si="54"/>
        <v>0</v>
      </c>
      <c r="T90" s="40">
        <f t="shared" si="55"/>
        <v>0</v>
      </c>
      <c r="U90" s="40">
        <f t="shared" si="56"/>
        <v>0</v>
      </c>
      <c r="V90" s="40">
        <f t="shared" si="57"/>
        <v>0</v>
      </c>
      <c r="W90" s="40">
        <f t="shared" si="58"/>
        <v>0</v>
      </c>
      <c r="X90" s="40">
        <f t="shared" si="59"/>
        <v>0</v>
      </c>
      <c r="Y90" s="40">
        <f t="shared" si="60"/>
        <v>0</v>
      </c>
      <c r="Z90" s="40">
        <f t="shared" si="61"/>
        <v>0</v>
      </c>
      <c r="AA90" s="40">
        <f t="shared" si="62"/>
        <v>6564.9</v>
      </c>
      <c r="AB90" s="40">
        <f t="shared" si="63"/>
        <v>13859</v>
      </c>
      <c r="AC90" s="37">
        <f>SUM(Table1[[#This Row],[Jan]:[Dec]])</f>
        <v>20423.900000000001</v>
      </c>
      <c r="AD90" s="15">
        <f t="shared" si="72"/>
        <v>0</v>
      </c>
      <c r="AE90" s="15">
        <f t="shared" si="73"/>
        <v>0</v>
      </c>
      <c r="AF90" s="15">
        <f t="shared" si="74"/>
        <v>0</v>
      </c>
      <c r="AG90" s="15">
        <f t="shared" si="75"/>
        <v>0</v>
      </c>
      <c r="AH90" s="15">
        <f t="shared" si="76"/>
        <v>0</v>
      </c>
      <c r="AI90" s="15">
        <f t="shared" si="77"/>
        <v>0</v>
      </c>
      <c r="AJ90" s="15">
        <f t="shared" si="78"/>
        <v>0</v>
      </c>
      <c r="AK90" s="15">
        <f t="shared" si="79"/>
        <v>0</v>
      </c>
      <c r="AL90" s="15">
        <f t="shared" si="80"/>
        <v>0</v>
      </c>
      <c r="AM90" s="15">
        <f t="shared" si="81"/>
        <v>0</v>
      </c>
      <c r="AN90" s="15">
        <f t="shared" si="82"/>
        <v>58.988304979199988</v>
      </c>
      <c r="AO90" s="15">
        <f t="shared" si="83"/>
        <v>124.52876947199998</v>
      </c>
      <c r="AP90" s="10">
        <f t="shared" si="84"/>
        <v>0</v>
      </c>
      <c r="AQ90" s="10">
        <f t="shared" si="85"/>
        <v>0</v>
      </c>
      <c r="AR90" s="10">
        <f t="shared" si="86"/>
        <v>0</v>
      </c>
      <c r="AS90" s="10">
        <f t="shared" si="87"/>
        <v>183.51707445119996</v>
      </c>
      <c r="AT90" s="10" t="b">
        <f t="shared" si="88"/>
        <v>1</v>
      </c>
      <c r="AU90" s="10">
        <f t="shared" si="64"/>
        <v>183.51707445119999</v>
      </c>
      <c r="AV90" s="10">
        <f t="shared" si="65"/>
        <v>0</v>
      </c>
      <c r="AW90" s="10">
        <f t="shared" si="66"/>
        <v>0</v>
      </c>
      <c r="AX90" s="10">
        <f t="shared" si="67"/>
        <v>0</v>
      </c>
      <c r="AY90" s="10">
        <f t="shared" si="89"/>
        <v>183.51707445119999</v>
      </c>
      <c r="AZ90" s="19">
        <f>IFERROR(IF($E90="REC",INDEX(A_Type_Volume!$B:$B,MATCH($D90,A_Type_Volume!$A:$A,0),1),IF($E90="VAM",INDEX(C_Type_Volume!$B:$B,MATCH($D90,C_Type_Volume!$A:$A,0),1),"X")),"")</f>
        <v>34275</v>
      </c>
      <c r="BA90" s="19">
        <f>IFERROR(IF($E90="REC",INDEX(A_Type_Volume!$C:$C,MATCH($D90,A_Type_Volume!$A:$A,0),1),IF($E90="VAM",INDEX(C_Type_Volume!$C:$C,MATCH($D90,C_Type_Volume!$A:$A,0),1),"X")),"")</f>
        <v>35147</v>
      </c>
      <c r="BB90" s="19">
        <f>IFERROR(IF($E90="REC",INDEX(A_Type_Volume!$D:$D,MATCH($D90,A_Type_Volume!$A:$A,0),1),IF($E90="VAM",INDEX(C_Type_Volume!$D:$D,MATCH($D90,C_Type_Volume!$A:$A,0),1),"X")),"")</f>
        <v>163306</v>
      </c>
      <c r="BC90" s="19">
        <f>IFERROR(IF($E90="REC",INDEX(A_Type_Volume!$E:$E,MATCH($D90,A_Type_Volume!$A:$A,0),1),IF($E90="VAM",INDEX(C_Type_Volume!$E:$E,MATCH($D90,C_Type_Volume!$A:$A,0),1),"X")),"")</f>
        <v>56425</v>
      </c>
      <c r="BD90" s="19">
        <f>IFERROR(IF($E90="REC",INDEX(A_Type_Volume!$F:$F,MATCH($D90,A_Type_Volume!$A:$A,0),1),IF($E90="VAM",INDEX(C_Type_Volume!$F:$F,MATCH($D90,C_Type_Volume!$A:$A,0),1),"X")),"")</f>
        <v>64357</v>
      </c>
      <c r="BE90" s="19">
        <f>IFERROR(IF($E90="REC",INDEX(A_Type_Volume!$G:$G,MATCH($D90,A_Type_Volume!$A:$A,0),1),IF($E90="VAM",INDEX(C_Type_Volume!$G:$G,MATCH($D90,C_Type_Volume!$A:$A,0),1),"X")),"")</f>
        <v>61804</v>
      </c>
      <c r="BF90" s="19">
        <f>IFERROR(IF($E90="REC",INDEX(A_Type_Volume!$H:$H,MATCH($D90,A_Type_Volume!$A:$A,0),1),IF($E90="VAM",INDEX(C_Type_Volume!$H:$H,MATCH($D90,C_Type_Volume!$A:$A,0),1),"X")),"")</f>
        <v>67857</v>
      </c>
      <c r="BG90" s="19">
        <f>IFERROR(IF($E90="REC",INDEX(A_Type_Volume!$I:$I,MATCH($D90,A_Type_Volume!$A:$A,0),1),IF($E90="VAM",INDEX(C_Type_Volume!$I:$I,MATCH($D90,C_Type_Volume!$A:$A,0),1),"X")),"")</f>
        <v>57021</v>
      </c>
      <c r="BH90" s="19">
        <f>IFERROR(IF($E90="REC",INDEX(A_Type_Volume!$J:$J,MATCH($D90,A_Type_Volume!$A:$A,0),1),IF($E90="VAM",INDEX(C_Type_Volume!$J:$J,MATCH($D90,C_Type_Volume!$A:$A,0),1),"X")),"")</f>
        <v>27952</v>
      </c>
      <c r="BI90" s="19">
        <f>IFERROR(IF($E90="REC",INDEX(A_Type_Volume!$K:$K,MATCH($D90,A_Type_Volume!$A:$A,0),1),IF($E90="VAM",INDEX(C_Type_Volume!$K:$K,MATCH($D90,C_Type_Volume!$A:$A,0),1),"X")),"")</f>
        <v>27430</v>
      </c>
      <c r="BJ90" s="19">
        <f>IFERROR(IF($E90="REC",INDEX(A_Type_Volume!$L:$L,MATCH($D90,A_Type_Volume!$A:$A,0),1),IF($E90="VAM",INDEX(C_Type_Volume!$L:$L,MATCH($D90,C_Type_Volume!$A:$A,0),1),"X")),"")</f>
        <v>21883</v>
      </c>
      <c r="BK90" s="19">
        <f>IFERROR(IF($E90="REC",INDEX(A_Type_Volume!M:M,MATCH($D90,A_Type_Volume!$A:$A,0),1),IF($E90="VAM",INDEX(C_Type_Volume!M:M,MATCH($D90,C_Type_Volume!$A:$A,0),1),"X")),"")</f>
        <v>13859</v>
      </c>
      <c r="BL90" s="38">
        <f>SUM(Table1[[#This Row],[Jan_AVF]:[Dec_AVF]])</f>
        <v>631316</v>
      </c>
      <c r="BM90" s="16">
        <f t="shared" si="90"/>
        <v>307.97485919999997</v>
      </c>
      <c r="BN90" s="16">
        <f t="shared" si="91"/>
        <v>315.81013497599997</v>
      </c>
      <c r="BO90" s="16">
        <f t="shared" si="92"/>
        <v>1467.3710388479997</v>
      </c>
      <c r="BP90" s="16">
        <f t="shared" si="93"/>
        <v>507.00164639999991</v>
      </c>
      <c r="BQ90" s="16">
        <f t="shared" si="94"/>
        <v>578.2739026559999</v>
      </c>
      <c r="BR90" s="16">
        <f t="shared" si="95"/>
        <v>555.3341560319999</v>
      </c>
      <c r="BS90" s="16">
        <f t="shared" si="96"/>
        <v>609.72283065599993</v>
      </c>
      <c r="BT90" s="16">
        <f t="shared" si="97"/>
        <v>512.35694956799989</v>
      </c>
      <c r="BU90" s="16">
        <f t="shared" si="98"/>
        <v>251.16012441599995</v>
      </c>
      <c r="BV90" s="16">
        <f t="shared" si="99"/>
        <v>246.46974143999995</v>
      </c>
      <c r="BW90" s="16">
        <f t="shared" si="100"/>
        <v>196.62768326399996</v>
      </c>
      <c r="BX90" s="16">
        <f t="shared" si="101"/>
        <v>124.52876947199998</v>
      </c>
      <c r="BY90" s="10">
        <f t="shared" si="68"/>
        <v>2091.1560330239995</v>
      </c>
      <c r="BZ90" s="10">
        <f t="shared" si="69"/>
        <v>1640.6097050879998</v>
      </c>
      <c r="CA90" s="10">
        <f t="shared" si="70"/>
        <v>1373.2399046399998</v>
      </c>
      <c r="CB90" s="10">
        <f t="shared" si="71"/>
        <v>567.6261941759999</v>
      </c>
      <c r="CC90" s="10">
        <f>IFERROR(Table1[[#This Row],[Labor
Saving]]*Table1[[#This Row],[Annual Volume]],"")</f>
        <v>5672.6318369279988</v>
      </c>
      <c r="CD90" s="10">
        <f>IFERROR(Table1[[#This Row],[Annual Volume]]*Table1[[#This Row],[Yield
Saving]],"")</f>
        <v>0</v>
      </c>
      <c r="CE90" s="10">
        <f>IFERROR(Table1[[#This Row],[Annual Volume]]*Table1[[#This Row],[Material
Saving]],"")</f>
        <v>0</v>
      </c>
      <c r="CF90" s="10">
        <f>IFERROR(Table1[[#This Row],[OH
Saving]]*Table1[[#This Row],[Annual Volume]],"")</f>
        <v>0</v>
      </c>
      <c r="CG90" s="10">
        <f>SUM(Table1[[#This Row],[Labor_ASV]:[OH_ASV]])</f>
        <v>5672.6318369279988</v>
      </c>
    </row>
    <row r="91" spans="1:85" x14ac:dyDescent="0.3">
      <c r="A91" t="str">
        <f>Table1[[#This Row],[Project Name]]&amp;Table1[[#This Row],[Part Number]]</f>
        <v>Auto Visual InspectionR52</v>
      </c>
      <c r="B91" t="str">
        <f>IFERROR(Table1[[#This Row],[Project Number]]&amp;Table1[[#This Row],[Part Number]],"")</f>
        <v>AME25-058R52</v>
      </c>
      <c r="C91" s="22" t="s">
        <v>106</v>
      </c>
      <c r="D91" s="24" t="s">
        <v>290</v>
      </c>
      <c r="E91" s="25" t="s">
        <v>58</v>
      </c>
      <c r="F91" s="6">
        <f>INDEX(Proj_Reg!G:G,MATCH($C91,Proj_Reg!$B:$B,0),1)</f>
        <v>46235</v>
      </c>
      <c r="G91" s="6">
        <f>INDEX(Proj_Reg!H:H,MATCH($C91,Proj_Reg!$B:$B,0),1)</f>
        <v>46569</v>
      </c>
      <c r="H91" s="6" t="str">
        <f>IF(INDEX(Proj_Reg!C:C,MATCH($C91,Proj_Reg!$B:$B,0),1)=0,"",INDEX(Proj_Reg!C:C,MATCH($C91,Proj_Reg!$B:$B,0),1))</f>
        <v>Visual Inspection</v>
      </c>
      <c r="I91" s="6" t="str">
        <f>IF(INDEX(Proj_Reg!D:D,MATCH($C91,Proj_Reg!$B:$B,0),1)=0,"",INDEX(Proj_Reg!D:D,MATCH($C91,Proj_Reg!$B:$B,0),1))</f>
        <v>XCD</v>
      </c>
      <c r="J91" s="6" t="str">
        <f>INDEX(Proj_Reg!E:E,MATCH($C91,Proj_Reg!$B:$B,0),1)</f>
        <v>Auto Visual Inspection</v>
      </c>
      <c r="K91" s="21">
        <v>8.9854079999999985E-3</v>
      </c>
      <c r="L91" s="21">
        <v>0</v>
      </c>
      <c r="M91" s="21">
        <v>0</v>
      </c>
      <c r="N91" s="21">
        <v>0</v>
      </c>
      <c r="O91" s="11">
        <f>SUM(Table1[[#This Row],[Labor
Saving]:[OH
Saving]])</f>
        <v>8.9854079999999985E-3</v>
      </c>
      <c r="Q91" s="40">
        <f t="shared" si="52"/>
        <v>0</v>
      </c>
      <c r="R91" s="40">
        <f t="shared" si="53"/>
        <v>0</v>
      </c>
      <c r="S91" s="40">
        <f t="shared" si="54"/>
        <v>0</v>
      </c>
      <c r="T91" s="40">
        <f t="shared" si="55"/>
        <v>0</v>
      </c>
      <c r="U91" s="40">
        <f t="shared" si="56"/>
        <v>0</v>
      </c>
      <c r="V91" s="40">
        <f t="shared" si="57"/>
        <v>0</v>
      </c>
      <c r="W91" s="40">
        <f t="shared" si="58"/>
        <v>0</v>
      </c>
      <c r="X91" s="40">
        <f t="shared" si="59"/>
        <v>160212</v>
      </c>
      <c r="Y91" s="40">
        <f t="shared" si="60"/>
        <v>637583</v>
      </c>
      <c r="Z91" s="40">
        <f t="shared" si="61"/>
        <v>584430</v>
      </c>
      <c r="AA91" s="40">
        <f t="shared" si="62"/>
        <v>459465</v>
      </c>
      <c r="AB91" s="40">
        <f t="shared" si="63"/>
        <v>454091</v>
      </c>
      <c r="AC91" s="37">
        <f>SUM(Table1[[#This Row],[Jan]:[Dec]])</f>
        <v>2295781</v>
      </c>
      <c r="AD91" s="15">
        <f t="shared" si="72"/>
        <v>0</v>
      </c>
      <c r="AE91" s="15">
        <f t="shared" si="73"/>
        <v>0</v>
      </c>
      <c r="AF91" s="15">
        <f t="shared" si="74"/>
        <v>0</v>
      </c>
      <c r="AG91" s="15">
        <f t="shared" si="75"/>
        <v>0</v>
      </c>
      <c r="AH91" s="15">
        <f t="shared" si="76"/>
        <v>0</v>
      </c>
      <c r="AI91" s="15">
        <f t="shared" si="77"/>
        <v>0</v>
      </c>
      <c r="AJ91" s="15">
        <f t="shared" si="78"/>
        <v>0</v>
      </c>
      <c r="AK91" s="15">
        <f t="shared" si="79"/>
        <v>1439.5701864959997</v>
      </c>
      <c r="AL91" s="15">
        <f t="shared" si="80"/>
        <v>5728.9433888639987</v>
      </c>
      <c r="AM91" s="15">
        <f t="shared" si="81"/>
        <v>5251.3419974399994</v>
      </c>
      <c r="AN91" s="15">
        <f t="shared" si="82"/>
        <v>4128.4804867199991</v>
      </c>
      <c r="AO91" s="15">
        <f t="shared" si="83"/>
        <v>4080.1929041279996</v>
      </c>
      <c r="AP91" s="10">
        <f t="shared" si="84"/>
        <v>0</v>
      </c>
      <c r="AQ91" s="10">
        <f t="shared" si="85"/>
        <v>0</v>
      </c>
      <c r="AR91" s="10">
        <f t="shared" si="86"/>
        <v>7168.5135753599989</v>
      </c>
      <c r="AS91" s="10">
        <f t="shared" si="87"/>
        <v>13460.015388287999</v>
      </c>
      <c r="AT91" s="10" t="b">
        <f t="shared" si="88"/>
        <v>1</v>
      </c>
      <c r="AU91" s="10">
        <f t="shared" si="64"/>
        <v>20628.528963647997</v>
      </c>
      <c r="AV91" s="10">
        <f t="shared" si="65"/>
        <v>0</v>
      </c>
      <c r="AW91" s="10">
        <f t="shared" si="66"/>
        <v>0</v>
      </c>
      <c r="AX91" s="10">
        <f t="shared" si="67"/>
        <v>0</v>
      </c>
      <c r="AY91" s="10">
        <f t="shared" si="89"/>
        <v>20628.528963647997</v>
      </c>
      <c r="AZ91" s="19">
        <f>IFERROR(IF($E91="REC",INDEX(A_Type_Volume!$B:$B,MATCH($D91,A_Type_Volume!$A:$A,0),1),IF($E91="VAM",INDEX(C_Type_Volume!$B:$B,MATCH($D91,C_Type_Volume!$A:$A,0),1),"X")),"")</f>
        <v>632256</v>
      </c>
      <c r="BA91" s="19">
        <f>IFERROR(IF($E91="REC",INDEX(A_Type_Volume!$C:$C,MATCH($D91,A_Type_Volume!$A:$A,0),1),IF($E91="VAM",INDEX(C_Type_Volume!$C:$C,MATCH($D91,C_Type_Volume!$A:$A,0),1),"X")),"")</f>
        <v>734887</v>
      </c>
      <c r="BB91" s="19">
        <f>IFERROR(IF($E91="REC",INDEX(A_Type_Volume!$D:$D,MATCH($D91,A_Type_Volume!$A:$A,0),1),IF($E91="VAM",INDEX(C_Type_Volume!$D:$D,MATCH($D91,C_Type_Volume!$A:$A,0),1),"X")),"")</f>
        <v>743478</v>
      </c>
      <c r="BC91" s="19">
        <f>IFERROR(IF($E91="REC",INDEX(A_Type_Volume!$E:$E,MATCH($D91,A_Type_Volume!$A:$A,0),1),IF($E91="VAM",INDEX(C_Type_Volume!$E:$E,MATCH($D91,C_Type_Volume!$A:$A,0),1),"X")),"")</f>
        <v>625525</v>
      </c>
      <c r="BD91" s="19">
        <f>IFERROR(IF($E91="REC",INDEX(A_Type_Volume!$F:$F,MATCH($D91,A_Type_Volume!$A:$A,0),1),IF($E91="VAM",INDEX(C_Type_Volume!$F:$F,MATCH($D91,C_Type_Volume!$A:$A,0),1),"X")),"")</f>
        <v>713514</v>
      </c>
      <c r="BE91" s="19">
        <f>IFERROR(IF($E91="REC",INDEX(A_Type_Volume!$G:$G,MATCH($D91,A_Type_Volume!$A:$A,0),1),IF($E91="VAM",INDEX(C_Type_Volume!$G:$G,MATCH($D91,C_Type_Volume!$A:$A,0),1),"X")),"")</f>
        <v>727708</v>
      </c>
      <c r="BF91" s="19">
        <f>IFERROR(IF($E91="REC",INDEX(A_Type_Volume!$H:$H,MATCH($D91,A_Type_Volume!$A:$A,0),1),IF($E91="VAM",INDEX(C_Type_Volume!$H:$H,MATCH($D91,C_Type_Volume!$A:$A,0),1),"X")),"")</f>
        <v>691684</v>
      </c>
      <c r="BG91" s="19">
        <f>IFERROR(IF($E91="REC",INDEX(A_Type_Volume!$I:$I,MATCH($D91,A_Type_Volume!$A:$A,0),1),IF($E91="VAM",INDEX(C_Type_Volume!$I:$I,MATCH($D91,C_Type_Volume!$A:$A,0),1),"X")),"")</f>
        <v>534040</v>
      </c>
      <c r="BH91" s="19">
        <f>IFERROR(IF($E91="REC",INDEX(A_Type_Volume!$J:$J,MATCH($D91,A_Type_Volume!$A:$A,0),1),IF($E91="VAM",INDEX(C_Type_Volume!$J:$J,MATCH($D91,C_Type_Volume!$A:$A,0),1),"X")),"")</f>
        <v>637583</v>
      </c>
      <c r="BI91" s="19">
        <f>IFERROR(IF($E91="REC",INDEX(A_Type_Volume!$K:$K,MATCH($D91,A_Type_Volume!$A:$A,0),1),IF($E91="VAM",INDEX(C_Type_Volume!$K:$K,MATCH($D91,C_Type_Volume!$A:$A,0),1),"X")),"")</f>
        <v>584430</v>
      </c>
      <c r="BJ91" s="19">
        <f>IFERROR(IF($E91="REC",INDEX(A_Type_Volume!$L:$L,MATCH($D91,A_Type_Volume!$A:$A,0),1),IF($E91="VAM",INDEX(C_Type_Volume!$L:$L,MATCH($D91,C_Type_Volume!$A:$A,0),1),"X")),"")</f>
        <v>459465</v>
      </c>
      <c r="BK91" s="19">
        <f>IFERROR(IF($E91="REC",INDEX(A_Type_Volume!M:M,MATCH($D91,A_Type_Volume!$A:$A,0),1),IF($E91="VAM",INDEX(C_Type_Volume!M:M,MATCH($D91,C_Type_Volume!$A:$A,0),1),"X")),"")</f>
        <v>454091</v>
      </c>
      <c r="BL91" s="38">
        <f>SUM(Table1[[#This Row],[Jan_AVF]:[Dec_AVF]])</f>
        <v>7538661</v>
      </c>
      <c r="BM91" s="16">
        <f t="shared" si="90"/>
        <v>5681.078120447999</v>
      </c>
      <c r="BN91" s="16">
        <f t="shared" si="91"/>
        <v>6603.2595288959992</v>
      </c>
      <c r="BO91" s="16">
        <f t="shared" si="92"/>
        <v>6680.4531690239992</v>
      </c>
      <c r="BP91" s="16">
        <f t="shared" si="93"/>
        <v>5620.5973391999987</v>
      </c>
      <c r="BQ91" s="16">
        <f t="shared" si="94"/>
        <v>6411.2144037119988</v>
      </c>
      <c r="BR91" s="16">
        <f t="shared" si="95"/>
        <v>6538.7532848639994</v>
      </c>
      <c r="BS91" s="16">
        <f t="shared" si="96"/>
        <v>6215.0629470719987</v>
      </c>
      <c r="BT91" s="16">
        <f t="shared" si="97"/>
        <v>4798.5672883199995</v>
      </c>
      <c r="BU91" s="16">
        <f t="shared" si="98"/>
        <v>5728.9433888639987</v>
      </c>
      <c r="BV91" s="16">
        <f t="shared" si="99"/>
        <v>5251.3419974399994</v>
      </c>
      <c r="BW91" s="16">
        <f t="shared" si="100"/>
        <v>4128.4804867199991</v>
      </c>
      <c r="BX91" s="16">
        <f t="shared" si="101"/>
        <v>4080.1929041279996</v>
      </c>
      <c r="BY91" s="10">
        <f t="shared" si="68"/>
        <v>18964.790818367997</v>
      </c>
      <c r="BZ91" s="10">
        <f t="shared" si="69"/>
        <v>18570.565027775996</v>
      </c>
      <c r="CA91" s="10">
        <f t="shared" si="70"/>
        <v>16742.573624255998</v>
      </c>
      <c r="CB91" s="10">
        <f t="shared" si="71"/>
        <v>13460.015388287999</v>
      </c>
      <c r="CC91" s="10">
        <f>IFERROR(Table1[[#This Row],[Labor
Saving]]*Table1[[#This Row],[Annual Volume]],"")</f>
        <v>67737.944858687988</v>
      </c>
      <c r="CD91" s="10">
        <f>IFERROR(Table1[[#This Row],[Annual Volume]]*Table1[[#This Row],[Yield
Saving]],"")</f>
        <v>0</v>
      </c>
      <c r="CE91" s="10">
        <f>IFERROR(Table1[[#This Row],[Annual Volume]]*Table1[[#This Row],[Material
Saving]],"")</f>
        <v>0</v>
      </c>
      <c r="CF91" s="10">
        <f>IFERROR(Table1[[#This Row],[OH
Saving]]*Table1[[#This Row],[Annual Volume]],"")</f>
        <v>0</v>
      </c>
      <c r="CG91" s="10">
        <f>SUM(Table1[[#This Row],[Labor_ASV]:[OH_ASV]])</f>
        <v>67737.944858687988</v>
      </c>
    </row>
    <row r="92" spans="1:85" x14ac:dyDescent="0.3">
      <c r="A92" t="str">
        <f>Table1[[#This Row],[Project Name]]&amp;Table1[[#This Row],[Part Number]]</f>
        <v>Sampling Size ReductionR68</v>
      </c>
      <c r="B92" t="str">
        <f>IFERROR(Table1[[#This Row],[Project Number]]&amp;Table1[[#This Row],[Part Number]],"")</f>
        <v>AME25-059R68</v>
      </c>
      <c r="C92" s="22" t="s">
        <v>107</v>
      </c>
      <c r="D92" s="24" t="s">
        <v>306</v>
      </c>
      <c r="E92" s="25" t="s">
        <v>58</v>
      </c>
      <c r="F92" s="6">
        <f>INDEX(Proj_Reg!G:G,MATCH($C92,Proj_Reg!$B:$B,0),1)</f>
        <v>46082</v>
      </c>
      <c r="G92" s="6">
        <f>INDEX(Proj_Reg!H:H,MATCH($C92,Proj_Reg!$B:$B,0),1)</f>
        <v>46419</v>
      </c>
      <c r="H92" s="6" t="str">
        <f>IF(INDEX(Proj_Reg!C:C,MATCH($C92,Proj_Reg!$B:$B,0),1)=0,"",INDEX(Proj_Reg!C:C,MATCH($C92,Proj_Reg!$B:$B,0),1))</f>
        <v>Visual Inspection</v>
      </c>
      <c r="I92" s="6" t="str">
        <f>IF(INDEX(Proj_Reg!D:D,MATCH($C92,Proj_Reg!$B:$B,0),1)=0,"",INDEX(Proj_Reg!D:D,MATCH($C92,Proj_Reg!$B:$B,0),1))</f>
        <v>XCD</v>
      </c>
      <c r="J92" s="6" t="str">
        <f>INDEX(Proj_Reg!E:E,MATCH($C92,Proj_Reg!$B:$B,0),1)</f>
        <v>Sampling Size Reduction</v>
      </c>
      <c r="K92" s="21">
        <v>0</v>
      </c>
      <c r="L92" s="21">
        <v>0</v>
      </c>
      <c r="M92" s="21">
        <v>3.6873452453199985E-2</v>
      </c>
      <c r="N92" s="21">
        <v>0</v>
      </c>
      <c r="O92" s="11">
        <f>SUM(Table1[[#This Row],[Labor
Saving]:[OH
Saving]])</f>
        <v>3.6873452453199985E-2</v>
      </c>
      <c r="Q92" s="40">
        <f t="shared" si="52"/>
        <v>0</v>
      </c>
      <c r="R92" s="40">
        <f t="shared" si="53"/>
        <v>0</v>
      </c>
      <c r="S92" s="40">
        <f t="shared" si="54"/>
        <v>102642.3</v>
      </c>
      <c r="T92" s="40">
        <f t="shared" si="55"/>
        <v>354371</v>
      </c>
      <c r="U92" s="40">
        <f t="shared" si="56"/>
        <v>405156</v>
      </c>
      <c r="V92" s="40">
        <f t="shared" si="57"/>
        <v>366126</v>
      </c>
      <c r="W92" s="40">
        <f t="shared" si="58"/>
        <v>417726</v>
      </c>
      <c r="X92" s="40">
        <f t="shared" si="59"/>
        <v>329603</v>
      </c>
      <c r="Y92" s="40">
        <f t="shared" si="60"/>
        <v>340790</v>
      </c>
      <c r="Z92" s="40">
        <f t="shared" si="61"/>
        <v>318150</v>
      </c>
      <c r="AA92" s="40">
        <f t="shared" si="62"/>
        <v>300655</v>
      </c>
      <c r="AB92" s="40">
        <f t="shared" si="63"/>
        <v>267146</v>
      </c>
      <c r="AC92" s="37">
        <f>SUM(Table1[[#This Row],[Jan]:[Dec]])</f>
        <v>3202365.3</v>
      </c>
      <c r="AD92" s="15">
        <f t="shared" si="72"/>
        <v>0</v>
      </c>
      <c r="AE92" s="15">
        <f t="shared" si="73"/>
        <v>0</v>
      </c>
      <c r="AF92" s="15">
        <f t="shared" si="74"/>
        <v>3784.775968737089</v>
      </c>
      <c r="AG92" s="15">
        <f t="shared" si="75"/>
        <v>13066.882219292933</v>
      </c>
      <c r="AH92" s="15">
        <f t="shared" si="76"/>
        <v>14939.500502128692</v>
      </c>
      <c r="AI92" s="15">
        <f t="shared" si="77"/>
        <v>13500.329652880298</v>
      </c>
      <c r="AJ92" s="15">
        <f t="shared" si="78"/>
        <v>15402.999799465417</v>
      </c>
      <c r="AK92" s="15">
        <f t="shared" si="79"/>
        <v>12153.600548932074</v>
      </c>
      <c r="AL92" s="15">
        <f t="shared" si="80"/>
        <v>12566.103861526022</v>
      </c>
      <c r="AM92" s="15">
        <f t="shared" si="81"/>
        <v>11731.288897985576</v>
      </c>
      <c r="AN92" s="15">
        <f t="shared" si="82"/>
        <v>11086.187847316842</v>
      </c>
      <c r="AO92" s="15">
        <f t="shared" si="83"/>
        <v>9850.5953290625639</v>
      </c>
      <c r="AP92" s="10">
        <f t="shared" si="84"/>
        <v>3784.775968737089</v>
      </c>
      <c r="AQ92" s="10">
        <f t="shared" si="85"/>
        <v>41506.712374301926</v>
      </c>
      <c r="AR92" s="10">
        <f t="shared" si="86"/>
        <v>40122.704209923511</v>
      </c>
      <c r="AS92" s="10">
        <f t="shared" si="87"/>
        <v>32668.07207436498</v>
      </c>
      <c r="AT92" s="10" t="b">
        <f t="shared" si="88"/>
        <v>1</v>
      </c>
      <c r="AU92" s="10">
        <f t="shared" si="64"/>
        <v>0</v>
      </c>
      <c r="AV92" s="10">
        <f t="shared" si="65"/>
        <v>0</v>
      </c>
      <c r="AW92" s="10">
        <f t="shared" si="66"/>
        <v>118082.2646273275</v>
      </c>
      <c r="AX92" s="10">
        <f t="shared" si="67"/>
        <v>0</v>
      </c>
      <c r="AY92" s="10">
        <f t="shared" si="89"/>
        <v>118082.2646273275</v>
      </c>
      <c r="AZ92" s="19">
        <f>IFERROR(IF($E92="REC",INDEX(A_Type_Volume!$B:$B,MATCH($D92,A_Type_Volume!$A:$A,0),1),IF($E92="VAM",INDEX(C_Type_Volume!$B:$B,MATCH($D92,C_Type_Volume!$A:$A,0),1),"X")),"")</f>
        <v>388434</v>
      </c>
      <c r="BA92" s="19">
        <f>IFERROR(IF($E92="REC",INDEX(A_Type_Volume!$C:$C,MATCH($D92,A_Type_Volume!$A:$A,0),1),IF($E92="VAM",INDEX(C_Type_Volume!$C:$C,MATCH($D92,C_Type_Volume!$A:$A,0),1),"X")),"")</f>
        <v>251443</v>
      </c>
      <c r="BB92" s="19">
        <f>IFERROR(IF($E92="REC",INDEX(A_Type_Volume!$D:$D,MATCH($D92,A_Type_Volume!$A:$A,0),1),IF($E92="VAM",INDEX(C_Type_Volume!$D:$D,MATCH($D92,C_Type_Volume!$A:$A,0),1),"X")),"")</f>
        <v>342141</v>
      </c>
      <c r="BC92" s="19">
        <f>IFERROR(IF($E92="REC",INDEX(A_Type_Volume!$E:$E,MATCH($D92,A_Type_Volume!$A:$A,0),1),IF($E92="VAM",INDEX(C_Type_Volume!$E:$E,MATCH($D92,C_Type_Volume!$A:$A,0),1),"X")),"")</f>
        <v>354371</v>
      </c>
      <c r="BD92" s="19">
        <f>IFERROR(IF($E92="REC",INDEX(A_Type_Volume!$F:$F,MATCH($D92,A_Type_Volume!$A:$A,0),1),IF($E92="VAM",INDEX(C_Type_Volume!$F:$F,MATCH($D92,C_Type_Volume!$A:$A,0),1),"X")),"")</f>
        <v>405156</v>
      </c>
      <c r="BE92" s="19">
        <f>IFERROR(IF($E92="REC",INDEX(A_Type_Volume!$G:$G,MATCH($D92,A_Type_Volume!$A:$A,0),1),IF($E92="VAM",INDEX(C_Type_Volume!$G:$G,MATCH($D92,C_Type_Volume!$A:$A,0),1),"X")),"")</f>
        <v>366126</v>
      </c>
      <c r="BF92" s="19">
        <f>IFERROR(IF($E92="REC",INDEX(A_Type_Volume!$H:$H,MATCH($D92,A_Type_Volume!$A:$A,0),1),IF($E92="VAM",INDEX(C_Type_Volume!$H:$H,MATCH($D92,C_Type_Volume!$A:$A,0),1),"X")),"")</f>
        <v>417726</v>
      </c>
      <c r="BG92" s="19">
        <f>IFERROR(IF($E92="REC",INDEX(A_Type_Volume!$I:$I,MATCH($D92,A_Type_Volume!$A:$A,0),1),IF($E92="VAM",INDEX(C_Type_Volume!$I:$I,MATCH($D92,C_Type_Volume!$A:$A,0),1),"X")),"")</f>
        <v>329603</v>
      </c>
      <c r="BH92" s="19">
        <f>IFERROR(IF($E92="REC",INDEX(A_Type_Volume!$J:$J,MATCH($D92,A_Type_Volume!$A:$A,0),1),IF($E92="VAM",INDEX(C_Type_Volume!$J:$J,MATCH($D92,C_Type_Volume!$A:$A,0),1),"X")),"")</f>
        <v>340790</v>
      </c>
      <c r="BI92" s="19">
        <f>IFERROR(IF($E92="REC",INDEX(A_Type_Volume!$K:$K,MATCH($D92,A_Type_Volume!$A:$A,0),1),IF($E92="VAM",INDEX(C_Type_Volume!$K:$K,MATCH($D92,C_Type_Volume!$A:$A,0),1),"X")),"")</f>
        <v>318150</v>
      </c>
      <c r="BJ92" s="19">
        <f>IFERROR(IF($E92="REC",INDEX(A_Type_Volume!$L:$L,MATCH($D92,A_Type_Volume!$A:$A,0),1),IF($E92="VAM",INDEX(C_Type_Volume!$L:$L,MATCH($D92,C_Type_Volume!$A:$A,0),1),"X")),"")</f>
        <v>300655</v>
      </c>
      <c r="BK92" s="19">
        <f>IFERROR(IF($E92="REC",INDEX(A_Type_Volume!M:M,MATCH($D92,A_Type_Volume!$A:$A,0),1),IF($E92="VAM",INDEX(C_Type_Volume!M:M,MATCH($D92,C_Type_Volume!$A:$A,0),1),"X")),"")</f>
        <v>267146</v>
      </c>
      <c r="BL92" s="38">
        <f>SUM(Table1[[#This Row],[Jan_AVF]:[Dec_AVF]])</f>
        <v>4081741</v>
      </c>
      <c r="BM92" s="16">
        <f t="shared" si="90"/>
        <v>14322.902630206283</v>
      </c>
      <c r="BN92" s="16">
        <f t="shared" si="91"/>
        <v>9271.5715051899642</v>
      </c>
      <c r="BO92" s="16">
        <f t="shared" si="92"/>
        <v>12615.919895790295</v>
      </c>
      <c r="BP92" s="16">
        <f t="shared" si="93"/>
        <v>13066.882219292933</v>
      </c>
      <c r="BQ92" s="16">
        <f t="shared" si="94"/>
        <v>14939.500502128692</v>
      </c>
      <c r="BR92" s="16">
        <f t="shared" si="95"/>
        <v>13500.329652880298</v>
      </c>
      <c r="BS92" s="16">
        <f t="shared" si="96"/>
        <v>15402.999799465417</v>
      </c>
      <c r="BT92" s="16">
        <f t="shared" si="97"/>
        <v>12153.600548932074</v>
      </c>
      <c r="BU92" s="16">
        <f t="shared" si="98"/>
        <v>12566.103861526022</v>
      </c>
      <c r="BV92" s="16">
        <f t="shared" si="99"/>
        <v>11731.288897985576</v>
      </c>
      <c r="BW92" s="16">
        <f t="shared" si="100"/>
        <v>11086.187847316842</v>
      </c>
      <c r="BX92" s="16">
        <f t="shared" si="101"/>
        <v>9850.5953290625639</v>
      </c>
      <c r="BY92" s="10">
        <f t="shared" si="68"/>
        <v>36210.394031186544</v>
      </c>
      <c r="BZ92" s="10">
        <f t="shared" si="69"/>
        <v>41506.712374301926</v>
      </c>
      <c r="CA92" s="10">
        <f t="shared" si="70"/>
        <v>40122.704209923511</v>
      </c>
      <c r="CB92" s="10">
        <f t="shared" si="71"/>
        <v>32668.07207436498</v>
      </c>
      <c r="CC92" s="10">
        <f>IFERROR(Table1[[#This Row],[Labor
Saving]]*Table1[[#This Row],[Annual Volume]],"")</f>
        <v>0</v>
      </c>
      <c r="CD92" s="10">
        <f>IFERROR(Table1[[#This Row],[Annual Volume]]*Table1[[#This Row],[Yield
Saving]],"")</f>
        <v>0</v>
      </c>
      <c r="CE92" s="10">
        <f>IFERROR(Table1[[#This Row],[Annual Volume]]*Table1[[#This Row],[Material
Saving]],"")</f>
        <v>150507.88268977698</v>
      </c>
      <c r="CF92" s="10">
        <f>IFERROR(Table1[[#This Row],[OH
Saving]]*Table1[[#This Row],[Annual Volume]],"")</f>
        <v>0</v>
      </c>
      <c r="CG92" s="10">
        <f>SUM(Table1[[#This Row],[Labor_ASV]:[OH_ASV]])</f>
        <v>150507.88268977698</v>
      </c>
    </row>
    <row r="93" spans="1:85" x14ac:dyDescent="0.3">
      <c r="A93" t="str">
        <f>Table1[[#This Row],[Project Name]]&amp;Table1[[#This Row],[Part Number]]</f>
        <v>Sampling Size ReductionR69</v>
      </c>
      <c r="B93" t="str">
        <f>IFERROR(Table1[[#This Row],[Project Number]]&amp;Table1[[#This Row],[Part Number]],"")</f>
        <v>AME25-059R69</v>
      </c>
      <c r="C93" s="22" t="s">
        <v>107</v>
      </c>
      <c r="D93" s="24" t="s">
        <v>307</v>
      </c>
      <c r="E93" s="25" t="s">
        <v>58</v>
      </c>
      <c r="F93" s="6">
        <f>INDEX(Proj_Reg!G:G,MATCH($C93,Proj_Reg!$B:$B,0),1)</f>
        <v>46082</v>
      </c>
      <c r="G93" s="6">
        <f>INDEX(Proj_Reg!H:H,MATCH($C93,Proj_Reg!$B:$B,0),1)</f>
        <v>46419</v>
      </c>
      <c r="H93" s="6" t="str">
        <f>IF(INDEX(Proj_Reg!C:C,MATCH($C93,Proj_Reg!$B:$B,0),1)=0,"",INDEX(Proj_Reg!C:C,MATCH($C93,Proj_Reg!$B:$B,0),1))</f>
        <v>Visual Inspection</v>
      </c>
      <c r="I93" s="6" t="str">
        <f>IF(INDEX(Proj_Reg!D:D,MATCH($C93,Proj_Reg!$B:$B,0),1)=0,"",INDEX(Proj_Reg!D:D,MATCH($C93,Proj_Reg!$B:$B,0),1))</f>
        <v>XCD</v>
      </c>
      <c r="J93" s="6" t="str">
        <f>INDEX(Proj_Reg!E:E,MATCH($C93,Proj_Reg!$B:$B,0),1)</f>
        <v>Sampling Size Reduction</v>
      </c>
      <c r="K93" s="21">
        <v>0</v>
      </c>
      <c r="L93" s="21">
        <v>0</v>
      </c>
      <c r="M93" s="21">
        <v>1.700147638331E-2</v>
      </c>
      <c r="N93" s="21">
        <v>0</v>
      </c>
      <c r="O93" s="11">
        <f>SUM(Table1[[#This Row],[Labor
Saving]:[OH
Saving]])</f>
        <v>1.700147638331E-2</v>
      </c>
      <c r="Q93" s="40">
        <f t="shared" si="52"/>
        <v>0</v>
      </c>
      <c r="R93" s="40">
        <f t="shared" si="53"/>
        <v>0</v>
      </c>
      <c r="S93" s="40">
        <f t="shared" si="54"/>
        <v>102642.3</v>
      </c>
      <c r="T93" s="40">
        <f t="shared" si="55"/>
        <v>354371</v>
      </c>
      <c r="U93" s="40">
        <f t="shared" si="56"/>
        <v>405156</v>
      </c>
      <c r="V93" s="40">
        <f t="shared" si="57"/>
        <v>366126</v>
      </c>
      <c r="W93" s="40">
        <f t="shared" si="58"/>
        <v>417726</v>
      </c>
      <c r="X93" s="40">
        <f t="shared" si="59"/>
        <v>329603</v>
      </c>
      <c r="Y93" s="40">
        <f t="shared" si="60"/>
        <v>340790</v>
      </c>
      <c r="Z93" s="40">
        <f t="shared" si="61"/>
        <v>318150</v>
      </c>
      <c r="AA93" s="40">
        <f t="shared" si="62"/>
        <v>300655</v>
      </c>
      <c r="AB93" s="40">
        <f t="shared" si="63"/>
        <v>267146</v>
      </c>
      <c r="AC93" s="37">
        <f>SUM(Table1[[#This Row],[Jan]:[Dec]])</f>
        <v>3202365.3</v>
      </c>
      <c r="AD93" s="15">
        <f t="shared" si="72"/>
        <v>0</v>
      </c>
      <c r="AE93" s="15">
        <f t="shared" si="73"/>
        <v>0</v>
      </c>
      <c r="AF93" s="15">
        <f t="shared" si="74"/>
        <v>1745.0706393786199</v>
      </c>
      <c r="AG93" s="15">
        <f t="shared" si="75"/>
        <v>6024.8301874299477</v>
      </c>
      <c r="AH93" s="15">
        <f t="shared" si="76"/>
        <v>6888.2501655563465</v>
      </c>
      <c r="AI93" s="15">
        <f t="shared" si="77"/>
        <v>6224.682542315757</v>
      </c>
      <c r="AJ93" s="15">
        <f t="shared" si="78"/>
        <v>7101.9587236945526</v>
      </c>
      <c r="AK93" s="15">
        <f t="shared" si="79"/>
        <v>5603.737620368126</v>
      </c>
      <c r="AL93" s="15">
        <f t="shared" si="80"/>
        <v>5793.9331366682145</v>
      </c>
      <c r="AM93" s="15">
        <f t="shared" si="81"/>
        <v>5409.0197113500762</v>
      </c>
      <c r="AN93" s="15">
        <f t="shared" si="82"/>
        <v>5111.5788820240678</v>
      </c>
      <c r="AO93" s="15">
        <f t="shared" si="83"/>
        <v>4541.8764098957336</v>
      </c>
      <c r="AP93" s="10">
        <f t="shared" si="84"/>
        <v>1745.0706393786199</v>
      </c>
      <c r="AQ93" s="10">
        <f t="shared" si="85"/>
        <v>19137.76289530205</v>
      </c>
      <c r="AR93" s="10">
        <f t="shared" si="86"/>
        <v>18499.629480730895</v>
      </c>
      <c r="AS93" s="10">
        <f t="shared" si="87"/>
        <v>15062.475003269876</v>
      </c>
      <c r="AT93" s="10" t="b">
        <f t="shared" si="88"/>
        <v>1</v>
      </c>
      <c r="AU93" s="10">
        <f t="shared" si="64"/>
        <v>0</v>
      </c>
      <c r="AV93" s="10">
        <f t="shared" si="65"/>
        <v>0</v>
      </c>
      <c r="AW93" s="10">
        <f t="shared" si="66"/>
        <v>54444.938018681438</v>
      </c>
      <c r="AX93" s="10">
        <f t="shared" si="67"/>
        <v>0</v>
      </c>
      <c r="AY93" s="10">
        <f t="shared" si="89"/>
        <v>54444.938018681438</v>
      </c>
      <c r="AZ93" s="19">
        <f>IFERROR(IF($E93="REC",INDEX(A_Type_Volume!$B:$B,MATCH($D93,A_Type_Volume!$A:$A,0),1),IF($E93="VAM",INDEX(C_Type_Volume!$B:$B,MATCH($D93,C_Type_Volume!$A:$A,0),1),"X")),"")</f>
        <v>388434</v>
      </c>
      <c r="BA93" s="19">
        <f>IFERROR(IF($E93="REC",INDEX(A_Type_Volume!$C:$C,MATCH($D93,A_Type_Volume!$A:$A,0),1),IF($E93="VAM",INDEX(C_Type_Volume!$C:$C,MATCH($D93,C_Type_Volume!$A:$A,0),1),"X")),"")</f>
        <v>251443</v>
      </c>
      <c r="BB93" s="19">
        <f>IFERROR(IF($E93="REC",INDEX(A_Type_Volume!$D:$D,MATCH($D93,A_Type_Volume!$A:$A,0),1),IF($E93="VAM",INDEX(C_Type_Volume!$D:$D,MATCH($D93,C_Type_Volume!$A:$A,0),1),"X")),"")</f>
        <v>342141</v>
      </c>
      <c r="BC93" s="19">
        <f>IFERROR(IF($E93="REC",INDEX(A_Type_Volume!$E:$E,MATCH($D93,A_Type_Volume!$A:$A,0),1),IF($E93="VAM",INDEX(C_Type_Volume!$E:$E,MATCH($D93,C_Type_Volume!$A:$A,0),1),"X")),"")</f>
        <v>354371</v>
      </c>
      <c r="BD93" s="19">
        <f>IFERROR(IF($E93="REC",INDEX(A_Type_Volume!$F:$F,MATCH($D93,A_Type_Volume!$A:$A,0),1),IF($E93="VAM",INDEX(C_Type_Volume!$F:$F,MATCH($D93,C_Type_Volume!$A:$A,0),1),"X")),"")</f>
        <v>405156</v>
      </c>
      <c r="BE93" s="19">
        <f>IFERROR(IF($E93="REC",INDEX(A_Type_Volume!$G:$G,MATCH($D93,A_Type_Volume!$A:$A,0),1),IF($E93="VAM",INDEX(C_Type_Volume!$G:$G,MATCH($D93,C_Type_Volume!$A:$A,0),1),"X")),"")</f>
        <v>366126</v>
      </c>
      <c r="BF93" s="19">
        <f>IFERROR(IF($E93="REC",INDEX(A_Type_Volume!$H:$H,MATCH($D93,A_Type_Volume!$A:$A,0),1),IF($E93="VAM",INDEX(C_Type_Volume!$H:$H,MATCH($D93,C_Type_Volume!$A:$A,0),1),"X")),"")</f>
        <v>417726</v>
      </c>
      <c r="BG93" s="19">
        <f>IFERROR(IF($E93="REC",INDEX(A_Type_Volume!$I:$I,MATCH($D93,A_Type_Volume!$A:$A,0),1),IF($E93="VAM",INDEX(C_Type_Volume!$I:$I,MATCH($D93,C_Type_Volume!$A:$A,0),1),"X")),"")</f>
        <v>329603</v>
      </c>
      <c r="BH93" s="19">
        <f>IFERROR(IF($E93="REC",INDEX(A_Type_Volume!$J:$J,MATCH($D93,A_Type_Volume!$A:$A,0),1),IF($E93="VAM",INDEX(C_Type_Volume!$J:$J,MATCH($D93,C_Type_Volume!$A:$A,0),1),"X")),"")</f>
        <v>340790</v>
      </c>
      <c r="BI93" s="19">
        <f>IFERROR(IF($E93="REC",INDEX(A_Type_Volume!$K:$K,MATCH($D93,A_Type_Volume!$A:$A,0),1),IF($E93="VAM",INDEX(C_Type_Volume!$K:$K,MATCH($D93,C_Type_Volume!$A:$A,0),1),"X")),"")</f>
        <v>318150</v>
      </c>
      <c r="BJ93" s="19">
        <f>IFERROR(IF($E93="REC",INDEX(A_Type_Volume!$L:$L,MATCH($D93,A_Type_Volume!$A:$A,0),1),IF($E93="VAM",INDEX(C_Type_Volume!$L:$L,MATCH($D93,C_Type_Volume!$A:$A,0),1),"X")),"")</f>
        <v>300655</v>
      </c>
      <c r="BK93" s="19">
        <f>IFERROR(IF($E93="REC",INDEX(A_Type_Volume!M:M,MATCH($D93,A_Type_Volume!$A:$A,0),1),IF($E93="VAM",INDEX(C_Type_Volume!M:M,MATCH($D93,C_Type_Volume!$A:$A,0),1),"X")),"")</f>
        <v>267146</v>
      </c>
      <c r="BL93" s="38">
        <f>SUM(Table1[[#This Row],[Jan_AVF]:[Dec_AVF]])</f>
        <v>4081741</v>
      </c>
      <c r="BM93" s="16">
        <f t="shared" si="90"/>
        <v>6603.9514774746367</v>
      </c>
      <c r="BN93" s="16">
        <f t="shared" si="91"/>
        <v>4274.902226248616</v>
      </c>
      <c r="BO93" s="16">
        <f t="shared" si="92"/>
        <v>5816.9021312620671</v>
      </c>
      <c r="BP93" s="16">
        <f t="shared" si="93"/>
        <v>6024.8301874299477</v>
      </c>
      <c r="BQ93" s="16">
        <f t="shared" si="94"/>
        <v>6888.2501655563465</v>
      </c>
      <c r="BR93" s="16">
        <f t="shared" si="95"/>
        <v>6224.682542315757</v>
      </c>
      <c r="BS93" s="16">
        <f t="shared" si="96"/>
        <v>7101.9587236945526</v>
      </c>
      <c r="BT93" s="16">
        <f t="shared" si="97"/>
        <v>5603.737620368126</v>
      </c>
      <c r="BU93" s="16">
        <f t="shared" si="98"/>
        <v>5793.9331366682145</v>
      </c>
      <c r="BV93" s="16">
        <f t="shared" si="99"/>
        <v>5409.0197113500762</v>
      </c>
      <c r="BW93" s="16">
        <f t="shared" si="100"/>
        <v>5111.5788820240678</v>
      </c>
      <c r="BX93" s="16">
        <f t="shared" si="101"/>
        <v>4541.8764098957336</v>
      </c>
      <c r="BY93" s="10">
        <f t="shared" si="68"/>
        <v>16695.755834985321</v>
      </c>
      <c r="BZ93" s="10">
        <f t="shared" si="69"/>
        <v>19137.76289530205</v>
      </c>
      <c r="CA93" s="10">
        <f t="shared" si="70"/>
        <v>18499.629480730895</v>
      </c>
      <c r="CB93" s="10">
        <f t="shared" si="71"/>
        <v>15062.475003269876</v>
      </c>
      <c r="CC93" s="10">
        <f>IFERROR(Table1[[#This Row],[Labor
Saving]]*Table1[[#This Row],[Annual Volume]],"")</f>
        <v>0</v>
      </c>
      <c r="CD93" s="10">
        <f>IFERROR(Table1[[#This Row],[Annual Volume]]*Table1[[#This Row],[Yield
Saving]],"")</f>
        <v>0</v>
      </c>
      <c r="CE93" s="10">
        <f>IFERROR(Table1[[#This Row],[Annual Volume]]*Table1[[#This Row],[Material
Saving]],"")</f>
        <v>69395.623214288149</v>
      </c>
      <c r="CF93" s="10">
        <f>IFERROR(Table1[[#This Row],[OH
Saving]]*Table1[[#This Row],[Annual Volume]],"")</f>
        <v>0</v>
      </c>
      <c r="CG93" s="10">
        <f>SUM(Table1[[#This Row],[Labor_ASV]:[OH_ASV]])</f>
        <v>69395.623214288149</v>
      </c>
    </row>
    <row r="94" spans="1:85" x14ac:dyDescent="0.3">
      <c r="A94" t="str">
        <f>Table1[[#This Row],[Project Name]]&amp;Table1[[#This Row],[Part Number]]</f>
        <v>Au etching increase Frequency usageR194</v>
      </c>
      <c r="B94" t="str">
        <f>IFERROR(Table1[[#This Row],[Project Number]]&amp;Table1[[#This Row],[Part Number]],"")</f>
        <v>AME25-060R194</v>
      </c>
      <c r="C94" s="22" t="s">
        <v>108</v>
      </c>
      <c r="D94" s="24" t="s">
        <v>432</v>
      </c>
      <c r="E94" s="25" t="s">
        <v>58</v>
      </c>
      <c r="F94" s="6">
        <f>INDEX(Proj_Reg!G:G,MATCH($C94,Proj_Reg!$B:$B,0),1)</f>
        <v>45931</v>
      </c>
      <c r="G94" s="6">
        <f>INDEX(Proj_Reg!H:H,MATCH($C94,Proj_Reg!$B:$B,0),1)</f>
        <v>46266</v>
      </c>
      <c r="H94" s="6" t="str">
        <f>IF(INDEX(Proj_Reg!C:C,MATCH($C94,Proj_Reg!$B:$B,0),1)=0,"",INDEX(Proj_Reg!C:C,MATCH($C94,Proj_Reg!$B:$B,0),1))</f>
        <v>Wet Etching</v>
      </c>
      <c r="I94" s="6" t="str">
        <f>IF(INDEX(Proj_Reg!D:D,MATCH($C94,Proj_Reg!$B:$B,0),1)=0,"",INDEX(Proj_Reg!D:D,MATCH($C94,Proj_Reg!$B:$B,0),1))</f>
        <v>XWP</v>
      </c>
      <c r="J94" s="6" t="str">
        <f>INDEX(Proj_Reg!E:E,MATCH($C94,Proj_Reg!$B:$B,0),1)</f>
        <v>Au etching increase Frequency usage</v>
      </c>
      <c r="K94" s="21">
        <v>0</v>
      </c>
      <c r="L94" s="21">
        <v>0</v>
      </c>
      <c r="M94" s="21">
        <v>1.700147638331E-2</v>
      </c>
      <c r="N94" s="21">
        <v>0</v>
      </c>
      <c r="O94" s="11">
        <f>SUM(Table1[[#This Row],[Labor
Saving]:[OH
Saving]])</f>
        <v>1.700147638331E-2</v>
      </c>
      <c r="Q94" s="40">
        <f t="shared" si="52"/>
        <v>0</v>
      </c>
      <c r="R94" s="40">
        <f t="shared" si="53"/>
        <v>0</v>
      </c>
      <c r="S94" s="40">
        <f t="shared" si="54"/>
        <v>0</v>
      </c>
      <c r="T94" s="40">
        <f t="shared" si="55"/>
        <v>0</v>
      </c>
      <c r="U94" s="40">
        <f t="shared" si="56"/>
        <v>0</v>
      </c>
      <c r="V94" s="40">
        <f t="shared" si="57"/>
        <v>0</v>
      </c>
      <c r="W94" s="40">
        <f t="shared" si="58"/>
        <v>0</v>
      </c>
      <c r="X94" s="40">
        <f t="shared" si="59"/>
        <v>0</v>
      </c>
      <c r="Y94" s="40">
        <f t="shared" si="60"/>
        <v>0</v>
      </c>
      <c r="Z94" s="40">
        <f t="shared" si="61"/>
        <v>0</v>
      </c>
      <c r="AA94" s="40">
        <f t="shared" si="62"/>
        <v>0</v>
      </c>
      <c r="AB94" s="40">
        <f t="shared" si="63"/>
        <v>0</v>
      </c>
      <c r="AC94" s="37">
        <f>SUM(Table1[[#This Row],[Jan]:[Dec]])</f>
        <v>0</v>
      </c>
      <c r="AD94" s="15">
        <f t="shared" si="72"/>
        <v>0</v>
      </c>
      <c r="AE94" s="15">
        <f t="shared" si="73"/>
        <v>0</v>
      </c>
      <c r="AF94" s="15">
        <f t="shared" si="74"/>
        <v>0</v>
      </c>
      <c r="AG94" s="15">
        <f t="shared" si="75"/>
        <v>0</v>
      </c>
      <c r="AH94" s="15">
        <f t="shared" si="76"/>
        <v>0</v>
      </c>
      <c r="AI94" s="15">
        <f t="shared" si="77"/>
        <v>0</v>
      </c>
      <c r="AJ94" s="15">
        <f t="shared" si="78"/>
        <v>0</v>
      </c>
      <c r="AK94" s="15">
        <f t="shared" si="79"/>
        <v>0</v>
      </c>
      <c r="AL94" s="15">
        <f t="shared" si="80"/>
        <v>0</v>
      </c>
      <c r="AM94" s="15">
        <f t="shared" si="81"/>
        <v>0</v>
      </c>
      <c r="AN94" s="15">
        <f t="shared" si="82"/>
        <v>0</v>
      </c>
      <c r="AO94" s="15">
        <f t="shared" si="83"/>
        <v>0</v>
      </c>
      <c r="AP94" s="10">
        <f t="shared" si="84"/>
        <v>0</v>
      </c>
      <c r="AQ94" s="10">
        <f t="shared" si="85"/>
        <v>0</v>
      </c>
      <c r="AR94" s="10">
        <f t="shared" si="86"/>
        <v>0</v>
      </c>
      <c r="AS94" s="10">
        <f t="shared" si="87"/>
        <v>0</v>
      </c>
      <c r="AT94" s="10" t="b">
        <f t="shared" si="88"/>
        <v>1</v>
      </c>
      <c r="AU94" s="10">
        <f t="shared" si="64"/>
        <v>0</v>
      </c>
      <c r="AV94" s="10">
        <f t="shared" si="65"/>
        <v>0</v>
      </c>
      <c r="AW94" s="10">
        <f t="shared" si="66"/>
        <v>0</v>
      </c>
      <c r="AX94" s="10">
        <f t="shared" si="67"/>
        <v>0</v>
      </c>
      <c r="AY94" s="10">
        <f t="shared" si="89"/>
        <v>0</v>
      </c>
      <c r="AZ94" s="19">
        <f>IFERROR(IF($E94="REC",INDEX(A_Type_Volume!$B:$B,MATCH($D94,A_Type_Volume!$A:$A,0),1),IF($E94="VAM",INDEX(C_Type_Volume!$B:$B,MATCH($D94,C_Type_Volume!$A:$A,0),1),"X")),"")</f>
        <v>0</v>
      </c>
      <c r="BA94" s="19">
        <f>IFERROR(IF($E94="REC",INDEX(A_Type_Volume!$C:$C,MATCH($D94,A_Type_Volume!$A:$A,0),1),IF($E94="VAM",INDEX(C_Type_Volume!$C:$C,MATCH($D94,C_Type_Volume!$A:$A,0),1),"X")),"")</f>
        <v>0</v>
      </c>
      <c r="BB94" s="19">
        <f>IFERROR(IF($E94="REC",INDEX(A_Type_Volume!$D:$D,MATCH($D94,A_Type_Volume!$A:$A,0),1),IF($E94="VAM",INDEX(C_Type_Volume!$D:$D,MATCH($D94,C_Type_Volume!$A:$A,0),1),"X")),"")</f>
        <v>0</v>
      </c>
      <c r="BC94" s="19">
        <f>IFERROR(IF($E94="REC",INDEX(A_Type_Volume!$E:$E,MATCH($D94,A_Type_Volume!$A:$A,0),1),IF($E94="VAM",INDEX(C_Type_Volume!$E:$E,MATCH($D94,C_Type_Volume!$A:$A,0),1),"X")),"")</f>
        <v>0</v>
      </c>
      <c r="BD94" s="19">
        <f>IFERROR(IF($E94="REC",INDEX(A_Type_Volume!$F:$F,MATCH($D94,A_Type_Volume!$A:$A,0),1),IF($E94="VAM",INDEX(C_Type_Volume!$F:$F,MATCH($D94,C_Type_Volume!$A:$A,0),1),"X")),"")</f>
        <v>0</v>
      </c>
      <c r="BE94" s="19">
        <f>IFERROR(IF($E94="REC",INDEX(A_Type_Volume!$G:$G,MATCH($D94,A_Type_Volume!$A:$A,0),1),IF($E94="VAM",INDEX(C_Type_Volume!$G:$G,MATCH($D94,C_Type_Volume!$A:$A,0),1),"X")),"")</f>
        <v>0</v>
      </c>
      <c r="BF94" s="19">
        <f>IFERROR(IF($E94="REC",INDEX(A_Type_Volume!$H:$H,MATCH($D94,A_Type_Volume!$A:$A,0),1),IF($E94="VAM",INDEX(C_Type_Volume!$H:$H,MATCH($D94,C_Type_Volume!$A:$A,0),1),"X")),"")</f>
        <v>0</v>
      </c>
      <c r="BG94" s="19">
        <f>IFERROR(IF($E94="REC",INDEX(A_Type_Volume!$I:$I,MATCH($D94,A_Type_Volume!$A:$A,0),1),IF($E94="VAM",INDEX(C_Type_Volume!$I:$I,MATCH($D94,C_Type_Volume!$A:$A,0),1),"X")),"")</f>
        <v>0</v>
      </c>
      <c r="BH94" s="19">
        <f>IFERROR(IF($E94="REC",INDEX(A_Type_Volume!$J:$J,MATCH($D94,A_Type_Volume!$A:$A,0),1),IF($E94="VAM",INDEX(C_Type_Volume!$J:$J,MATCH($D94,C_Type_Volume!$A:$A,0),1),"X")),"")</f>
        <v>0</v>
      </c>
      <c r="BI94" s="19">
        <f>IFERROR(IF($E94="REC",INDEX(A_Type_Volume!$K:$K,MATCH($D94,A_Type_Volume!$A:$A,0),1),IF($E94="VAM",INDEX(C_Type_Volume!$K:$K,MATCH($D94,C_Type_Volume!$A:$A,0),1),"X")),"")</f>
        <v>0</v>
      </c>
      <c r="BJ94" s="19">
        <f>IFERROR(IF($E94="REC",INDEX(A_Type_Volume!$L:$L,MATCH($D94,A_Type_Volume!$A:$A,0),1),IF($E94="VAM",INDEX(C_Type_Volume!$L:$L,MATCH($D94,C_Type_Volume!$A:$A,0),1),"X")),"")</f>
        <v>0</v>
      </c>
      <c r="BK94" s="19">
        <f>IFERROR(IF($E94="REC",INDEX(A_Type_Volume!M:M,MATCH($D94,A_Type_Volume!$A:$A,0),1),IF($E94="VAM",INDEX(C_Type_Volume!M:M,MATCH($D94,C_Type_Volume!$A:$A,0),1),"X")),"")</f>
        <v>0</v>
      </c>
      <c r="BL94" s="38">
        <f>SUM(Table1[[#This Row],[Jan_AVF]:[Dec_AVF]])</f>
        <v>0</v>
      </c>
      <c r="BM94" s="16">
        <f t="shared" si="90"/>
        <v>0</v>
      </c>
      <c r="BN94" s="16">
        <f t="shared" si="91"/>
        <v>0</v>
      </c>
      <c r="BO94" s="16">
        <f t="shared" si="92"/>
        <v>0</v>
      </c>
      <c r="BP94" s="16">
        <f t="shared" si="93"/>
        <v>0</v>
      </c>
      <c r="BQ94" s="16">
        <f t="shared" si="94"/>
        <v>0</v>
      </c>
      <c r="BR94" s="16">
        <f t="shared" si="95"/>
        <v>0</v>
      </c>
      <c r="BS94" s="16">
        <f t="shared" si="96"/>
        <v>0</v>
      </c>
      <c r="BT94" s="16">
        <f t="shared" si="97"/>
        <v>0</v>
      </c>
      <c r="BU94" s="16">
        <f t="shared" si="98"/>
        <v>0</v>
      </c>
      <c r="BV94" s="16">
        <f t="shared" si="99"/>
        <v>0</v>
      </c>
      <c r="BW94" s="16">
        <f t="shared" si="100"/>
        <v>0</v>
      </c>
      <c r="BX94" s="16">
        <f t="shared" si="101"/>
        <v>0</v>
      </c>
      <c r="BY94" s="10">
        <f t="shared" si="68"/>
        <v>0</v>
      </c>
      <c r="BZ94" s="10">
        <f t="shared" si="69"/>
        <v>0</v>
      </c>
      <c r="CA94" s="10">
        <f t="shared" si="70"/>
        <v>0</v>
      </c>
      <c r="CB94" s="10">
        <f t="shared" si="71"/>
        <v>0</v>
      </c>
      <c r="CC94" s="10">
        <f>IFERROR(Table1[[#This Row],[Labor
Saving]]*Table1[[#This Row],[Annual Volume]],"")</f>
        <v>0</v>
      </c>
      <c r="CD94" s="10">
        <f>IFERROR(Table1[[#This Row],[Annual Volume]]*Table1[[#This Row],[Yield
Saving]],"")</f>
        <v>0</v>
      </c>
      <c r="CE94" s="10">
        <f>IFERROR(Table1[[#This Row],[Annual Volume]]*Table1[[#This Row],[Material
Saving]],"")</f>
        <v>0</v>
      </c>
      <c r="CF94" s="10">
        <f>IFERROR(Table1[[#This Row],[OH
Saving]]*Table1[[#This Row],[Annual Volume]],"")</f>
        <v>0</v>
      </c>
      <c r="CG94" s="10">
        <f>SUM(Table1[[#This Row],[Labor_ASV]:[OH_ASV]])</f>
        <v>0</v>
      </c>
    </row>
    <row r="95" spans="1:85" x14ac:dyDescent="0.3">
      <c r="A95" t="str">
        <f>Table1[[#This Row],[Project Name]]&amp;Table1[[#This Row],[Part Number]]</f>
        <v>TiW etching increase Frequency usageR68</v>
      </c>
      <c r="B95" t="str">
        <f>IFERROR(Table1[[#This Row],[Project Number]]&amp;Table1[[#This Row],[Part Number]],"")</f>
        <v>AME25-061R68</v>
      </c>
      <c r="C95" s="22" t="s">
        <v>109</v>
      </c>
      <c r="D95" s="24" t="s">
        <v>306</v>
      </c>
      <c r="E95" s="25" t="s">
        <v>58</v>
      </c>
      <c r="F95" s="6">
        <f>INDEX(Proj_Reg!G:G,MATCH($C95,Proj_Reg!$B:$B,0),1)</f>
        <v>45962</v>
      </c>
      <c r="G95" s="6">
        <f>INDEX(Proj_Reg!H:H,MATCH($C95,Proj_Reg!$B:$B,0),1)</f>
        <v>46296</v>
      </c>
      <c r="H95" s="6" t="str">
        <f>IF(INDEX(Proj_Reg!C:C,MATCH($C95,Proj_Reg!$B:$B,0),1)=0,"",INDEX(Proj_Reg!C:C,MATCH($C95,Proj_Reg!$B:$B,0),1))</f>
        <v>Wet Etching</v>
      </c>
      <c r="I95" s="6" t="str">
        <f>IF(INDEX(Proj_Reg!D:D,MATCH($C95,Proj_Reg!$B:$B,0),1)=0,"",INDEX(Proj_Reg!D:D,MATCH($C95,Proj_Reg!$B:$B,0),1))</f>
        <v>XWP</v>
      </c>
      <c r="J95" s="6" t="str">
        <f>INDEX(Proj_Reg!E:E,MATCH($C95,Proj_Reg!$B:$B,0),1)</f>
        <v>TiW etching increase Frequency usage</v>
      </c>
      <c r="K95" s="21">
        <v>1.6649663994818234E-3</v>
      </c>
      <c r="L95" s="21">
        <v>0.02</v>
      </c>
      <c r="M95" s="21">
        <v>0</v>
      </c>
      <c r="N95" s="21">
        <v>0</v>
      </c>
      <c r="O95" s="11">
        <f>SUM(Table1[[#This Row],[Labor
Saving]:[OH
Saving]])</f>
        <v>2.1664966399481823E-2</v>
      </c>
      <c r="Q95" s="40">
        <f t="shared" si="52"/>
        <v>388434</v>
      </c>
      <c r="R95" s="40">
        <f t="shared" si="53"/>
        <v>251443</v>
      </c>
      <c r="S95" s="40">
        <f t="shared" si="54"/>
        <v>342141</v>
      </c>
      <c r="T95" s="40">
        <f t="shared" si="55"/>
        <v>354371</v>
      </c>
      <c r="U95" s="40">
        <f t="shared" si="56"/>
        <v>405156</v>
      </c>
      <c r="V95" s="40">
        <f t="shared" si="57"/>
        <v>366126</v>
      </c>
      <c r="W95" s="40">
        <f t="shared" si="58"/>
        <v>417726</v>
      </c>
      <c r="X95" s="40">
        <f t="shared" si="59"/>
        <v>329603</v>
      </c>
      <c r="Y95" s="40">
        <f t="shared" si="60"/>
        <v>340790</v>
      </c>
      <c r="Z95" s="40">
        <f t="shared" si="61"/>
        <v>318150</v>
      </c>
      <c r="AA95" s="40">
        <f t="shared" si="62"/>
        <v>0</v>
      </c>
      <c r="AB95" s="40">
        <f t="shared" si="63"/>
        <v>0</v>
      </c>
      <c r="AC95" s="37">
        <f>SUM(Table1[[#This Row],[Jan]:[Dec]])</f>
        <v>3513940</v>
      </c>
      <c r="AD95" s="15">
        <f t="shared" si="72"/>
        <v>8415.4095584163224</v>
      </c>
      <c r="AE95" s="15">
        <f t="shared" si="73"/>
        <v>5447.5041463849084</v>
      </c>
      <c r="AF95" s="15">
        <f t="shared" si="74"/>
        <v>7412.4732688851109</v>
      </c>
      <c r="AG95" s="15">
        <f t="shared" si="75"/>
        <v>7677.4358079507729</v>
      </c>
      <c r="AH95" s="15">
        <f t="shared" si="76"/>
        <v>8777.6911265484578</v>
      </c>
      <c r="AI95" s="15">
        <f t="shared" si="77"/>
        <v>7932.107487976682</v>
      </c>
      <c r="AJ95" s="15">
        <f t="shared" si="78"/>
        <v>9050.0197541899433</v>
      </c>
      <c r="AK95" s="15">
        <f t="shared" si="79"/>
        <v>7140.8379201684074</v>
      </c>
      <c r="AL95" s="15">
        <f t="shared" si="80"/>
        <v>7383.2038992794105</v>
      </c>
      <c r="AM95" s="15">
        <f t="shared" si="81"/>
        <v>6892.7090599951425</v>
      </c>
      <c r="AN95" s="15">
        <f t="shared" si="82"/>
        <v>0</v>
      </c>
      <c r="AO95" s="15">
        <f t="shared" si="83"/>
        <v>0</v>
      </c>
      <c r="AP95" s="10">
        <f t="shared" si="84"/>
        <v>21275.386973686342</v>
      </c>
      <c r="AQ95" s="10">
        <f t="shared" si="85"/>
        <v>24387.234422475914</v>
      </c>
      <c r="AR95" s="10">
        <f t="shared" si="86"/>
        <v>23574.061573637762</v>
      </c>
      <c r="AS95" s="10">
        <f t="shared" si="87"/>
        <v>6892.7090599951425</v>
      </c>
      <c r="AT95" s="10" t="b">
        <f t="shared" si="88"/>
        <v>1</v>
      </c>
      <c r="AU95" s="10">
        <f t="shared" si="64"/>
        <v>5850.5920297951589</v>
      </c>
      <c r="AV95" s="10">
        <f t="shared" si="65"/>
        <v>70278.8</v>
      </c>
      <c r="AW95" s="10">
        <f t="shared" si="66"/>
        <v>0</v>
      </c>
      <c r="AX95" s="10">
        <f t="shared" si="67"/>
        <v>0</v>
      </c>
      <c r="AY95" s="10">
        <f t="shared" si="89"/>
        <v>76129.392029795155</v>
      </c>
      <c r="AZ95" s="19">
        <f>IFERROR(IF($E95="REC",INDEX(A_Type_Volume!$B:$B,MATCH($D95,A_Type_Volume!$A:$A,0),1),IF($E95="VAM",INDEX(C_Type_Volume!$B:$B,MATCH($D95,C_Type_Volume!$A:$A,0),1),"X")),"")</f>
        <v>388434</v>
      </c>
      <c r="BA95" s="19">
        <f>IFERROR(IF($E95="REC",INDEX(A_Type_Volume!$C:$C,MATCH($D95,A_Type_Volume!$A:$A,0),1),IF($E95="VAM",INDEX(C_Type_Volume!$C:$C,MATCH($D95,C_Type_Volume!$A:$A,0),1),"X")),"")</f>
        <v>251443</v>
      </c>
      <c r="BB95" s="19">
        <f>IFERROR(IF($E95="REC",INDEX(A_Type_Volume!$D:$D,MATCH($D95,A_Type_Volume!$A:$A,0),1),IF($E95="VAM",INDEX(C_Type_Volume!$D:$D,MATCH($D95,C_Type_Volume!$A:$A,0),1),"X")),"")</f>
        <v>342141</v>
      </c>
      <c r="BC95" s="19">
        <f>IFERROR(IF($E95="REC",INDEX(A_Type_Volume!$E:$E,MATCH($D95,A_Type_Volume!$A:$A,0),1),IF($E95="VAM",INDEX(C_Type_Volume!$E:$E,MATCH($D95,C_Type_Volume!$A:$A,0),1),"X")),"")</f>
        <v>354371</v>
      </c>
      <c r="BD95" s="19">
        <f>IFERROR(IF($E95="REC",INDEX(A_Type_Volume!$F:$F,MATCH($D95,A_Type_Volume!$A:$A,0),1),IF($E95="VAM",INDEX(C_Type_Volume!$F:$F,MATCH($D95,C_Type_Volume!$A:$A,0),1),"X")),"")</f>
        <v>405156</v>
      </c>
      <c r="BE95" s="19">
        <f>IFERROR(IF($E95="REC",INDEX(A_Type_Volume!$G:$G,MATCH($D95,A_Type_Volume!$A:$A,0),1),IF($E95="VAM",INDEX(C_Type_Volume!$G:$G,MATCH($D95,C_Type_Volume!$A:$A,0),1),"X")),"")</f>
        <v>366126</v>
      </c>
      <c r="BF95" s="19">
        <f>IFERROR(IF($E95="REC",INDEX(A_Type_Volume!$H:$H,MATCH($D95,A_Type_Volume!$A:$A,0),1),IF($E95="VAM",INDEX(C_Type_Volume!$H:$H,MATCH($D95,C_Type_Volume!$A:$A,0),1),"X")),"")</f>
        <v>417726</v>
      </c>
      <c r="BG95" s="19">
        <f>IFERROR(IF($E95="REC",INDEX(A_Type_Volume!$I:$I,MATCH($D95,A_Type_Volume!$A:$A,0),1),IF($E95="VAM",INDEX(C_Type_Volume!$I:$I,MATCH($D95,C_Type_Volume!$A:$A,0),1),"X")),"")</f>
        <v>329603</v>
      </c>
      <c r="BH95" s="19">
        <f>IFERROR(IF($E95="REC",INDEX(A_Type_Volume!$J:$J,MATCH($D95,A_Type_Volume!$A:$A,0),1),IF($E95="VAM",INDEX(C_Type_Volume!$J:$J,MATCH($D95,C_Type_Volume!$A:$A,0),1),"X")),"")</f>
        <v>340790</v>
      </c>
      <c r="BI95" s="19">
        <f>IFERROR(IF($E95="REC",INDEX(A_Type_Volume!$K:$K,MATCH($D95,A_Type_Volume!$A:$A,0),1),IF($E95="VAM",INDEX(C_Type_Volume!$K:$K,MATCH($D95,C_Type_Volume!$A:$A,0),1),"X")),"")</f>
        <v>318150</v>
      </c>
      <c r="BJ95" s="19">
        <f>IFERROR(IF($E95="REC",INDEX(A_Type_Volume!$L:$L,MATCH($D95,A_Type_Volume!$A:$A,0),1),IF($E95="VAM",INDEX(C_Type_Volume!$L:$L,MATCH($D95,C_Type_Volume!$A:$A,0),1),"X")),"")</f>
        <v>300655</v>
      </c>
      <c r="BK95" s="19">
        <f>IFERROR(IF($E95="REC",INDEX(A_Type_Volume!M:M,MATCH($D95,A_Type_Volume!$A:$A,0),1),IF($E95="VAM",INDEX(C_Type_Volume!M:M,MATCH($D95,C_Type_Volume!$A:$A,0),1),"X")),"")</f>
        <v>267146</v>
      </c>
      <c r="BL95" s="38">
        <f>SUM(Table1[[#This Row],[Jan_AVF]:[Dec_AVF]])</f>
        <v>4081741</v>
      </c>
      <c r="BM95" s="16">
        <f t="shared" si="90"/>
        <v>8415.4095584163224</v>
      </c>
      <c r="BN95" s="16">
        <f t="shared" si="91"/>
        <v>5447.5041463849084</v>
      </c>
      <c r="BO95" s="16">
        <f t="shared" si="92"/>
        <v>7412.4732688851109</v>
      </c>
      <c r="BP95" s="16">
        <f t="shared" si="93"/>
        <v>7677.4358079507729</v>
      </c>
      <c r="BQ95" s="16">
        <f t="shared" si="94"/>
        <v>8777.6911265484578</v>
      </c>
      <c r="BR95" s="16">
        <f t="shared" si="95"/>
        <v>7932.107487976682</v>
      </c>
      <c r="BS95" s="16">
        <f t="shared" si="96"/>
        <v>9050.0197541899433</v>
      </c>
      <c r="BT95" s="16">
        <f t="shared" si="97"/>
        <v>7140.8379201684074</v>
      </c>
      <c r="BU95" s="16">
        <f t="shared" si="98"/>
        <v>7383.2038992794105</v>
      </c>
      <c r="BV95" s="16">
        <f t="shared" si="99"/>
        <v>6892.7090599951425</v>
      </c>
      <c r="BW95" s="16">
        <f t="shared" si="100"/>
        <v>6513.6804728362076</v>
      </c>
      <c r="BX95" s="16">
        <f t="shared" si="101"/>
        <v>5787.709113755971</v>
      </c>
      <c r="BY95" s="10">
        <f t="shared" si="68"/>
        <v>21275.386973686342</v>
      </c>
      <c r="BZ95" s="10">
        <f t="shared" si="69"/>
        <v>24387.234422475914</v>
      </c>
      <c r="CA95" s="10">
        <f t="shared" si="70"/>
        <v>23574.061573637762</v>
      </c>
      <c r="CB95" s="10">
        <f t="shared" si="71"/>
        <v>19194.098646587321</v>
      </c>
      <c r="CC95" s="10">
        <f>IFERROR(Table1[[#This Row],[Labor
Saving]]*Table1[[#This Row],[Annual Volume]],"")</f>
        <v>6795.961616387337</v>
      </c>
      <c r="CD95" s="10">
        <f>IFERROR(Table1[[#This Row],[Annual Volume]]*Table1[[#This Row],[Yield
Saving]],"")</f>
        <v>81634.820000000007</v>
      </c>
      <c r="CE95" s="10">
        <f>IFERROR(Table1[[#This Row],[Annual Volume]]*Table1[[#This Row],[Material
Saving]],"")</f>
        <v>0</v>
      </c>
      <c r="CF95" s="10">
        <f>IFERROR(Table1[[#This Row],[OH
Saving]]*Table1[[#This Row],[Annual Volume]],"")</f>
        <v>0</v>
      </c>
      <c r="CG95" s="10">
        <f>SUM(Table1[[#This Row],[Labor_ASV]:[OH_ASV]])</f>
        <v>88430.78161638735</v>
      </c>
    </row>
    <row r="96" spans="1:85" x14ac:dyDescent="0.3">
      <c r="A96" t="str">
        <f>Table1[[#This Row],[Project Name]]&amp;Table1[[#This Row],[Part Number]]</f>
        <v>TiW etching increase Frequency usageR69</v>
      </c>
      <c r="B96" t="str">
        <f>IFERROR(Table1[[#This Row],[Project Number]]&amp;Table1[[#This Row],[Part Number]],"")</f>
        <v>AME25-061R69</v>
      </c>
      <c r="C96" s="22" t="s">
        <v>109</v>
      </c>
      <c r="D96" s="24" t="s">
        <v>307</v>
      </c>
      <c r="E96" s="25" t="s">
        <v>58</v>
      </c>
      <c r="F96" s="6">
        <f>INDEX(Proj_Reg!G:G,MATCH($C96,Proj_Reg!$B:$B,0),1)</f>
        <v>45962</v>
      </c>
      <c r="G96" s="6">
        <f>INDEX(Proj_Reg!H:H,MATCH($C96,Proj_Reg!$B:$B,0),1)</f>
        <v>46296</v>
      </c>
      <c r="H96" s="6" t="str">
        <f>IF(INDEX(Proj_Reg!C:C,MATCH($C96,Proj_Reg!$B:$B,0),1)=0,"",INDEX(Proj_Reg!C:C,MATCH($C96,Proj_Reg!$B:$B,0),1))</f>
        <v>Wet Etching</v>
      </c>
      <c r="I96" s="6" t="str">
        <f>IF(INDEX(Proj_Reg!D:D,MATCH($C96,Proj_Reg!$B:$B,0),1)=0,"",INDEX(Proj_Reg!D:D,MATCH($C96,Proj_Reg!$B:$B,0),1))</f>
        <v>XWP</v>
      </c>
      <c r="J96" s="6" t="str">
        <f>INDEX(Proj_Reg!E:E,MATCH($C96,Proj_Reg!$B:$B,0),1)</f>
        <v>TiW etching increase Frequency usage</v>
      </c>
      <c r="K96" s="21">
        <v>5.0000000000000001E-4</v>
      </c>
      <c r="L96" s="21">
        <v>1.4500000000000001E-2</v>
      </c>
      <c r="M96" s="21">
        <v>0</v>
      </c>
      <c r="N96" s="21">
        <v>0</v>
      </c>
      <c r="O96" s="11">
        <f>SUM(Table1[[#This Row],[Labor
Saving]:[OH
Saving]])</f>
        <v>1.5000000000000001E-2</v>
      </c>
      <c r="Q96" s="40">
        <f t="shared" si="52"/>
        <v>388434</v>
      </c>
      <c r="R96" s="40">
        <f t="shared" si="53"/>
        <v>251443</v>
      </c>
      <c r="S96" s="40">
        <f t="shared" si="54"/>
        <v>342141</v>
      </c>
      <c r="T96" s="40">
        <f t="shared" si="55"/>
        <v>354371</v>
      </c>
      <c r="U96" s="40">
        <f t="shared" si="56"/>
        <v>405156</v>
      </c>
      <c r="V96" s="40">
        <f t="shared" si="57"/>
        <v>366126</v>
      </c>
      <c r="W96" s="40">
        <f t="shared" si="58"/>
        <v>417726</v>
      </c>
      <c r="X96" s="40">
        <f t="shared" si="59"/>
        <v>329603</v>
      </c>
      <c r="Y96" s="40">
        <f t="shared" si="60"/>
        <v>340790</v>
      </c>
      <c r="Z96" s="40">
        <f t="shared" si="61"/>
        <v>318150</v>
      </c>
      <c r="AA96" s="40">
        <f t="shared" si="62"/>
        <v>0</v>
      </c>
      <c r="AB96" s="40">
        <f t="shared" si="63"/>
        <v>0</v>
      </c>
      <c r="AC96" s="37">
        <f>SUM(Table1[[#This Row],[Jan]:[Dec]])</f>
        <v>3513940</v>
      </c>
      <c r="AD96" s="15">
        <f t="shared" si="72"/>
        <v>5826.51</v>
      </c>
      <c r="AE96" s="15">
        <f t="shared" si="73"/>
        <v>3771.6450000000004</v>
      </c>
      <c r="AF96" s="15">
        <f t="shared" si="74"/>
        <v>5132.1150000000007</v>
      </c>
      <c r="AG96" s="15">
        <f t="shared" si="75"/>
        <v>5315.5650000000005</v>
      </c>
      <c r="AH96" s="15">
        <f t="shared" si="76"/>
        <v>6077.34</v>
      </c>
      <c r="AI96" s="15">
        <f t="shared" si="77"/>
        <v>5491.89</v>
      </c>
      <c r="AJ96" s="15">
        <f t="shared" si="78"/>
        <v>6265.89</v>
      </c>
      <c r="AK96" s="15">
        <f t="shared" si="79"/>
        <v>4944.0450000000001</v>
      </c>
      <c r="AL96" s="15">
        <f t="shared" si="80"/>
        <v>5111.8500000000004</v>
      </c>
      <c r="AM96" s="15">
        <f t="shared" si="81"/>
        <v>4772.25</v>
      </c>
      <c r="AN96" s="15">
        <f t="shared" si="82"/>
        <v>0</v>
      </c>
      <c r="AO96" s="15">
        <f t="shared" si="83"/>
        <v>0</v>
      </c>
      <c r="AP96" s="10">
        <f t="shared" si="84"/>
        <v>14730.27</v>
      </c>
      <c r="AQ96" s="10">
        <f t="shared" si="85"/>
        <v>16884.795000000002</v>
      </c>
      <c r="AR96" s="10">
        <f t="shared" si="86"/>
        <v>16321.785000000002</v>
      </c>
      <c r="AS96" s="10">
        <f t="shared" si="87"/>
        <v>4772.25</v>
      </c>
      <c r="AT96" s="10" t="b">
        <f t="shared" si="88"/>
        <v>1</v>
      </c>
      <c r="AU96" s="10">
        <f t="shared" si="64"/>
        <v>1756.97</v>
      </c>
      <c r="AV96" s="10">
        <f t="shared" si="65"/>
        <v>50952.130000000005</v>
      </c>
      <c r="AW96" s="10">
        <f t="shared" si="66"/>
        <v>0</v>
      </c>
      <c r="AX96" s="10">
        <f t="shared" si="67"/>
        <v>0</v>
      </c>
      <c r="AY96" s="10">
        <f t="shared" si="89"/>
        <v>52709.100000000006</v>
      </c>
      <c r="AZ96" s="19">
        <f>IFERROR(IF($E96="REC",INDEX(A_Type_Volume!$B:$B,MATCH($D96,A_Type_Volume!$A:$A,0),1),IF($E96="VAM",INDEX(C_Type_Volume!$B:$B,MATCH($D96,C_Type_Volume!$A:$A,0),1),"X")),"")</f>
        <v>388434</v>
      </c>
      <c r="BA96" s="19">
        <f>IFERROR(IF($E96="REC",INDEX(A_Type_Volume!$C:$C,MATCH($D96,A_Type_Volume!$A:$A,0),1),IF($E96="VAM",INDEX(C_Type_Volume!$C:$C,MATCH($D96,C_Type_Volume!$A:$A,0),1),"X")),"")</f>
        <v>251443</v>
      </c>
      <c r="BB96" s="19">
        <f>IFERROR(IF($E96="REC",INDEX(A_Type_Volume!$D:$D,MATCH($D96,A_Type_Volume!$A:$A,0),1),IF($E96="VAM",INDEX(C_Type_Volume!$D:$D,MATCH($D96,C_Type_Volume!$A:$A,0),1),"X")),"")</f>
        <v>342141</v>
      </c>
      <c r="BC96" s="19">
        <f>IFERROR(IF($E96="REC",INDEX(A_Type_Volume!$E:$E,MATCH($D96,A_Type_Volume!$A:$A,0),1),IF($E96="VAM",INDEX(C_Type_Volume!$E:$E,MATCH($D96,C_Type_Volume!$A:$A,0),1),"X")),"")</f>
        <v>354371</v>
      </c>
      <c r="BD96" s="19">
        <f>IFERROR(IF($E96="REC",INDEX(A_Type_Volume!$F:$F,MATCH($D96,A_Type_Volume!$A:$A,0),1),IF($E96="VAM",INDEX(C_Type_Volume!$F:$F,MATCH($D96,C_Type_Volume!$A:$A,0),1),"X")),"")</f>
        <v>405156</v>
      </c>
      <c r="BE96" s="19">
        <f>IFERROR(IF($E96="REC",INDEX(A_Type_Volume!$G:$G,MATCH($D96,A_Type_Volume!$A:$A,0),1),IF($E96="VAM",INDEX(C_Type_Volume!$G:$G,MATCH($D96,C_Type_Volume!$A:$A,0),1),"X")),"")</f>
        <v>366126</v>
      </c>
      <c r="BF96" s="19">
        <f>IFERROR(IF($E96="REC",INDEX(A_Type_Volume!$H:$H,MATCH($D96,A_Type_Volume!$A:$A,0),1),IF($E96="VAM",INDEX(C_Type_Volume!$H:$H,MATCH($D96,C_Type_Volume!$A:$A,0),1),"X")),"")</f>
        <v>417726</v>
      </c>
      <c r="BG96" s="19">
        <f>IFERROR(IF($E96="REC",INDEX(A_Type_Volume!$I:$I,MATCH($D96,A_Type_Volume!$A:$A,0),1),IF($E96="VAM",INDEX(C_Type_Volume!$I:$I,MATCH($D96,C_Type_Volume!$A:$A,0),1),"X")),"")</f>
        <v>329603</v>
      </c>
      <c r="BH96" s="19">
        <f>IFERROR(IF($E96="REC",INDEX(A_Type_Volume!$J:$J,MATCH($D96,A_Type_Volume!$A:$A,0),1),IF($E96="VAM",INDEX(C_Type_Volume!$J:$J,MATCH($D96,C_Type_Volume!$A:$A,0),1),"X")),"")</f>
        <v>340790</v>
      </c>
      <c r="BI96" s="19">
        <f>IFERROR(IF($E96="REC",INDEX(A_Type_Volume!$K:$K,MATCH($D96,A_Type_Volume!$A:$A,0),1),IF($E96="VAM",INDEX(C_Type_Volume!$K:$K,MATCH($D96,C_Type_Volume!$A:$A,0),1),"X")),"")</f>
        <v>318150</v>
      </c>
      <c r="BJ96" s="19">
        <f>IFERROR(IF($E96="REC",INDEX(A_Type_Volume!$L:$L,MATCH($D96,A_Type_Volume!$A:$A,0),1),IF($E96="VAM",INDEX(C_Type_Volume!$L:$L,MATCH($D96,C_Type_Volume!$A:$A,0),1),"X")),"")</f>
        <v>300655</v>
      </c>
      <c r="BK96" s="19">
        <f>IFERROR(IF($E96="REC",INDEX(A_Type_Volume!M:M,MATCH($D96,A_Type_Volume!$A:$A,0),1),IF($E96="VAM",INDEX(C_Type_Volume!M:M,MATCH($D96,C_Type_Volume!$A:$A,0),1),"X")),"")</f>
        <v>267146</v>
      </c>
      <c r="BL96" s="38">
        <f>SUM(Table1[[#This Row],[Jan_AVF]:[Dec_AVF]])</f>
        <v>4081741</v>
      </c>
      <c r="BM96" s="16">
        <f t="shared" si="90"/>
        <v>5826.51</v>
      </c>
      <c r="BN96" s="16">
        <f t="shared" si="91"/>
        <v>3771.6450000000004</v>
      </c>
      <c r="BO96" s="16">
        <f t="shared" si="92"/>
        <v>5132.1150000000007</v>
      </c>
      <c r="BP96" s="16">
        <f t="shared" si="93"/>
        <v>5315.5650000000005</v>
      </c>
      <c r="BQ96" s="16">
        <f t="shared" si="94"/>
        <v>6077.34</v>
      </c>
      <c r="BR96" s="16">
        <f t="shared" si="95"/>
        <v>5491.89</v>
      </c>
      <c r="BS96" s="16">
        <f t="shared" si="96"/>
        <v>6265.89</v>
      </c>
      <c r="BT96" s="16">
        <f t="shared" si="97"/>
        <v>4944.0450000000001</v>
      </c>
      <c r="BU96" s="16">
        <f t="shared" si="98"/>
        <v>5111.8500000000004</v>
      </c>
      <c r="BV96" s="16">
        <f t="shared" si="99"/>
        <v>4772.25</v>
      </c>
      <c r="BW96" s="16">
        <f t="shared" si="100"/>
        <v>4509.8250000000007</v>
      </c>
      <c r="BX96" s="16">
        <f t="shared" si="101"/>
        <v>4007.1900000000005</v>
      </c>
      <c r="BY96" s="10">
        <f t="shared" si="68"/>
        <v>14730.27</v>
      </c>
      <c r="BZ96" s="10">
        <f t="shared" si="69"/>
        <v>16884.795000000002</v>
      </c>
      <c r="CA96" s="10">
        <f t="shared" si="70"/>
        <v>16321.785000000002</v>
      </c>
      <c r="CB96" s="10">
        <f t="shared" si="71"/>
        <v>13289.265000000001</v>
      </c>
      <c r="CC96" s="10">
        <f>IFERROR(Table1[[#This Row],[Labor
Saving]]*Table1[[#This Row],[Annual Volume]],"")</f>
        <v>2040.8705</v>
      </c>
      <c r="CD96" s="10">
        <f>IFERROR(Table1[[#This Row],[Annual Volume]]*Table1[[#This Row],[Yield
Saving]],"")</f>
        <v>59185.244500000001</v>
      </c>
      <c r="CE96" s="10">
        <f>IFERROR(Table1[[#This Row],[Annual Volume]]*Table1[[#This Row],[Material
Saving]],"")</f>
        <v>0</v>
      </c>
      <c r="CF96" s="10">
        <f>IFERROR(Table1[[#This Row],[OH
Saving]]*Table1[[#This Row],[Annual Volume]],"")</f>
        <v>0</v>
      </c>
      <c r="CG96" s="10">
        <f>SUM(Table1[[#This Row],[Labor_ASV]:[OH_ASV]])</f>
        <v>61226.114999999998</v>
      </c>
    </row>
    <row r="97" spans="1:85" x14ac:dyDescent="0.3">
      <c r="A97" t="str">
        <f>Table1[[#This Row],[Project Name]]&amp;Table1[[#This Row],[Part Number]]</f>
        <v>Pt etching increase Frequency usageV7</v>
      </c>
      <c r="B97" t="str">
        <f>IFERROR(Table1[[#This Row],[Project Number]]&amp;Table1[[#This Row],[Part Number]],"")</f>
        <v>AME25-063V7</v>
      </c>
      <c r="C97" s="22" t="s">
        <v>110</v>
      </c>
      <c r="D97" s="24" t="s">
        <v>219</v>
      </c>
      <c r="E97" s="25" t="s">
        <v>60</v>
      </c>
      <c r="F97" s="6">
        <f>INDEX(Proj_Reg!G:G,MATCH($C97,Proj_Reg!$B:$B,0),1)</f>
        <v>46204</v>
      </c>
      <c r="G97" s="6">
        <f>INDEX(Proj_Reg!H:H,MATCH($C97,Proj_Reg!$B:$B,0),1)</f>
        <v>46539</v>
      </c>
      <c r="H97" s="6" t="str">
        <f>IF(INDEX(Proj_Reg!C:C,MATCH($C97,Proj_Reg!$B:$B,0),1)=0,"",INDEX(Proj_Reg!C:C,MATCH($C97,Proj_Reg!$B:$B,0),1))</f>
        <v>Wet Etching</v>
      </c>
      <c r="I97" s="6" t="str">
        <f>IF(INDEX(Proj_Reg!D:D,MATCH($C97,Proj_Reg!$B:$B,0),1)=0,"",INDEX(Proj_Reg!D:D,MATCH($C97,Proj_Reg!$B:$B,0),1))</f>
        <v>XWP</v>
      </c>
      <c r="J97" s="6" t="str">
        <f>INDEX(Proj_Reg!E:E,MATCH($C97,Proj_Reg!$B:$B,0),1)</f>
        <v>Pt etching increase Frequency usage</v>
      </c>
      <c r="K97" s="21">
        <v>5.0000000000000001E-4</v>
      </c>
      <c r="L97" s="21">
        <v>1.4500000000000001E-2</v>
      </c>
      <c r="M97" s="21">
        <v>0</v>
      </c>
      <c r="N97" s="21">
        <v>0</v>
      </c>
      <c r="O97" s="11">
        <f>SUM(Table1[[#This Row],[Labor
Saving]:[OH
Saving]])</f>
        <v>1.5000000000000001E-2</v>
      </c>
      <c r="Q97" s="40">
        <f t="shared" si="52"/>
        <v>0</v>
      </c>
      <c r="R97" s="40">
        <f t="shared" si="53"/>
        <v>0</v>
      </c>
      <c r="S97" s="40">
        <f t="shared" si="54"/>
        <v>0</v>
      </c>
      <c r="T97" s="40">
        <f t="shared" si="55"/>
        <v>0</v>
      </c>
      <c r="U97" s="40">
        <f t="shared" si="56"/>
        <v>0</v>
      </c>
      <c r="V97" s="40">
        <f t="shared" si="57"/>
        <v>0</v>
      </c>
      <c r="W97" s="40">
        <f t="shared" si="58"/>
        <v>7117.8</v>
      </c>
      <c r="X97" s="40">
        <f t="shared" si="59"/>
        <v>22908</v>
      </c>
      <c r="Y97" s="40">
        <f t="shared" si="60"/>
        <v>23726</v>
      </c>
      <c r="Z97" s="40">
        <f t="shared" si="61"/>
        <v>24983</v>
      </c>
      <c r="AA97" s="40">
        <f t="shared" si="62"/>
        <v>22565</v>
      </c>
      <c r="AB97" s="40">
        <f t="shared" si="63"/>
        <v>20148</v>
      </c>
      <c r="AC97" s="37">
        <f>SUM(Table1[[#This Row],[Jan]:[Dec]])</f>
        <v>121447.8</v>
      </c>
      <c r="AD97" s="15">
        <f t="shared" si="72"/>
        <v>0</v>
      </c>
      <c r="AE97" s="15">
        <f t="shared" si="73"/>
        <v>0</v>
      </c>
      <c r="AF97" s="15">
        <f t="shared" si="74"/>
        <v>0</v>
      </c>
      <c r="AG97" s="15">
        <f t="shared" si="75"/>
        <v>0</v>
      </c>
      <c r="AH97" s="15">
        <f t="shared" si="76"/>
        <v>0</v>
      </c>
      <c r="AI97" s="15">
        <f t="shared" si="77"/>
        <v>0</v>
      </c>
      <c r="AJ97" s="15">
        <f t="shared" si="78"/>
        <v>106.76700000000001</v>
      </c>
      <c r="AK97" s="15">
        <f t="shared" si="79"/>
        <v>343.62</v>
      </c>
      <c r="AL97" s="15">
        <f t="shared" si="80"/>
        <v>355.89000000000004</v>
      </c>
      <c r="AM97" s="15">
        <f t="shared" si="81"/>
        <v>374.745</v>
      </c>
      <c r="AN97" s="15">
        <f t="shared" si="82"/>
        <v>338.47500000000002</v>
      </c>
      <c r="AO97" s="15">
        <f t="shared" si="83"/>
        <v>302.22000000000003</v>
      </c>
      <c r="AP97" s="10">
        <f t="shared" si="84"/>
        <v>0</v>
      </c>
      <c r="AQ97" s="10">
        <f t="shared" si="85"/>
        <v>0</v>
      </c>
      <c r="AR97" s="10">
        <f t="shared" si="86"/>
        <v>806.27700000000004</v>
      </c>
      <c r="AS97" s="10">
        <f t="shared" si="87"/>
        <v>1015.44</v>
      </c>
      <c r="AT97" s="10" t="b">
        <f t="shared" si="88"/>
        <v>1</v>
      </c>
      <c r="AU97" s="10">
        <f t="shared" si="64"/>
        <v>60.7239</v>
      </c>
      <c r="AV97" s="10">
        <f t="shared" si="65"/>
        <v>1760.9931000000001</v>
      </c>
      <c r="AW97" s="10">
        <f t="shared" si="66"/>
        <v>0</v>
      </c>
      <c r="AX97" s="10">
        <f t="shared" si="67"/>
        <v>0</v>
      </c>
      <c r="AY97" s="10">
        <f t="shared" si="89"/>
        <v>1821.7170000000001</v>
      </c>
      <c r="AZ97" s="19">
        <f>IFERROR(IF($E97="REC",INDEX(A_Type_Volume!$B:$B,MATCH($D97,A_Type_Volume!$A:$A,0),1),IF($E97="VAM",INDEX(C_Type_Volume!$B:$B,MATCH($D97,C_Type_Volume!$A:$A,0),1),"X")),"")</f>
        <v>0</v>
      </c>
      <c r="BA97" s="19">
        <f>IFERROR(IF($E97="REC",INDEX(A_Type_Volume!$C:$C,MATCH($D97,A_Type_Volume!$A:$A,0),1),IF($E97="VAM",INDEX(C_Type_Volume!$C:$C,MATCH($D97,C_Type_Volume!$A:$A,0),1),"X")),"")</f>
        <v>33412</v>
      </c>
      <c r="BB97" s="19">
        <f>IFERROR(IF($E97="REC",INDEX(A_Type_Volume!$D:$D,MATCH($D97,A_Type_Volume!$A:$A,0),1),IF($E97="VAM",INDEX(C_Type_Volume!$D:$D,MATCH($D97,C_Type_Volume!$A:$A,0),1),"X")),"")</f>
        <v>0</v>
      </c>
      <c r="BC97" s="19">
        <f>IFERROR(IF($E97="REC",INDEX(A_Type_Volume!$E:$E,MATCH($D97,A_Type_Volume!$A:$A,0),1),IF($E97="VAM",INDEX(C_Type_Volume!$E:$E,MATCH($D97,C_Type_Volume!$A:$A,0),1),"X")),"")</f>
        <v>15689</v>
      </c>
      <c r="BD97" s="19">
        <f>IFERROR(IF($E97="REC",INDEX(A_Type_Volume!$F:$F,MATCH($D97,A_Type_Volume!$A:$A,0),1),IF($E97="VAM",INDEX(C_Type_Volume!$F:$F,MATCH($D97,C_Type_Volume!$A:$A,0),1),"X")),"")</f>
        <v>18199</v>
      </c>
      <c r="BE97" s="19">
        <f>IFERROR(IF($E97="REC",INDEX(A_Type_Volume!$G:$G,MATCH($D97,A_Type_Volume!$A:$A,0),1),IF($E97="VAM",INDEX(C_Type_Volume!$G:$G,MATCH($D97,C_Type_Volume!$A:$A,0),1),"X")),"")</f>
        <v>17572</v>
      </c>
      <c r="BF97" s="19">
        <f>IFERROR(IF($E97="REC",INDEX(A_Type_Volume!$H:$H,MATCH($D97,A_Type_Volume!$A:$A,0),1),IF($E97="VAM",INDEX(C_Type_Volume!$H:$H,MATCH($D97,C_Type_Volume!$A:$A,0),1),"X")),"")</f>
        <v>23726</v>
      </c>
      <c r="BG97" s="19">
        <f>IFERROR(IF($E97="REC",INDEX(A_Type_Volume!$I:$I,MATCH($D97,A_Type_Volume!$A:$A,0),1),IF($E97="VAM",INDEX(C_Type_Volume!$I:$I,MATCH($D97,C_Type_Volume!$A:$A,0),1),"X")),"")</f>
        <v>22908</v>
      </c>
      <c r="BH97" s="19">
        <f>IFERROR(IF($E97="REC",INDEX(A_Type_Volume!$J:$J,MATCH($D97,A_Type_Volume!$A:$A,0),1),IF($E97="VAM",INDEX(C_Type_Volume!$J:$J,MATCH($D97,C_Type_Volume!$A:$A,0),1),"X")),"")</f>
        <v>23726</v>
      </c>
      <c r="BI97" s="19">
        <f>IFERROR(IF($E97="REC",INDEX(A_Type_Volume!$K:$K,MATCH($D97,A_Type_Volume!$A:$A,0),1),IF($E97="VAM",INDEX(C_Type_Volume!$K:$K,MATCH($D97,C_Type_Volume!$A:$A,0),1),"X")),"")</f>
        <v>24983</v>
      </c>
      <c r="BJ97" s="19">
        <f>IFERROR(IF($E97="REC",INDEX(A_Type_Volume!$L:$L,MATCH($D97,A_Type_Volume!$A:$A,0),1),IF($E97="VAM",INDEX(C_Type_Volume!$L:$L,MATCH($D97,C_Type_Volume!$A:$A,0),1),"X")),"")</f>
        <v>22565</v>
      </c>
      <c r="BK97" s="19">
        <f>IFERROR(IF($E97="REC",INDEX(A_Type_Volume!M:M,MATCH($D97,A_Type_Volume!$A:$A,0),1),IF($E97="VAM",INDEX(C_Type_Volume!M:M,MATCH($D97,C_Type_Volume!$A:$A,0),1),"X")),"")</f>
        <v>20148</v>
      </c>
      <c r="BL97" s="38">
        <f>SUM(Table1[[#This Row],[Jan_AVF]:[Dec_AVF]])</f>
        <v>222928</v>
      </c>
      <c r="BM97" s="16">
        <f t="shared" si="90"/>
        <v>0</v>
      </c>
      <c r="BN97" s="16">
        <f t="shared" si="91"/>
        <v>501.18000000000006</v>
      </c>
      <c r="BO97" s="16">
        <f t="shared" si="92"/>
        <v>0</v>
      </c>
      <c r="BP97" s="16">
        <f t="shared" si="93"/>
        <v>235.33500000000001</v>
      </c>
      <c r="BQ97" s="16">
        <f t="shared" si="94"/>
        <v>272.98500000000001</v>
      </c>
      <c r="BR97" s="16">
        <f t="shared" si="95"/>
        <v>263.58000000000004</v>
      </c>
      <c r="BS97" s="16">
        <f t="shared" si="96"/>
        <v>355.89000000000004</v>
      </c>
      <c r="BT97" s="16">
        <f t="shared" si="97"/>
        <v>343.62</v>
      </c>
      <c r="BU97" s="16">
        <f t="shared" si="98"/>
        <v>355.89000000000004</v>
      </c>
      <c r="BV97" s="16">
        <f t="shared" si="99"/>
        <v>374.745</v>
      </c>
      <c r="BW97" s="16">
        <f t="shared" si="100"/>
        <v>338.47500000000002</v>
      </c>
      <c r="BX97" s="16">
        <f t="shared" si="101"/>
        <v>302.22000000000003</v>
      </c>
      <c r="BY97" s="10">
        <f t="shared" si="68"/>
        <v>501.18000000000006</v>
      </c>
      <c r="BZ97" s="10">
        <f t="shared" si="69"/>
        <v>771.90000000000009</v>
      </c>
      <c r="CA97" s="10">
        <f t="shared" si="70"/>
        <v>1055.4000000000001</v>
      </c>
      <c r="CB97" s="10">
        <f t="shared" si="71"/>
        <v>1015.44</v>
      </c>
      <c r="CC97" s="10">
        <f>IFERROR(Table1[[#This Row],[Labor
Saving]]*Table1[[#This Row],[Annual Volume]],"")</f>
        <v>111.464</v>
      </c>
      <c r="CD97" s="10">
        <f>IFERROR(Table1[[#This Row],[Annual Volume]]*Table1[[#This Row],[Yield
Saving]],"")</f>
        <v>3232.4560000000001</v>
      </c>
      <c r="CE97" s="10">
        <f>IFERROR(Table1[[#This Row],[Annual Volume]]*Table1[[#This Row],[Material
Saving]],"")</f>
        <v>0</v>
      </c>
      <c r="CF97" s="10">
        <f>IFERROR(Table1[[#This Row],[OH
Saving]]*Table1[[#This Row],[Annual Volume]],"")</f>
        <v>0</v>
      </c>
      <c r="CG97" s="10">
        <f>SUM(Table1[[#This Row],[Labor_ASV]:[OH_ASV]])</f>
        <v>3343.92</v>
      </c>
    </row>
    <row r="98" spans="1:85" x14ac:dyDescent="0.3">
      <c r="A98" t="str">
        <f>Table1[[#This Row],[Project Name]]&amp;Table1[[#This Row],[Part Number]]</f>
        <v>Pt etching increase Frequency usageV8</v>
      </c>
      <c r="B98" t="str">
        <f>IFERROR(Table1[[#This Row],[Project Number]]&amp;Table1[[#This Row],[Part Number]],"")</f>
        <v>AME25-063V8</v>
      </c>
      <c r="C98" s="22" t="s">
        <v>110</v>
      </c>
      <c r="D98" s="24" t="s">
        <v>220</v>
      </c>
      <c r="E98" s="25" t="s">
        <v>60</v>
      </c>
      <c r="F98" s="6">
        <f>INDEX(Proj_Reg!G:G,MATCH($C98,Proj_Reg!$B:$B,0),1)</f>
        <v>46204</v>
      </c>
      <c r="G98" s="6">
        <f>INDEX(Proj_Reg!H:H,MATCH($C98,Proj_Reg!$B:$B,0),1)</f>
        <v>46539</v>
      </c>
      <c r="H98" s="6" t="str">
        <f>IF(INDEX(Proj_Reg!C:C,MATCH($C98,Proj_Reg!$B:$B,0),1)=0,"",INDEX(Proj_Reg!C:C,MATCH($C98,Proj_Reg!$B:$B,0),1))</f>
        <v>Wet Etching</v>
      </c>
      <c r="I98" s="6" t="str">
        <f>IF(INDEX(Proj_Reg!D:D,MATCH($C98,Proj_Reg!$B:$B,0),1)=0,"",INDEX(Proj_Reg!D:D,MATCH($C98,Proj_Reg!$B:$B,0),1))</f>
        <v>XWP</v>
      </c>
      <c r="J98" s="6" t="str">
        <f>INDEX(Proj_Reg!E:E,MATCH($C98,Proj_Reg!$B:$B,0),1)</f>
        <v>Pt etching increase Frequency usage</v>
      </c>
      <c r="K98" s="21">
        <v>0</v>
      </c>
      <c r="L98" s="21">
        <v>0</v>
      </c>
      <c r="M98" s="21">
        <v>0</v>
      </c>
      <c r="N98" s="21">
        <v>0</v>
      </c>
      <c r="O98" s="11">
        <f>SUM(Table1[[#This Row],[Labor
Saving]:[OH
Saving]])</f>
        <v>0</v>
      </c>
      <c r="Q98" s="40">
        <f t="shared" si="52"/>
        <v>0</v>
      </c>
      <c r="R98" s="40">
        <f t="shared" si="53"/>
        <v>0</v>
      </c>
      <c r="S98" s="40">
        <f t="shared" si="54"/>
        <v>0</v>
      </c>
      <c r="T98" s="40">
        <f t="shared" si="55"/>
        <v>0</v>
      </c>
      <c r="U98" s="40">
        <f t="shared" si="56"/>
        <v>0</v>
      </c>
      <c r="V98" s="40">
        <f t="shared" si="57"/>
        <v>0</v>
      </c>
      <c r="W98" s="40">
        <f t="shared" si="58"/>
        <v>5364</v>
      </c>
      <c r="X98" s="40">
        <f t="shared" si="59"/>
        <v>17263</v>
      </c>
      <c r="Y98" s="40">
        <f t="shared" si="60"/>
        <v>17880</v>
      </c>
      <c r="Z98" s="40">
        <f t="shared" si="61"/>
        <v>8739</v>
      </c>
      <c r="AA98" s="40">
        <f t="shared" si="62"/>
        <v>7893</v>
      </c>
      <c r="AB98" s="40">
        <f t="shared" si="63"/>
        <v>7047</v>
      </c>
      <c r="AC98" s="37">
        <f>SUM(Table1[[#This Row],[Jan]:[Dec]])</f>
        <v>64186</v>
      </c>
      <c r="AD98" s="15">
        <f t="shared" si="72"/>
        <v>0</v>
      </c>
      <c r="AE98" s="15">
        <f t="shared" si="73"/>
        <v>0</v>
      </c>
      <c r="AF98" s="15">
        <f t="shared" si="74"/>
        <v>0</v>
      </c>
      <c r="AG98" s="15">
        <f t="shared" si="75"/>
        <v>0</v>
      </c>
      <c r="AH98" s="15">
        <f t="shared" si="76"/>
        <v>0</v>
      </c>
      <c r="AI98" s="15">
        <f t="shared" si="77"/>
        <v>0</v>
      </c>
      <c r="AJ98" s="15">
        <f t="shared" si="78"/>
        <v>0</v>
      </c>
      <c r="AK98" s="15">
        <f t="shared" si="79"/>
        <v>0</v>
      </c>
      <c r="AL98" s="15">
        <f t="shared" si="80"/>
        <v>0</v>
      </c>
      <c r="AM98" s="15">
        <f t="shared" si="81"/>
        <v>0</v>
      </c>
      <c r="AN98" s="15">
        <f t="shared" si="82"/>
        <v>0</v>
      </c>
      <c r="AO98" s="15">
        <f t="shared" si="83"/>
        <v>0</v>
      </c>
      <c r="AP98" s="10">
        <f t="shared" si="84"/>
        <v>0</v>
      </c>
      <c r="AQ98" s="10">
        <f t="shared" si="85"/>
        <v>0</v>
      </c>
      <c r="AR98" s="10">
        <f t="shared" si="86"/>
        <v>0</v>
      </c>
      <c r="AS98" s="10">
        <f t="shared" si="87"/>
        <v>0</v>
      </c>
      <c r="AT98" s="10" t="b">
        <f t="shared" si="88"/>
        <v>1</v>
      </c>
      <c r="AU98" s="10">
        <f t="shared" si="64"/>
        <v>0</v>
      </c>
      <c r="AV98" s="10">
        <f t="shared" si="65"/>
        <v>0</v>
      </c>
      <c r="AW98" s="10">
        <f t="shared" si="66"/>
        <v>0</v>
      </c>
      <c r="AX98" s="10">
        <f t="shared" si="67"/>
        <v>0</v>
      </c>
      <c r="AY98" s="10">
        <f t="shared" si="89"/>
        <v>0</v>
      </c>
      <c r="AZ98" s="19">
        <f>IFERROR(IF($E98="REC",INDEX(A_Type_Volume!$B:$B,MATCH($D98,A_Type_Volume!$A:$A,0),1),IF($E98="VAM",INDEX(C_Type_Volume!$B:$B,MATCH($D98,C_Type_Volume!$A:$A,0),1),"X")),"")</f>
        <v>0</v>
      </c>
      <c r="BA98" s="19">
        <f>IFERROR(IF($E98="REC",INDEX(A_Type_Volume!$C:$C,MATCH($D98,A_Type_Volume!$A:$A,0),1),IF($E98="VAM",INDEX(C_Type_Volume!$C:$C,MATCH($D98,C_Type_Volume!$A:$A,0),1),"X")),"")</f>
        <v>8127</v>
      </c>
      <c r="BB98" s="19">
        <f>IFERROR(IF($E98="REC",INDEX(A_Type_Volume!$D:$D,MATCH($D98,A_Type_Volume!$A:$A,0),1),IF($E98="VAM",INDEX(C_Type_Volume!$D:$D,MATCH($D98,C_Type_Volume!$A:$A,0),1),"X")),"")</f>
        <v>0</v>
      </c>
      <c r="BC98" s="19">
        <f>IFERROR(IF($E98="REC",INDEX(A_Type_Volume!$E:$E,MATCH($D98,A_Type_Volume!$A:$A,0),1),IF($E98="VAM",INDEX(C_Type_Volume!$E:$E,MATCH($D98,C_Type_Volume!$A:$A,0),1),"X")),"")</f>
        <v>13412</v>
      </c>
      <c r="BD98" s="19">
        <f>IFERROR(IF($E98="REC",INDEX(A_Type_Volume!$F:$F,MATCH($D98,A_Type_Volume!$A:$A,0),1),IF($E98="VAM",INDEX(C_Type_Volume!$F:$F,MATCH($D98,C_Type_Volume!$A:$A,0),1),"X")),"")</f>
        <v>15558</v>
      </c>
      <c r="BE98" s="19">
        <f>IFERROR(IF($E98="REC",INDEX(A_Type_Volume!$G:$G,MATCH($D98,A_Type_Volume!$A:$A,0),1),IF($E98="VAM",INDEX(C_Type_Volume!$G:$G,MATCH($D98,C_Type_Volume!$A:$A,0),1),"X")),"")</f>
        <v>15022</v>
      </c>
      <c r="BF98" s="19">
        <f>IFERROR(IF($E98="REC",INDEX(A_Type_Volume!$H:$H,MATCH($D98,A_Type_Volume!$A:$A,0),1),IF($E98="VAM",INDEX(C_Type_Volume!$H:$H,MATCH($D98,C_Type_Volume!$A:$A,0),1),"X")),"")</f>
        <v>17880</v>
      </c>
      <c r="BG98" s="19">
        <f>IFERROR(IF($E98="REC",INDEX(A_Type_Volume!$I:$I,MATCH($D98,A_Type_Volume!$A:$A,0),1),IF($E98="VAM",INDEX(C_Type_Volume!$I:$I,MATCH($D98,C_Type_Volume!$A:$A,0),1),"X")),"")</f>
        <v>17263</v>
      </c>
      <c r="BH98" s="19">
        <f>IFERROR(IF($E98="REC",INDEX(A_Type_Volume!$J:$J,MATCH($D98,A_Type_Volume!$A:$A,0),1),IF($E98="VAM",INDEX(C_Type_Volume!$J:$J,MATCH($D98,C_Type_Volume!$A:$A,0),1),"X")),"")</f>
        <v>17880</v>
      </c>
      <c r="BI98" s="19">
        <f>IFERROR(IF($E98="REC",INDEX(A_Type_Volume!$K:$K,MATCH($D98,A_Type_Volume!$A:$A,0),1),IF($E98="VAM",INDEX(C_Type_Volume!$K:$K,MATCH($D98,C_Type_Volume!$A:$A,0),1),"X")),"")</f>
        <v>8739</v>
      </c>
      <c r="BJ98" s="19">
        <f>IFERROR(IF($E98="REC",INDEX(A_Type_Volume!$L:$L,MATCH($D98,A_Type_Volume!$A:$A,0),1),IF($E98="VAM",INDEX(C_Type_Volume!$L:$L,MATCH($D98,C_Type_Volume!$A:$A,0),1),"X")),"")</f>
        <v>7893</v>
      </c>
      <c r="BK98" s="19">
        <f>IFERROR(IF($E98="REC",INDEX(A_Type_Volume!M:M,MATCH($D98,A_Type_Volume!$A:$A,0),1),IF($E98="VAM",INDEX(C_Type_Volume!M:M,MATCH($D98,C_Type_Volume!$A:$A,0),1),"X")),"")</f>
        <v>7047</v>
      </c>
      <c r="BL98" s="38">
        <f>SUM(Table1[[#This Row],[Jan_AVF]:[Dec_AVF]])</f>
        <v>128821</v>
      </c>
      <c r="BM98" s="16">
        <f t="shared" si="90"/>
        <v>0</v>
      </c>
      <c r="BN98" s="16">
        <f t="shared" si="91"/>
        <v>0</v>
      </c>
      <c r="BO98" s="16">
        <f t="shared" si="92"/>
        <v>0</v>
      </c>
      <c r="BP98" s="16">
        <f t="shared" si="93"/>
        <v>0</v>
      </c>
      <c r="BQ98" s="16">
        <f t="shared" si="94"/>
        <v>0</v>
      </c>
      <c r="BR98" s="16">
        <f t="shared" si="95"/>
        <v>0</v>
      </c>
      <c r="BS98" s="16">
        <f t="shared" si="96"/>
        <v>0</v>
      </c>
      <c r="BT98" s="16">
        <f t="shared" si="97"/>
        <v>0</v>
      </c>
      <c r="BU98" s="16">
        <f t="shared" si="98"/>
        <v>0</v>
      </c>
      <c r="BV98" s="16">
        <f t="shared" si="99"/>
        <v>0</v>
      </c>
      <c r="BW98" s="16">
        <f t="shared" si="100"/>
        <v>0</v>
      </c>
      <c r="BX98" s="16">
        <f t="shared" si="101"/>
        <v>0</v>
      </c>
      <c r="BY98" s="10">
        <f t="shared" si="68"/>
        <v>0</v>
      </c>
      <c r="BZ98" s="10">
        <f t="shared" si="69"/>
        <v>0</v>
      </c>
      <c r="CA98" s="10">
        <f t="shared" si="70"/>
        <v>0</v>
      </c>
      <c r="CB98" s="10">
        <f t="shared" si="71"/>
        <v>0</v>
      </c>
      <c r="CC98" s="10">
        <f>IFERROR(Table1[[#This Row],[Labor
Saving]]*Table1[[#This Row],[Annual Volume]],"")</f>
        <v>0</v>
      </c>
      <c r="CD98" s="10">
        <f>IFERROR(Table1[[#This Row],[Annual Volume]]*Table1[[#This Row],[Yield
Saving]],"")</f>
        <v>0</v>
      </c>
      <c r="CE98" s="10">
        <f>IFERROR(Table1[[#This Row],[Annual Volume]]*Table1[[#This Row],[Material
Saving]],"")</f>
        <v>0</v>
      </c>
      <c r="CF98" s="10">
        <f>IFERROR(Table1[[#This Row],[OH
Saving]]*Table1[[#This Row],[Annual Volume]],"")</f>
        <v>0</v>
      </c>
      <c r="CG98" s="10">
        <f>SUM(Table1[[#This Row],[Labor_ASV]:[OH_ASV]])</f>
        <v>0</v>
      </c>
    </row>
    <row r="99" spans="1:85" x14ac:dyDescent="0.3">
      <c r="A99" t="str">
        <f>Table1[[#This Row],[Project Name]]&amp;Table1[[#This Row],[Part Number]]</f>
        <v>Pt etching increase Frequency usageV9</v>
      </c>
      <c r="B99" t="str">
        <f>IFERROR(Table1[[#This Row],[Project Number]]&amp;Table1[[#This Row],[Part Number]],"")</f>
        <v>AME25-063V9</v>
      </c>
      <c r="C99" s="22" t="s">
        <v>110</v>
      </c>
      <c r="D99" s="24" t="s">
        <v>221</v>
      </c>
      <c r="E99" s="25" t="s">
        <v>60</v>
      </c>
      <c r="F99" s="6">
        <f>INDEX(Proj_Reg!G:G,MATCH($C99,Proj_Reg!$B:$B,0),1)</f>
        <v>46204</v>
      </c>
      <c r="G99" s="6">
        <f>INDEX(Proj_Reg!H:H,MATCH($C99,Proj_Reg!$B:$B,0),1)</f>
        <v>46539</v>
      </c>
      <c r="H99" s="6" t="str">
        <f>IF(INDEX(Proj_Reg!C:C,MATCH($C99,Proj_Reg!$B:$B,0),1)=0,"",INDEX(Proj_Reg!C:C,MATCH($C99,Proj_Reg!$B:$B,0),1))</f>
        <v>Wet Etching</v>
      </c>
      <c r="I99" s="6" t="str">
        <f>IF(INDEX(Proj_Reg!D:D,MATCH($C99,Proj_Reg!$B:$B,0),1)=0,"",INDEX(Proj_Reg!D:D,MATCH($C99,Proj_Reg!$B:$B,0),1))</f>
        <v>XWP</v>
      </c>
      <c r="J99" s="6" t="str">
        <f>INDEX(Proj_Reg!E:E,MATCH($C99,Proj_Reg!$B:$B,0),1)</f>
        <v>Pt etching increase Frequency usage</v>
      </c>
      <c r="K99" s="21">
        <v>0</v>
      </c>
      <c r="L99" s="21">
        <v>0</v>
      </c>
      <c r="M99" s="21">
        <v>0</v>
      </c>
      <c r="N99" s="21">
        <v>0</v>
      </c>
      <c r="O99" s="11">
        <f>SUM(Table1[[#This Row],[Labor
Saving]:[OH
Saving]])</f>
        <v>0</v>
      </c>
      <c r="Q99" s="40">
        <f t="shared" si="52"/>
        <v>0</v>
      </c>
      <c r="R99" s="40">
        <f t="shared" si="53"/>
        <v>0</v>
      </c>
      <c r="S99" s="40">
        <f t="shared" si="54"/>
        <v>0</v>
      </c>
      <c r="T99" s="40">
        <f t="shared" si="55"/>
        <v>0</v>
      </c>
      <c r="U99" s="40">
        <f t="shared" si="56"/>
        <v>0</v>
      </c>
      <c r="V99" s="40">
        <f t="shared" si="57"/>
        <v>0</v>
      </c>
      <c r="W99" s="40">
        <f t="shared" si="58"/>
        <v>24855</v>
      </c>
      <c r="X99" s="40">
        <f t="shared" si="59"/>
        <v>79993</v>
      </c>
      <c r="Y99" s="40">
        <f t="shared" si="60"/>
        <v>82850</v>
      </c>
      <c r="Z99" s="40">
        <f t="shared" si="61"/>
        <v>89636</v>
      </c>
      <c r="AA99" s="40">
        <f t="shared" si="62"/>
        <v>80962</v>
      </c>
      <c r="AB99" s="40">
        <f t="shared" si="63"/>
        <v>72287</v>
      </c>
      <c r="AC99" s="37">
        <f>SUM(Table1[[#This Row],[Jan]:[Dec]])</f>
        <v>430583</v>
      </c>
      <c r="AD99" s="15">
        <f t="shared" si="72"/>
        <v>0</v>
      </c>
      <c r="AE99" s="15">
        <f t="shared" si="73"/>
        <v>0</v>
      </c>
      <c r="AF99" s="15">
        <f t="shared" si="74"/>
        <v>0</v>
      </c>
      <c r="AG99" s="15">
        <f t="shared" si="75"/>
        <v>0</v>
      </c>
      <c r="AH99" s="15">
        <f t="shared" si="76"/>
        <v>0</v>
      </c>
      <c r="AI99" s="15">
        <f t="shared" si="77"/>
        <v>0</v>
      </c>
      <c r="AJ99" s="15">
        <f t="shared" si="78"/>
        <v>0</v>
      </c>
      <c r="AK99" s="15">
        <f t="shared" si="79"/>
        <v>0</v>
      </c>
      <c r="AL99" s="15">
        <f t="shared" si="80"/>
        <v>0</v>
      </c>
      <c r="AM99" s="15">
        <f t="shared" si="81"/>
        <v>0</v>
      </c>
      <c r="AN99" s="15">
        <f t="shared" si="82"/>
        <v>0</v>
      </c>
      <c r="AO99" s="15">
        <f t="shared" si="83"/>
        <v>0</v>
      </c>
      <c r="AP99" s="10">
        <f t="shared" si="84"/>
        <v>0</v>
      </c>
      <c r="AQ99" s="10">
        <f t="shared" si="85"/>
        <v>0</v>
      </c>
      <c r="AR99" s="10">
        <f t="shared" si="86"/>
        <v>0</v>
      </c>
      <c r="AS99" s="10">
        <f t="shared" si="87"/>
        <v>0</v>
      </c>
      <c r="AT99" s="10" t="b">
        <f t="shared" si="88"/>
        <v>1</v>
      </c>
      <c r="AU99" s="10">
        <f t="shared" si="64"/>
        <v>0</v>
      </c>
      <c r="AV99" s="10">
        <f t="shared" si="65"/>
        <v>0</v>
      </c>
      <c r="AW99" s="10">
        <f t="shared" si="66"/>
        <v>0</v>
      </c>
      <c r="AX99" s="10">
        <f t="shared" si="67"/>
        <v>0</v>
      </c>
      <c r="AY99" s="10">
        <f t="shared" si="89"/>
        <v>0</v>
      </c>
      <c r="AZ99" s="19">
        <f>IFERROR(IF($E99="REC",INDEX(A_Type_Volume!$B:$B,MATCH($D99,A_Type_Volume!$A:$A,0),1),IF($E99="VAM",INDEX(C_Type_Volume!$B:$B,MATCH($D99,C_Type_Volume!$A:$A,0),1),"X")),"")</f>
        <v>92359</v>
      </c>
      <c r="BA99" s="19">
        <f>IFERROR(IF($E99="REC",INDEX(A_Type_Volume!$C:$C,MATCH($D99,A_Type_Volume!$A:$A,0),1),IF($E99="VAM",INDEX(C_Type_Volume!$C:$C,MATCH($D99,C_Type_Volume!$A:$A,0),1),"X")),"")</f>
        <v>73146</v>
      </c>
      <c r="BB99" s="19">
        <f>IFERROR(IF($E99="REC",INDEX(A_Type_Volume!$D:$D,MATCH($D99,A_Type_Volume!$A:$A,0),1),IF($E99="VAM",INDEX(C_Type_Volume!$D:$D,MATCH($D99,C_Type_Volume!$A:$A,0),1),"X")),"")</f>
        <v>33673</v>
      </c>
      <c r="BC99" s="19">
        <f>IFERROR(IF($E99="REC",INDEX(A_Type_Volume!$E:$E,MATCH($D99,A_Type_Volume!$A:$A,0),1),IF($E99="VAM",INDEX(C_Type_Volume!$E:$E,MATCH($D99,C_Type_Volume!$A:$A,0),1),"X")),"")</f>
        <v>69903</v>
      </c>
      <c r="BD99" s="19">
        <f>IFERROR(IF($E99="REC",INDEX(A_Type_Volume!$F:$F,MATCH($D99,A_Type_Volume!$A:$A,0),1),IF($E99="VAM",INDEX(C_Type_Volume!$F:$F,MATCH($D99,C_Type_Volume!$A:$A,0),1),"X")),"")</f>
        <v>81087</v>
      </c>
      <c r="BE99" s="19">
        <f>IFERROR(IF($E99="REC",INDEX(A_Type_Volume!$G:$G,MATCH($D99,A_Type_Volume!$A:$A,0),1),IF($E99="VAM",INDEX(C_Type_Volume!$G:$G,MATCH($D99,C_Type_Volume!$A:$A,0),1),"X")),"")</f>
        <v>78291</v>
      </c>
      <c r="BF99" s="19">
        <f>IFERROR(IF($E99="REC",INDEX(A_Type_Volume!$H:$H,MATCH($D99,A_Type_Volume!$A:$A,0),1),IF($E99="VAM",INDEX(C_Type_Volume!$H:$H,MATCH($D99,C_Type_Volume!$A:$A,0),1),"X")),"")</f>
        <v>82850</v>
      </c>
      <c r="BG99" s="19">
        <f>IFERROR(IF($E99="REC",INDEX(A_Type_Volume!$I:$I,MATCH($D99,A_Type_Volume!$A:$A,0),1),IF($E99="VAM",INDEX(C_Type_Volume!$I:$I,MATCH($D99,C_Type_Volume!$A:$A,0),1),"X")),"")</f>
        <v>79993</v>
      </c>
      <c r="BH99" s="19">
        <f>IFERROR(IF($E99="REC",INDEX(A_Type_Volume!$J:$J,MATCH($D99,A_Type_Volume!$A:$A,0),1),IF($E99="VAM",INDEX(C_Type_Volume!$J:$J,MATCH($D99,C_Type_Volume!$A:$A,0),1),"X")),"")</f>
        <v>82850</v>
      </c>
      <c r="BI99" s="19">
        <f>IFERROR(IF($E99="REC",INDEX(A_Type_Volume!$K:$K,MATCH($D99,A_Type_Volume!$A:$A,0),1),IF($E99="VAM",INDEX(C_Type_Volume!$K:$K,MATCH($D99,C_Type_Volume!$A:$A,0),1),"X")),"")</f>
        <v>89636</v>
      </c>
      <c r="BJ99" s="19">
        <f>IFERROR(IF($E99="REC",INDEX(A_Type_Volume!$L:$L,MATCH($D99,A_Type_Volume!$A:$A,0),1),IF($E99="VAM",INDEX(C_Type_Volume!$L:$L,MATCH($D99,C_Type_Volume!$A:$A,0),1),"X")),"")</f>
        <v>80962</v>
      </c>
      <c r="BK99" s="19">
        <f>IFERROR(IF($E99="REC",INDEX(A_Type_Volume!M:M,MATCH($D99,A_Type_Volume!$A:$A,0),1),IF($E99="VAM",INDEX(C_Type_Volume!M:M,MATCH($D99,C_Type_Volume!$A:$A,0),1),"X")),"")</f>
        <v>72287</v>
      </c>
      <c r="BL99" s="38">
        <f>SUM(Table1[[#This Row],[Jan_AVF]:[Dec_AVF]])</f>
        <v>917037</v>
      </c>
      <c r="BM99" s="16">
        <f t="shared" si="90"/>
        <v>0</v>
      </c>
      <c r="BN99" s="16">
        <f t="shared" si="91"/>
        <v>0</v>
      </c>
      <c r="BO99" s="16">
        <f t="shared" si="92"/>
        <v>0</v>
      </c>
      <c r="BP99" s="16">
        <f t="shared" si="93"/>
        <v>0</v>
      </c>
      <c r="BQ99" s="16">
        <f t="shared" si="94"/>
        <v>0</v>
      </c>
      <c r="BR99" s="16">
        <f t="shared" si="95"/>
        <v>0</v>
      </c>
      <c r="BS99" s="16">
        <f t="shared" si="96"/>
        <v>0</v>
      </c>
      <c r="BT99" s="16">
        <f t="shared" si="97"/>
        <v>0</v>
      </c>
      <c r="BU99" s="16">
        <f t="shared" si="98"/>
        <v>0</v>
      </c>
      <c r="BV99" s="16">
        <f t="shared" si="99"/>
        <v>0</v>
      </c>
      <c r="BW99" s="16">
        <f t="shared" si="100"/>
        <v>0</v>
      </c>
      <c r="BX99" s="16">
        <f t="shared" si="101"/>
        <v>0</v>
      </c>
      <c r="BY99" s="10">
        <f t="shared" si="68"/>
        <v>0</v>
      </c>
      <c r="BZ99" s="10">
        <f t="shared" si="69"/>
        <v>0</v>
      </c>
      <c r="CA99" s="10">
        <f t="shared" si="70"/>
        <v>0</v>
      </c>
      <c r="CB99" s="10">
        <f t="shared" si="71"/>
        <v>0</v>
      </c>
      <c r="CC99" s="10">
        <f>IFERROR(Table1[[#This Row],[Labor
Saving]]*Table1[[#This Row],[Annual Volume]],"")</f>
        <v>0</v>
      </c>
      <c r="CD99" s="10">
        <f>IFERROR(Table1[[#This Row],[Annual Volume]]*Table1[[#This Row],[Yield
Saving]],"")</f>
        <v>0</v>
      </c>
      <c r="CE99" s="10">
        <f>IFERROR(Table1[[#This Row],[Annual Volume]]*Table1[[#This Row],[Material
Saving]],"")</f>
        <v>0</v>
      </c>
      <c r="CF99" s="10">
        <f>IFERROR(Table1[[#This Row],[OH
Saving]]*Table1[[#This Row],[Annual Volume]],"")</f>
        <v>0</v>
      </c>
      <c r="CG99" s="10">
        <f>SUM(Table1[[#This Row],[Labor_ASV]:[OH_ASV]])</f>
        <v>0</v>
      </c>
    </row>
    <row r="100" spans="1:85" x14ac:dyDescent="0.3">
      <c r="A100" t="str">
        <f>Table1[[#This Row],[Project Name]]&amp;Table1[[#This Row],[Part Number]]</f>
        <v>Pt etching increase Frequency usageV10</v>
      </c>
      <c r="B100" t="str">
        <f>IFERROR(Table1[[#This Row],[Project Number]]&amp;Table1[[#This Row],[Part Number]],"")</f>
        <v>AME25-063V10</v>
      </c>
      <c r="C100" s="22" t="s">
        <v>110</v>
      </c>
      <c r="D100" s="24" t="s">
        <v>222</v>
      </c>
      <c r="E100" s="25" t="s">
        <v>60</v>
      </c>
      <c r="F100" s="6">
        <f>INDEX(Proj_Reg!G:G,MATCH($C100,Proj_Reg!$B:$B,0),1)</f>
        <v>46204</v>
      </c>
      <c r="G100" s="6">
        <f>INDEX(Proj_Reg!H:H,MATCH($C100,Proj_Reg!$B:$B,0),1)</f>
        <v>46539</v>
      </c>
      <c r="H100" s="6" t="str">
        <f>IF(INDEX(Proj_Reg!C:C,MATCH($C100,Proj_Reg!$B:$B,0),1)=0,"",INDEX(Proj_Reg!C:C,MATCH($C100,Proj_Reg!$B:$B,0),1))</f>
        <v>Wet Etching</v>
      </c>
      <c r="I100" s="6" t="str">
        <f>IF(INDEX(Proj_Reg!D:D,MATCH($C100,Proj_Reg!$B:$B,0),1)=0,"",INDEX(Proj_Reg!D:D,MATCH($C100,Proj_Reg!$B:$B,0),1))</f>
        <v>XWP</v>
      </c>
      <c r="J100" s="6" t="str">
        <f>INDEX(Proj_Reg!E:E,MATCH($C100,Proj_Reg!$B:$B,0),1)</f>
        <v>Pt etching increase Frequency usage</v>
      </c>
      <c r="K100" s="21">
        <v>0</v>
      </c>
      <c r="L100" s="21">
        <v>0</v>
      </c>
      <c r="M100" s="21">
        <v>0</v>
      </c>
      <c r="N100" s="21">
        <v>0</v>
      </c>
      <c r="O100" s="11">
        <f>SUM(Table1[[#This Row],[Labor
Saving]:[OH
Saving]])</f>
        <v>0</v>
      </c>
      <c r="Q100" s="40">
        <f t="shared" si="52"/>
        <v>0</v>
      </c>
      <c r="R100" s="40">
        <f t="shared" si="53"/>
        <v>0</v>
      </c>
      <c r="S100" s="40">
        <f t="shared" si="54"/>
        <v>0</v>
      </c>
      <c r="T100" s="40">
        <f t="shared" si="55"/>
        <v>0</v>
      </c>
      <c r="U100" s="40">
        <f t="shared" si="56"/>
        <v>0</v>
      </c>
      <c r="V100" s="40">
        <f t="shared" si="57"/>
        <v>0</v>
      </c>
      <c r="W100" s="40">
        <f t="shared" si="58"/>
        <v>23541.3</v>
      </c>
      <c r="X100" s="40">
        <f t="shared" si="59"/>
        <v>75765</v>
      </c>
      <c r="Y100" s="40">
        <f t="shared" si="60"/>
        <v>78471</v>
      </c>
      <c r="Z100" s="40">
        <f t="shared" si="61"/>
        <v>84644</v>
      </c>
      <c r="AA100" s="40">
        <f t="shared" si="62"/>
        <v>76453</v>
      </c>
      <c r="AB100" s="40">
        <f t="shared" si="63"/>
        <v>68262</v>
      </c>
      <c r="AC100" s="37">
        <f>SUM(Table1[[#This Row],[Jan]:[Dec]])</f>
        <v>407136.3</v>
      </c>
      <c r="AD100" s="15">
        <f t="shared" si="72"/>
        <v>0</v>
      </c>
      <c r="AE100" s="15">
        <f t="shared" si="73"/>
        <v>0</v>
      </c>
      <c r="AF100" s="15">
        <f t="shared" si="74"/>
        <v>0</v>
      </c>
      <c r="AG100" s="15">
        <f t="shared" si="75"/>
        <v>0</v>
      </c>
      <c r="AH100" s="15">
        <f t="shared" si="76"/>
        <v>0</v>
      </c>
      <c r="AI100" s="15">
        <f t="shared" si="77"/>
        <v>0</v>
      </c>
      <c r="AJ100" s="15">
        <f t="shared" si="78"/>
        <v>0</v>
      </c>
      <c r="AK100" s="15">
        <f t="shared" si="79"/>
        <v>0</v>
      </c>
      <c r="AL100" s="15">
        <f t="shared" si="80"/>
        <v>0</v>
      </c>
      <c r="AM100" s="15">
        <f t="shared" si="81"/>
        <v>0</v>
      </c>
      <c r="AN100" s="15">
        <f t="shared" si="82"/>
        <v>0</v>
      </c>
      <c r="AO100" s="15">
        <f t="shared" si="83"/>
        <v>0</v>
      </c>
      <c r="AP100" s="10">
        <f t="shared" si="84"/>
        <v>0</v>
      </c>
      <c r="AQ100" s="10">
        <f t="shared" si="85"/>
        <v>0</v>
      </c>
      <c r="AR100" s="10">
        <f t="shared" si="86"/>
        <v>0</v>
      </c>
      <c r="AS100" s="10">
        <f t="shared" si="87"/>
        <v>0</v>
      </c>
      <c r="AT100" s="10" t="b">
        <f t="shared" si="88"/>
        <v>1</v>
      </c>
      <c r="AU100" s="10">
        <f t="shared" si="64"/>
        <v>0</v>
      </c>
      <c r="AV100" s="10">
        <f t="shared" si="65"/>
        <v>0</v>
      </c>
      <c r="AW100" s="10">
        <f t="shared" si="66"/>
        <v>0</v>
      </c>
      <c r="AX100" s="10">
        <f t="shared" si="67"/>
        <v>0</v>
      </c>
      <c r="AY100" s="10">
        <f t="shared" si="89"/>
        <v>0</v>
      </c>
      <c r="AZ100" s="19">
        <f>IFERROR(IF($E100="REC",INDEX(A_Type_Volume!$B:$B,MATCH($D100,A_Type_Volume!$A:$A,0),1),IF($E100="VAM",INDEX(C_Type_Volume!$B:$B,MATCH($D100,C_Type_Volume!$A:$A,0),1),"X")),"")</f>
        <v>52278</v>
      </c>
      <c r="BA100" s="19">
        <f>IFERROR(IF($E100="REC",INDEX(A_Type_Volume!$C:$C,MATCH($D100,A_Type_Volume!$A:$A,0),1),IF($E100="VAM",INDEX(C_Type_Volume!$C:$C,MATCH($D100,C_Type_Volume!$A:$A,0),1),"X")),"")</f>
        <v>65922</v>
      </c>
      <c r="BB100" s="19">
        <f>IFERROR(IF($E100="REC",INDEX(A_Type_Volume!$D:$D,MATCH($D100,A_Type_Volume!$A:$A,0),1),IF($E100="VAM",INDEX(C_Type_Volume!$D:$D,MATCH($D100,C_Type_Volume!$A:$A,0),1),"X")),"")</f>
        <v>150797</v>
      </c>
      <c r="BC100" s="19">
        <f>IFERROR(IF($E100="REC",INDEX(A_Type_Volume!$E:$E,MATCH($D100,A_Type_Volume!$A:$A,0),1),IF($E100="VAM",INDEX(C_Type_Volume!$E:$E,MATCH($D100,C_Type_Volume!$A:$A,0),1),"X")),"")</f>
        <v>67044</v>
      </c>
      <c r="BD100" s="19">
        <f>IFERROR(IF($E100="REC",INDEX(A_Type_Volume!$F:$F,MATCH($D100,A_Type_Volume!$A:$A,0),1),IF($E100="VAM",INDEX(C_Type_Volume!$F:$F,MATCH($D100,C_Type_Volume!$A:$A,0),1),"X")),"")</f>
        <v>77771</v>
      </c>
      <c r="BE100" s="19">
        <f>IFERROR(IF($E100="REC",INDEX(A_Type_Volume!$G:$G,MATCH($D100,A_Type_Volume!$A:$A,0),1),IF($E100="VAM",INDEX(C_Type_Volume!$G:$G,MATCH($D100,C_Type_Volume!$A:$A,0),1),"X")),"")</f>
        <v>75090</v>
      </c>
      <c r="BF100" s="19">
        <f>IFERROR(IF($E100="REC",INDEX(A_Type_Volume!$H:$H,MATCH($D100,A_Type_Volume!$A:$A,0),1),IF($E100="VAM",INDEX(C_Type_Volume!$H:$H,MATCH($D100,C_Type_Volume!$A:$A,0),1),"X")),"")</f>
        <v>78471</v>
      </c>
      <c r="BG100" s="19">
        <f>IFERROR(IF($E100="REC",INDEX(A_Type_Volume!$I:$I,MATCH($D100,A_Type_Volume!$A:$A,0),1),IF($E100="VAM",INDEX(C_Type_Volume!$I:$I,MATCH($D100,C_Type_Volume!$A:$A,0),1),"X")),"")</f>
        <v>75765</v>
      </c>
      <c r="BH100" s="19">
        <f>IFERROR(IF($E100="REC",INDEX(A_Type_Volume!$J:$J,MATCH($D100,A_Type_Volume!$A:$A,0),1),IF($E100="VAM",INDEX(C_Type_Volume!$J:$J,MATCH($D100,C_Type_Volume!$A:$A,0),1),"X")),"")</f>
        <v>78471</v>
      </c>
      <c r="BI100" s="19">
        <f>IFERROR(IF($E100="REC",INDEX(A_Type_Volume!$K:$K,MATCH($D100,A_Type_Volume!$A:$A,0),1),IF($E100="VAM",INDEX(C_Type_Volume!$K:$K,MATCH($D100,C_Type_Volume!$A:$A,0),1),"X")),"")</f>
        <v>84644</v>
      </c>
      <c r="BJ100" s="19">
        <f>IFERROR(IF($E100="REC",INDEX(A_Type_Volume!$L:$L,MATCH($D100,A_Type_Volume!$A:$A,0),1),IF($E100="VAM",INDEX(C_Type_Volume!$L:$L,MATCH($D100,C_Type_Volume!$A:$A,0),1),"X")),"")</f>
        <v>76453</v>
      </c>
      <c r="BK100" s="19">
        <f>IFERROR(IF($E100="REC",INDEX(A_Type_Volume!M:M,MATCH($D100,A_Type_Volume!$A:$A,0),1),IF($E100="VAM",INDEX(C_Type_Volume!M:M,MATCH($D100,C_Type_Volume!$A:$A,0),1),"X")),"")</f>
        <v>68262</v>
      </c>
      <c r="BL100" s="38">
        <f>SUM(Table1[[#This Row],[Jan_AVF]:[Dec_AVF]])</f>
        <v>950968</v>
      </c>
      <c r="BM100" s="16">
        <f t="shared" si="90"/>
        <v>0</v>
      </c>
      <c r="BN100" s="16">
        <f t="shared" si="91"/>
        <v>0</v>
      </c>
      <c r="BO100" s="16">
        <f t="shared" si="92"/>
        <v>0</v>
      </c>
      <c r="BP100" s="16">
        <f t="shared" si="93"/>
        <v>0</v>
      </c>
      <c r="BQ100" s="16">
        <f t="shared" si="94"/>
        <v>0</v>
      </c>
      <c r="BR100" s="16">
        <f t="shared" si="95"/>
        <v>0</v>
      </c>
      <c r="BS100" s="16">
        <f t="shared" si="96"/>
        <v>0</v>
      </c>
      <c r="BT100" s="16">
        <f t="shared" si="97"/>
        <v>0</v>
      </c>
      <c r="BU100" s="16">
        <f t="shared" si="98"/>
        <v>0</v>
      </c>
      <c r="BV100" s="16">
        <f t="shared" si="99"/>
        <v>0</v>
      </c>
      <c r="BW100" s="16">
        <f t="shared" si="100"/>
        <v>0</v>
      </c>
      <c r="BX100" s="16">
        <f t="shared" si="101"/>
        <v>0</v>
      </c>
      <c r="BY100" s="10">
        <f t="shared" si="68"/>
        <v>0</v>
      </c>
      <c r="BZ100" s="10">
        <f t="shared" si="69"/>
        <v>0</v>
      </c>
      <c r="CA100" s="10">
        <f t="shared" si="70"/>
        <v>0</v>
      </c>
      <c r="CB100" s="10">
        <f t="shared" si="71"/>
        <v>0</v>
      </c>
      <c r="CC100" s="10">
        <f>IFERROR(Table1[[#This Row],[Labor
Saving]]*Table1[[#This Row],[Annual Volume]],"")</f>
        <v>0</v>
      </c>
      <c r="CD100" s="10">
        <f>IFERROR(Table1[[#This Row],[Annual Volume]]*Table1[[#This Row],[Yield
Saving]],"")</f>
        <v>0</v>
      </c>
      <c r="CE100" s="10">
        <f>IFERROR(Table1[[#This Row],[Annual Volume]]*Table1[[#This Row],[Material
Saving]],"")</f>
        <v>0</v>
      </c>
      <c r="CF100" s="10">
        <f>IFERROR(Table1[[#This Row],[OH
Saving]]*Table1[[#This Row],[Annual Volume]],"")</f>
        <v>0</v>
      </c>
      <c r="CG100" s="10">
        <f>SUM(Table1[[#This Row],[Labor_ASV]:[OH_ASV]])</f>
        <v>0</v>
      </c>
    </row>
    <row r="101" spans="1:85" x14ac:dyDescent="0.3">
      <c r="A101" t="str">
        <f>Table1[[#This Row],[Project Name]]&amp;Table1[[#This Row],[Part Number]]</f>
        <v>Pt etching increase Frequency usageV11</v>
      </c>
      <c r="B101" t="str">
        <f>IFERROR(Table1[[#This Row],[Project Number]]&amp;Table1[[#This Row],[Part Number]],"")</f>
        <v>AME25-063V11</v>
      </c>
      <c r="C101" s="22" t="s">
        <v>110</v>
      </c>
      <c r="D101" s="24" t="s">
        <v>223</v>
      </c>
      <c r="E101" s="25" t="s">
        <v>60</v>
      </c>
      <c r="F101" s="6">
        <f>INDEX(Proj_Reg!G:G,MATCH($C101,Proj_Reg!$B:$B,0),1)</f>
        <v>46204</v>
      </c>
      <c r="G101" s="6">
        <f>INDEX(Proj_Reg!H:H,MATCH($C101,Proj_Reg!$B:$B,0),1)</f>
        <v>46539</v>
      </c>
      <c r="H101" s="6" t="str">
        <f>IF(INDEX(Proj_Reg!C:C,MATCH($C101,Proj_Reg!$B:$B,0),1)=0,"",INDEX(Proj_Reg!C:C,MATCH($C101,Proj_Reg!$B:$B,0),1))</f>
        <v>Wet Etching</v>
      </c>
      <c r="I101" s="6" t="str">
        <f>IF(INDEX(Proj_Reg!D:D,MATCH($C101,Proj_Reg!$B:$B,0),1)=0,"",INDEX(Proj_Reg!D:D,MATCH($C101,Proj_Reg!$B:$B,0),1))</f>
        <v>XWP</v>
      </c>
      <c r="J101" s="6" t="str">
        <f>INDEX(Proj_Reg!E:E,MATCH($C101,Proj_Reg!$B:$B,0),1)</f>
        <v>Pt etching increase Frequency usage</v>
      </c>
      <c r="K101" s="21">
        <v>0</v>
      </c>
      <c r="L101" s="21">
        <v>0</v>
      </c>
      <c r="M101" s="21">
        <v>0</v>
      </c>
      <c r="N101" s="21">
        <v>0</v>
      </c>
      <c r="O101" s="11">
        <f>SUM(Table1[[#This Row],[Labor
Saving]:[OH
Saving]])</f>
        <v>0</v>
      </c>
      <c r="Q101" s="40">
        <f t="shared" si="52"/>
        <v>0</v>
      </c>
      <c r="R101" s="40">
        <f t="shared" si="53"/>
        <v>0</v>
      </c>
      <c r="S101" s="40">
        <f t="shared" si="54"/>
        <v>0</v>
      </c>
      <c r="T101" s="40">
        <f t="shared" si="55"/>
        <v>0</v>
      </c>
      <c r="U101" s="40">
        <f t="shared" si="56"/>
        <v>0</v>
      </c>
      <c r="V101" s="40">
        <f t="shared" si="57"/>
        <v>0</v>
      </c>
      <c r="W101" s="40">
        <f t="shared" si="58"/>
        <v>45000</v>
      </c>
      <c r="X101" s="40">
        <f t="shared" si="59"/>
        <v>144828</v>
      </c>
      <c r="Y101" s="40">
        <f t="shared" si="60"/>
        <v>150000</v>
      </c>
      <c r="Z101" s="40">
        <f t="shared" si="61"/>
        <v>160250</v>
      </c>
      <c r="AA101" s="40">
        <f t="shared" si="62"/>
        <v>144742</v>
      </c>
      <c r="AB101" s="40">
        <f t="shared" si="63"/>
        <v>129234</v>
      </c>
      <c r="AC101" s="37">
        <f>SUM(Table1[[#This Row],[Jan]:[Dec]])</f>
        <v>774054</v>
      </c>
      <c r="AD101" s="15">
        <f t="shared" si="72"/>
        <v>0</v>
      </c>
      <c r="AE101" s="15">
        <f t="shared" si="73"/>
        <v>0</v>
      </c>
      <c r="AF101" s="15">
        <f t="shared" si="74"/>
        <v>0</v>
      </c>
      <c r="AG101" s="15">
        <f t="shared" si="75"/>
        <v>0</v>
      </c>
      <c r="AH101" s="15">
        <f t="shared" si="76"/>
        <v>0</v>
      </c>
      <c r="AI101" s="15">
        <f t="shared" si="77"/>
        <v>0</v>
      </c>
      <c r="AJ101" s="15">
        <f t="shared" si="78"/>
        <v>0</v>
      </c>
      <c r="AK101" s="15">
        <f t="shared" si="79"/>
        <v>0</v>
      </c>
      <c r="AL101" s="15">
        <f t="shared" si="80"/>
        <v>0</v>
      </c>
      <c r="AM101" s="15">
        <f t="shared" si="81"/>
        <v>0</v>
      </c>
      <c r="AN101" s="15">
        <f t="shared" si="82"/>
        <v>0</v>
      </c>
      <c r="AO101" s="15">
        <f t="shared" si="83"/>
        <v>0</v>
      </c>
      <c r="AP101" s="10">
        <f t="shared" si="84"/>
        <v>0</v>
      </c>
      <c r="AQ101" s="10">
        <f t="shared" si="85"/>
        <v>0</v>
      </c>
      <c r="AR101" s="10">
        <f t="shared" si="86"/>
        <v>0</v>
      </c>
      <c r="AS101" s="10">
        <f t="shared" si="87"/>
        <v>0</v>
      </c>
      <c r="AT101" s="10" t="b">
        <f t="shared" si="88"/>
        <v>1</v>
      </c>
      <c r="AU101" s="10">
        <f t="shared" si="64"/>
        <v>0</v>
      </c>
      <c r="AV101" s="10">
        <f t="shared" si="65"/>
        <v>0</v>
      </c>
      <c r="AW101" s="10">
        <f t="shared" si="66"/>
        <v>0</v>
      </c>
      <c r="AX101" s="10">
        <f t="shared" si="67"/>
        <v>0</v>
      </c>
      <c r="AY101" s="10">
        <f t="shared" si="89"/>
        <v>0</v>
      </c>
      <c r="AZ101" s="19">
        <f>IFERROR(IF($E101="REC",INDEX(A_Type_Volume!$B:$B,MATCH($D101,A_Type_Volume!$A:$A,0),1),IF($E101="VAM",INDEX(C_Type_Volume!$B:$B,MATCH($D101,C_Type_Volume!$A:$A,0),1),"X")),"")</f>
        <v>169905</v>
      </c>
      <c r="BA101" s="19">
        <f>IFERROR(IF($E101="REC",INDEX(A_Type_Volume!$C:$C,MATCH($D101,A_Type_Volume!$A:$A,0),1),IF($E101="VAM",INDEX(C_Type_Volume!$C:$C,MATCH($D101,C_Type_Volume!$A:$A,0),1),"X")),"")</f>
        <v>97528</v>
      </c>
      <c r="BB101" s="19">
        <f>IFERROR(IF($E101="REC",INDEX(A_Type_Volume!$D:$D,MATCH($D101,A_Type_Volume!$A:$A,0),1),IF($E101="VAM",INDEX(C_Type_Volume!$D:$D,MATCH($D101,C_Type_Volume!$A:$A,0),1),"X")),"")</f>
        <v>178614</v>
      </c>
      <c r="BC101" s="19">
        <f>IFERROR(IF($E101="REC",INDEX(A_Type_Volume!$E:$E,MATCH($D101,A_Type_Volume!$A:$A,0),1),IF($E101="VAM",INDEX(C_Type_Volume!$E:$E,MATCH($D101,C_Type_Volume!$A:$A,0),1),"X")),"")</f>
        <v>136091</v>
      </c>
      <c r="BD101" s="19">
        <f>IFERROR(IF($E101="REC",INDEX(A_Type_Volume!$F:$F,MATCH($D101,A_Type_Volume!$A:$A,0),1),IF($E101="VAM",INDEX(C_Type_Volume!$F:$F,MATCH($D101,C_Type_Volume!$A:$A,0),1),"X")),"")</f>
        <v>157866</v>
      </c>
      <c r="BE101" s="19">
        <f>IFERROR(IF($E101="REC",INDEX(A_Type_Volume!$G:$G,MATCH($D101,A_Type_Volume!$A:$A,0),1),IF($E101="VAM",INDEX(C_Type_Volume!$G:$G,MATCH($D101,C_Type_Volume!$A:$A,0),1),"X")),"")</f>
        <v>152422</v>
      </c>
      <c r="BF101" s="19">
        <f>IFERROR(IF($E101="REC",INDEX(A_Type_Volume!$H:$H,MATCH($D101,A_Type_Volume!$A:$A,0),1),IF($E101="VAM",INDEX(C_Type_Volume!$H:$H,MATCH($D101,C_Type_Volume!$A:$A,0),1),"X")),"")</f>
        <v>150000</v>
      </c>
      <c r="BG101" s="19">
        <f>IFERROR(IF($E101="REC",INDEX(A_Type_Volume!$I:$I,MATCH($D101,A_Type_Volume!$A:$A,0),1),IF($E101="VAM",INDEX(C_Type_Volume!$I:$I,MATCH($D101,C_Type_Volume!$A:$A,0),1),"X")),"")</f>
        <v>144828</v>
      </c>
      <c r="BH101" s="19">
        <f>IFERROR(IF($E101="REC",INDEX(A_Type_Volume!$J:$J,MATCH($D101,A_Type_Volume!$A:$A,0),1),IF($E101="VAM",INDEX(C_Type_Volume!$J:$J,MATCH($D101,C_Type_Volume!$A:$A,0),1),"X")),"")</f>
        <v>150000</v>
      </c>
      <c r="BI101" s="19">
        <f>IFERROR(IF($E101="REC",INDEX(A_Type_Volume!$K:$K,MATCH($D101,A_Type_Volume!$A:$A,0),1),IF($E101="VAM",INDEX(C_Type_Volume!$K:$K,MATCH($D101,C_Type_Volume!$A:$A,0),1),"X")),"")</f>
        <v>160250</v>
      </c>
      <c r="BJ101" s="19">
        <f>IFERROR(IF($E101="REC",INDEX(A_Type_Volume!$L:$L,MATCH($D101,A_Type_Volume!$A:$A,0),1),IF($E101="VAM",INDEX(C_Type_Volume!$L:$L,MATCH($D101,C_Type_Volume!$A:$A,0),1),"X")),"")</f>
        <v>144742</v>
      </c>
      <c r="BK101" s="19">
        <f>IFERROR(IF($E101="REC",INDEX(A_Type_Volume!M:M,MATCH($D101,A_Type_Volume!$A:$A,0),1),IF($E101="VAM",INDEX(C_Type_Volume!M:M,MATCH($D101,C_Type_Volume!$A:$A,0),1),"X")),"")</f>
        <v>129234</v>
      </c>
      <c r="BL101" s="38">
        <f>SUM(Table1[[#This Row],[Jan_AVF]:[Dec_AVF]])</f>
        <v>1771480</v>
      </c>
      <c r="BM101" s="16">
        <f t="shared" si="90"/>
        <v>0</v>
      </c>
      <c r="BN101" s="16">
        <f t="shared" si="91"/>
        <v>0</v>
      </c>
      <c r="BO101" s="16">
        <f t="shared" si="92"/>
        <v>0</v>
      </c>
      <c r="BP101" s="16">
        <f t="shared" si="93"/>
        <v>0</v>
      </c>
      <c r="BQ101" s="16">
        <f t="shared" si="94"/>
        <v>0</v>
      </c>
      <c r="BR101" s="16">
        <f t="shared" si="95"/>
        <v>0</v>
      </c>
      <c r="BS101" s="16">
        <f t="shared" si="96"/>
        <v>0</v>
      </c>
      <c r="BT101" s="16">
        <f t="shared" si="97"/>
        <v>0</v>
      </c>
      <c r="BU101" s="16">
        <f t="shared" si="98"/>
        <v>0</v>
      </c>
      <c r="BV101" s="16">
        <f t="shared" si="99"/>
        <v>0</v>
      </c>
      <c r="BW101" s="16">
        <f t="shared" si="100"/>
        <v>0</v>
      </c>
      <c r="BX101" s="16">
        <f t="shared" si="101"/>
        <v>0</v>
      </c>
      <c r="BY101" s="10">
        <f t="shared" si="68"/>
        <v>0</v>
      </c>
      <c r="BZ101" s="10">
        <f t="shared" si="69"/>
        <v>0</v>
      </c>
      <c r="CA101" s="10">
        <f t="shared" si="70"/>
        <v>0</v>
      </c>
      <c r="CB101" s="10">
        <f t="shared" si="71"/>
        <v>0</v>
      </c>
      <c r="CC101" s="10">
        <f>IFERROR(Table1[[#This Row],[Labor
Saving]]*Table1[[#This Row],[Annual Volume]],"")</f>
        <v>0</v>
      </c>
      <c r="CD101" s="10">
        <f>IFERROR(Table1[[#This Row],[Annual Volume]]*Table1[[#This Row],[Yield
Saving]],"")</f>
        <v>0</v>
      </c>
      <c r="CE101" s="10">
        <f>IFERROR(Table1[[#This Row],[Annual Volume]]*Table1[[#This Row],[Material
Saving]],"")</f>
        <v>0</v>
      </c>
      <c r="CF101" s="10">
        <f>IFERROR(Table1[[#This Row],[OH
Saving]]*Table1[[#This Row],[Annual Volume]],"")</f>
        <v>0</v>
      </c>
      <c r="CG101" s="10">
        <f>SUM(Table1[[#This Row],[Labor_ASV]:[OH_ASV]])</f>
        <v>0</v>
      </c>
    </row>
    <row r="102" spans="1:85" x14ac:dyDescent="0.3">
      <c r="A102" t="str">
        <f>Table1[[#This Row],[Project Name]]&amp;Table1[[#This Row],[Part Number]]</f>
        <v>Pt etching increase Frequency usageV12</v>
      </c>
      <c r="B102" t="str">
        <f>IFERROR(Table1[[#This Row],[Project Number]]&amp;Table1[[#This Row],[Part Number]],"")</f>
        <v>AME25-063V12</v>
      </c>
      <c r="C102" s="22" t="s">
        <v>110</v>
      </c>
      <c r="D102" s="24" t="s">
        <v>224</v>
      </c>
      <c r="E102" s="25" t="s">
        <v>60</v>
      </c>
      <c r="F102" s="6">
        <f>INDEX(Proj_Reg!G:G,MATCH($C102,Proj_Reg!$B:$B,0),1)</f>
        <v>46204</v>
      </c>
      <c r="G102" s="6">
        <f>INDEX(Proj_Reg!H:H,MATCH($C102,Proj_Reg!$B:$B,0),1)</f>
        <v>46539</v>
      </c>
      <c r="H102" s="6" t="str">
        <f>IF(INDEX(Proj_Reg!C:C,MATCH($C102,Proj_Reg!$B:$B,0),1)=0,"",INDEX(Proj_Reg!C:C,MATCH($C102,Proj_Reg!$B:$B,0),1))</f>
        <v>Wet Etching</v>
      </c>
      <c r="I102" s="6" t="str">
        <f>IF(INDEX(Proj_Reg!D:D,MATCH($C102,Proj_Reg!$B:$B,0),1)=0,"",INDEX(Proj_Reg!D:D,MATCH($C102,Proj_Reg!$B:$B,0),1))</f>
        <v>XWP</v>
      </c>
      <c r="J102" s="6" t="str">
        <f>INDEX(Proj_Reg!E:E,MATCH($C102,Proj_Reg!$B:$B,0),1)</f>
        <v>Pt etching increase Frequency usage</v>
      </c>
      <c r="K102" s="21">
        <v>0</v>
      </c>
      <c r="L102" s="21">
        <v>0</v>
      </c>
      <c r="M102" s="21">
        <v>0</v>
      </c>
      <c r="N102" s="21">
        <v>0</v>
      </c>
      <c r="O102" s="11">
        <f>SUM(Table1[[#This Row],[Labor
Saving]:[OH
Saving]])</f>
        <v>0</v>
      </c>
      <c r="Q102" s="40">
        <f t="shared" si="52"/>
        <v>0</v>
      </c>
      <c r="R102" s="40">
        <f t="shared" si="53"/>
        <v>0</v>
      </c>
      <c r="S102" s="40">
        <f t="shared" si="54"/>
        <v>0</v>
      </c>
      <c r="T102" s="40">
        <f t="shared" si="55"/>
        <v>0</v>
      </c>
      <c r="U102" s="40">
        <f t="shared" si="56"/>
        <v>0</v>
      </c>
      <c r="V102" s="40">
        <f t="shared" si="57"/>
        <v>0</v>
      </c>
      <c r="W102" s="40">
        <f t="shared" si="58"/>
        <v>44234.7</v>
      </c>
      <c r="X102" s="40">
        <f t="shared" si="59"/>
        <v>142364</v>
      </c>
      <c r="Y102" s="40">
        <f t="shared" si="60"/>
        <v>147449</v>
      </c>
      <c r="Z102" s="40">
        <f t="shared" si="61"/>
        <v>157749</v>
      </c>
      <c r="AA102" s="40">
        <f t="shared" si="62"/>
        <v>142483</v>
      </c>
      <c r="AB102" s="40">
        <f t="shared" si="63"/>
        <v>127217</v>
      </c>
      <c r="AC102" s="37">
        <f>SUM(Table1[[#This Row],[Jan]:[Dec]])</f>
        <v>761496.7</v>
      </c>
      <c r="AD102" s="15">
        <f t="shared" si="72"/>
        <v>0</v>
      </c>
      <c r="AE102" s="15">
        <f t="shared" si="73"/>
        <v>0</v>
      </c>
      <c r="AF102" s="15">
        <f t="shared" si="74"/>
        <v>0</v>
      </c>
      <c r="AG102" s="15">
        <f t="shared" si="75"/>
        <v>0</v>
      </c>
      <c r="AH102" s="15">
        <f t="shared" si="76"/>
        <v>0</v>
      </c>
      <c r="AI102" s="15">
        <f t="shared" si="77"/>
        <v>0</v>
      </c>
      <c r="AJ102" s="15">
        <f t="shared" si="78"/>
        <v>0</v>
      </c>
      <c r="AK102" s="15">
        <f t="shared" si="79"/>
        <v>0</v>
      </c>
      <c r="AL102" s="15">
        <f t="shared" si="80"/>
        <v>0</v>
      </c>
      <c r="AM102" s="15">
        <f t="shared" si="81"/>
        <v>0</v>
      </c>
      <c r="AN102" s="15">
        <f t="shared" si="82"/>
        <v>0</v>
      </c>
      <c r="AO102" s="15">
        <f t="shared" si="83"/>
        <v>0</v>
      </c>
      <c r="AP102" s="10">
        <f t="shared" si="84"/>
        <v>0</v>
      </c>
      <c r="AQ102" s="10">
        <f t="shared" si="85"/>
        <v>0</v>
      </c>
      <c r="AR102" s="10">
        <f t="shared" si="86"/>
        <v>0</v>
      </c>
      <c r="AS102" s="10">
        <f t="shared" si="87"/>
        <v>0</v>
      </c>
      <c r="AT102" s="10" t="b">
        <f t="shared" si="88"/>
        <v>1</v>
      </c>
      <c r="AU102" s="10">
        <f t="shared" si="64"/>
        <v>0</v>
      </c>
      <c r="AV102" s="10">
        <f t="shared" si="65"/>
        <v>0</v>
      </c>
      <c r="AW102" s="10">
        <f t="shared" si="66"/>
        <v>0</v>
      </c>
      <c r="AX102" s="10">
        <f t="shared" si="67"/>
        <v>0</v>
      </c>
      <c r="AY102" s="10">
        <f t="shared" si="89"/>
        <v>0</v>
      </c>
      <c r="AZ102" s="19">
        <f>IFERROR(IF($E102="REC",INDEX(A_Type_Volume!$B:$B,MATCH($D102,A_Type_Volume!$A:$A,0),1),IF($E102="VAM",INDEX(C_Type_Volume!$B:$B,MATCH($D102,C_Type_Volume!$A:$A,0),1),"X")),"")</f>
        <v>139409</v>
      </c>
      <c r="BA102" s="19">
        <f>IFERROR(IF($E102="REC",INDEX(A_Type_Volume!$C:$C,MATCH($D102,A_Type_Volume!$A:$A,0),1),IF($E102="VAM",INDEX(C_Type_Volume!$C:$C,MATCH($D102,C_Type_Volume!$A:$A,0),1),"X")),"")</f>
        <v>155323</v>
      </c>
      <c r="BB102" s="19">
        <f>IFERROR(IF($E102="REC",INDEX(A_Type_Volume!$D:$D,MATCH($D102,A_Type_Volume!$A:$A,0),1),IF($E102="VAM",INDEX(C_Type_Volume!$D:$D,MATCH($D102,C_Type_Volume!$A:$A,0),1),"X")),"")</f>
        <v>224000</v>
      </c>
      <c r="BC102" s="19">
        <f>IFERROR(IF($E102="REC",INDEX(A_Type_Volume!$E:$E,MATCH($D102,A_Type_Volume!$A:$A,0),1),IF($E102="VAM",INDEX(C_Type_Volume!$E:$E,MATCH($D102,C_Type_Volume!$A:$A,0),1),"X")),"")</f>
        <v>134379</v>
      </c>
      <c r="BD102" s="19">
        <f>IFERROR(IF($E102="REC",INDEX(A_Type_Volume!$F:$F,MATCH($D102,A_Type_Volume!$A:$A,0),1),IF($E102="VAM",INDEX(C_Type_Volume!$F:$F,MATCH($D102,C_Type_Volume!$A:$A,0),1),"X")),"")</f>
        <v>155880</v>
      </c>
      <c r="BE102" s="19">
        <f>IFERROR(IF($E102="REC",INDEX(A_Type_Volume!$G:$G,MATCH($D102,A_Type_Volume!$A:$A,0),1),IF($E102="VAM",INDEX(C_Type_Volume!$G:$G,MATCH($D102,C_Type_Volume!$A:$A,0),1),"X")),"")</f>
        <v>150505</v>
      </c>
      <c r="BF102" s="19">
        <f>IFERROR(IF($E102="REC",INDEX(A_Type_Volume!$H:$H,MATCH($D102,A_Type_Volume!$A:$A,0),1),IF($E102="VAM",INDEX(C_Type_Volume!$H:$H,MATCH($D102,C_Type_Volume!$A:$A,0),1),"X")),"")</f>
        <v>147449</v>
      </c>
      <c r="BG102" s="19">
        <f>IFERROR(IF($E102="REC",INDEX(A_Type_Volume!$I:$I,MATCH($D102,A_Type_Volume!$A:$A,0),1),IF($E102="VAM",INDEX(C_Type_Volume!$I:$I,MATCH($D102,C_Type_Volume!$A:$A,0),1),"X")),"")</f>
        <v>142364</v>
      </c>
      <c r="BH102" s="19">
        <f>IFERROR(IF($E102="REC",INDEX(A_Type_Volume!$J:$J,MATCH($D102,A_Type_Volume!$A:$A,0),1),IF($E102="VAM",INDEX(C_Type_Volume!$J:$J,MATCH($D102,C_Type_Volume!$A:$A,0),1),"X")),"")</f>
        <v>147449</v>
      </c>
      <c r="BI102" s="19">
        <f>IFERROR(IF($E102="REC",INDEX(A_Type_Volume!$K:$K,MATCH($D102,A_Type_Volume!$A:$A,0),1),IF($E102="VAM",INDEX(C_Type_Volume!$K:$K,MATCH($D102,C_Type_Volume!$A:$A,0),1),"X")),"")</f>
        <v>157749</v>
      </c>
      <c r="BJ102" s="19">
        <f>IFERROR(IF($E102="REC",INDEX(A_Type_Volume!$L:$L,MATCH($D102,A_Type_Volume!$A:$A,0),1),IF($E102="VAM",INDEX(C_Type_Volume!$L:$L,MATCH($D102,C_Type_Volume!$A:$A,0),1),"X")),"")</f>
        <v>142483</v>
      </c>
      <c r="BK102" s="19">
        <f>IFERROR(IF($E102="REC",INDEX(A_Type_Volume!M:M,MATCH($D102,A_Type_Volume!$A:$A,0),1),IF($E102="VAM",INDEX(C_Type_Volume!M:M,MATCH($D102,C_Type_Volume!$A:$A,0),1),"X")),"")</f>
        <v>127217</v>
      </c>
      <c r="BL102" s="38">
        <f>SUM(Table1[[#This Row],[Jan_AVF]:[Dec_AVF]])</f>
        <v>1824207</v>
      </c>
      <c r="BM102" s="16">
        <f t="shared" si="90"/>
        <v>0</v>
      </c>
      <c r="BN102" s="16">
        <f t="shared" si="91"/>
        <v>0</v>
      </c>
      <c r="BO102" s="16">
        <f t="shared" si="92"/>
        <v>0</v>
      </c>
      <c r="BP102" s="16">
        <f t="shared" si="93"/>
        <v>0</v>
      </c>
      <c r="BQ102" s="16">
        <f t="shared" si="94"/>
        <v>0</v>
      </c>
      <c r="BR102" s="16">
        <f t="shared" si="95"/>
        <v>0</v>
      </c>
      <c r="BS102" s="16">
        <f t="shared" si="96"/>
        <v>0</v>
      </c>
      <c r="BT102" s="16">
        <f t="shared" si="97"/>
        <v>0</v>
      </c>
      <c r="BU102" s="16">
        <f t="shared" si="98"/>
        <v>0</v>
      </c>
      <c r="BV102" s="16">
        <f t="shared" si="99"/>
        <v>0</v>
      </c>
      <c r="BW102" s="16">
        <f t="shared" si="100"/>
        <v>0</v>
      </c>
      <c r="BX102" s="16">
        <f t="shared" si="101"/>
        <v>0</v>
      </c>
      <c r="BY102" s="10">
        <f t="shared" si="68"/>
        <v>0</v>
      </c>
      <c r="BZ102" s="10">
        <f t="shared" si="69"/>
        <v>0</v>
      </c>
      <c r="CA102" s="10">
        <f t="shared" si="70"/>
        <v>0</v>
      </c>
      <c r="CB102" s="10">
        <f t="shared" si="71"/>
        <v>0</v>
      </c>
      <c r="CC102" s="10">
        <f>IFERROR(Table1[[#This Row],[Labor
Saving]]*Table1[[#This Row],[Annual Volume]],"")</f>
        <v>0</v>
      </c>
      <c r="CD102" s="10">
        <f>IFERROR(Table1[[#This Row],[Annual Volume]]*Table1[[#This Row],[Yield
Saving]],"")</f>
        <v>0</v>
      </c>
      <c r="CE102" s="10">
        <f>IFERROR(Table1[[#This Row],[Annual Volume]]*Table1[[#This Row],[Material
Saving]],"")</f>
        <v>0</v>
      </c>
      <c r="CF102" s="10">
        <f>IFERROR(Table1[[#This Row],[OH
Saving]]*Table1[[#This Row],[Annual Volume]],"")</f>
        <v>0</v>
      </c>
      <c r="CG102" s="10">
        <f>SUM(Table1[[#This Row],[Labor_ASV]:[OH_ASV]])</f>
        <v>0</v>
      </c>
    </row>
    <row r="103" spans="1:85" x14ac:dyDescent="0.3">
      <c r="A103" t="str">
        <f>Table1[[#This Row],[Project Name]]&amp;Table1[[#This Row],[Part Number]]</f>
        <v>Pt etching increase Frequency usageV13</v>
      </c>
      <c r="B103" t="str">
        <f>IFERROR(Table1[[#This Row],[Project Number]]&amp;Table1[[#This Row],[Part Number]],"")</f>
        <v>AME25-063V13</v>
      </c>
      <c r="C103" s="22" t="s">
        <v>110</v>
      </c>
      <c r="D103" s="24" t="s">
        <v>225</v>
      </c>
      <c r="E103" s="25" t="s">
        <v>60</v>
      </c>
      <c r="F103" s="6">
        <f>INDEX(Proj_Reg!G:G,MATCH($C103,Proj_Reg!$B:$B,0),1)</f>
        <v>46204</v>
      </c>
      <c r="G103" s="6">
        <f>INDEX(Proj_Reg!H:H,MATCH($C103,Proj_Reg!$B:$B,0),1)</f>
        <v>46539</v>
      </c>
      <c r="H103" s="6" t="str">
        <f>IF(INDEX(Proj_Reg!C:C,MATCH($C103,Proj_Reg!$B:$B,0),1)=0,"",INDEX(Proj_Reg!C:C,MATCH($C103,Proj_Reg!$B:$B,0),1))</f>
        <v>Wet Etching</v>
      </c>
      <c r="I103" s="6" t="str">
        <f>IF(INDEX(Proj_Reg!D:D,MATCH($C103,Proj_Reg!$B:$B,0),1)=0,"",INDEX(Proj_Reg!D:D,MATCH($C103,Proj_Reg!$B:$B,0),1))</f>
        <v>XWP</v>
      </c>
      <c r="J103" s="6" t="str">
        <f>INDEX(Proj_Reg!E:E,MATCH($C103,Proj_Reg!$B:$B,0),1)</f>
        <v>Pt etching increase Frequency usage</v>
      </c>
      <c r="K103" s="21">
        <v>0</v>
      </c>
      <c r="L103" s="21">
        <v>0</v>
      </c>
      <c r="M103" s="21">
        <v>0</v>
      </c>
      <c r="N103" s="21">
        <v>0</v>
      </c>
      <c r="O103" s="11">
        <f>SUM(Table1[[#This Row],[Labor
Saving]:[OH
Saving]])</f>
        <v>0</v>
      </c>
      <c r="Q103" s="40">
        <f t="shared" si="52"/>
        <v>0</v>
      </c>
      <c r="R103" s="40">
        <f t="shared" si="53"/>
        <v>0</v>
      </c>
      <c r="S103" s="40">
        <f t="shared" si="54"/>
        <v>0</v>
      </c>
      <c r="T103" s="40">
        <f t="shared" si="55"/>
        <v>0</v>
      </c>
      <c r="U103" s="40">
        <f t="shared" si="56"/>
        <v>0</v>
      </c>
      <c r="V103" s="40">
        <f t="shared" si="57"/>
        <v>0</v>
      </c>
      <c r="W103" s="40">
        <f t="shared" si="58"/>
        <v>23757.899999999998</v>
      </c>
      <c r="X103" s="40">
        <f t="shared" si="59"/>
        <v>76463</v>
      </c>
      <c r="Y103" s="40">
        <f t="shared" si="60"/>
        <v>79193</v>
      </c>
      <c r="Z103" s="40">
        <f t="shared" si="61"/>
        <v>84644</v>
      </c>
      <c r="AA103" s="40">
        <f t="shared" si="62"/>
        <v>76453</v>
      </c>
      <c r="AB103" s="40">
        <f t="shared" si="63"/>
        <v>68262</v>
      </c>
      <c r="AC103" s="37">
        <f>SUM(Table1[[#This Row],[Jan]:[Dec]])</f>
        <v>408772.9</v>
      </c>
      <c r="AD103" s="15">
        <f t="shared" si="72"/>
        <v>0</v>
      </c>
      <c r="AE103" s="15">
        <f t="shared" si="73"/>
        <v>0</v>
      </c>
      <c r="AF103" s="15">
        <f t="shared" si="74"/>
        <v>0</v>
      </c>
      <c r="AG103" s="15">
        <f t="shared" si="75"/>
        <v>0</v>
      </c>
      <c r="AH103" s="15">
        <f t="shared" si="76"/>
        <v>0</v>
      </c>
      <c r="AI103" s="15">
        <f t="shared" si="77"/>
        <v>0</v>
      </c>
      <c r="AJ103" s="15">
        <f t="shared" si="78"/>
        <v>0</v>
      </c>
      <c r="AK103" s="15">
        <f t="shared" si="79"/>
        <v>0</v>
      </c>
      <c r="AL103" s="15">
        <f t="shared" si="80"/>
        <v>0</v>
      </c>
      <c r="AM103" s="15">
        <f t="shared" si="81"/>
        <v>0</v>
      </c>
      <c r="AN103" s="15">
        <f t="shared" si="82"/>
        <v>0</v>
      </c>
      <c r="AO103" s="15">
        <f t="shared" si="83"/>
        <v>0</v>
      </c>
      <c r="AP103" s="10">
        <f t="shared" si="84"/>
        <v>0</v>
      </c>
      <c r="AQ103" s="10">
        <f t="shared" si="85"/>
        <v>0</v>
      </c>
      <c r="AR103" s="10">
        <f t="shared" si="86"/>
        <v>0</v>
      </c>
      <c r="AS103" s="10">
        <f t="shared" si="87"/>
        <v>0</v>
      </c>
      <c r="AT103" s="10" t="b">
        <f t="shared" si="88"/>
        <v>1</v>
      </c>
      <c r="AU103" s="10">
        <f t="shared" si="64"/>
        <v>0</v>
      </c>
      <c r="AV103" s="10">
        <f t="shared" si="65"/>
        <v>0</v>
      </c>
      <c r="AW103" s="10">
        <f t="shared" si="66"/>
        <v>0</v>
      </c>
      <c r="AX103" s="10">
        <f t="shared" si="67"/>
        <v>0</v>
      </c>
      <c r="AY103" s="10">
        <f t="shared" si="89"/>
        <v>0</v>
      </c>
      <c r="AZ103" s="19">
        <f>IFERROR(IF($E103="REC",INDEX(A_Type_Volume!$B:$B,MATCH($D103,A_Type_Volume!$A:$A,0),1),IF($E103="VAM",INDEX(C_Type_Volume!$B:$B,MATCH($D103,C_Type_Volume!$A:$A,0),1),"X")),"")</f>
        <v>78418</v>
      </c>
      <c r="BA103" s="19">
        <f>IFERROR(IF($E103="REC",INDEX(A_Type_Volume!$C:$C,MATCH($D103,A_Type_Volume!$A:$A,0),1),IF($E103="VAM",INDEX(C_Type_Volume!$C:$C,MATCH($D103,C_Type_Volume!$A:$A,0),1),"X")),"")</f>
        <v>51473</v>
      </c>
      <c r="BB103" s="19">
        <f>IFERROR(IF($E103="REC",INDEX(A_Type_Volume!$D:$D,MATCH($D103,A_Type_Volume!$A:$A,0),1),IF($E103="VAM",INDEX(C_Type_Volume!$D:$D,MATCH($D103,C_Type_Volume!$A:$A,0),1),"X")),"")</f>
        <v>67346</v>
      </c>
      <c r="BC103" s="19">
        <f>IFERROR(IF($E103="REC",INDEX(A_Type_Volume!$E:$E,MATCH($D103,A_Type_Volume!$A:$A,0),1),IF($E103="VAM",INDEX(C_Type_Volume!$E:$E,MATCH($D103,C_Type_Volume!$A:$A,0),1),"X")),"")</f>
        <v>67044</v>
      </c>
      <c r="BD103" s="19">
        <f>IFERROR(IF($E103="REC",INDEX(A_Type_Volume!$F:$F,MATCH($D103,A_Type_Volume!$A:$A,0),1),IF($E103="VAM",INDEX(C_Type_Volume!$F:$F,MATCH($D103,C_Type_Volume!$A:$A,0),1),"X")),"")</f>
        <v>77771</v>
      </c>
      <c r="BE103" s="19">
        <f>IFERROR(IF($E103="REC",INDEX(A_Type_Volume!$G:$G,MATCH($D103,A_Type_Volume!$A:$A,0),1),IF($E103="VAM",INDEX(C_Type_Volume!$G:$G,MATCH($D103,C_Type_Volume!$A:$A,0),1),"X")),"")</f>
        <v>75090</v>
      </c>
      <c r="BF103" s="19">
        <f>IFERROR(IF($E103="REC",INDEX(A_Type_Volume!$H:$H,MATCH($D103,A_Type_Volume!$A:$A,0),1),IF($E103="VAM",INDEX(C_Type_Volume!$H:$H,MATCH($D103,C_Type_Volume!$A:$A,0),1),"X")),"")</f>
        <v>79193</v>
      </c>
      <c r="BG103" s="19">
        <f>IFERROR(IF($E103="REC",INDEX(A_Type_Volume!$I:$I,MATCH($D103,A_Type_Volume!$A:$A,0),1),IF($E103="VAM",INDEX(C_Type_Volume!$I:$I,MATCH($D103,C_Type_Volume!$A:$A,0),1),"X")),"")</f>
        <v>76463</v>
      </c>
      <c r="BH103" s="19">
        <f>IFERROR(IF($E103="REC",INDEX(A_Type_Volume!$J:$J,MATCH($D103,A_Type_Volume!$A:$A,0),1),IF($E103="VAM",INDEX(C_Type_Volume!$J:$J,MATCH($D103,C_Type_Volume!$A:$A,0),1),"X")),"")</f>
        <v>79193</v>
      </c>
      <c r="BI103" s="19">
        <f>IFERROR(IF($E103="REC",INDEX(A_Type_Volume!$K:$K,MATCH($D103,A_Type_Volume!$A:$A,0),1),IF($E103="VAM",INDEX(C_Type_Volume!$K:$K,MATCH($D103,C_Type_Volume!$A:$A,0),1),"X")),"")</f>
        <v>84644</v>
      </c>
      <c r="BJ103" s="19">
        <f>IFERROR(IF($E103="REC",INDEX(A_Type_Volume!$L:$L,MATCH($D103,A_Type_Volume!$A:$A,0),1),IF($E103="VAM",INDEX(C_Type_Volume!$L:$L,MATCH($D103,C_Type_Volume!$A:$A,0),1),"X")),"")</f>
        <v>76453</v>
      </c>
      <c r="BK103" s="19">
        <f>IFERROR(IF($E103="REC",INDEX(A_Type_Volume!M:M,MATCH($D103,A_Type_Volume!$A:$A,0),1),IF($E103="VAM",INDEX(C_Type_Volume!M:M,MATCH($D103,C_Type_Volume!$A:$A,0),1),"X")),"")</f>
        <v>68262</v>
      </c>
      <c r="BL103" s="38">
        <f>SUM(Table1[[#This Row],[Jan_AVF]:[Dec_AVF]])</f>
        <v>881350</v>
      </c>
      <c r="BM103" s="16">
        <f t="shared" si="90"/>
        <v>0</v>
      </c>
      <c r="BN103" s="16">
        <f t="shared" si="91"/>
        <v>0</v>
      </c>
      <c r="BO103" s="16">
        <f t="shared" si="92"/>
        <v>0</v>
      </c>
      <c r="BP103" s="16">
        <f t="shared" si="93"/>
        <v>0</v>
      </c>
      <c r="BQ103" s="16">
        <f t="shared" si="94"/>
        <v>0</v>
      </c>
      <c r="BR103" s="16">
        <f t="shared" si="95"/>
        <v>0</v>
      </c>
      <c r="BS103" s="16">
        <f t="shared" si="96"/>
        <v>0</v>
      </c>
      <c r="BT103" s="16">
        <f t="shared" si="97"/>
        <v>0</v>
      </c>
      <c r="BU103" s="16">
        <f t="shared" si="98"/>
        <v>0</v>
      </c>
      <c r="BV103" s="16">
        <f t="shared" si="99"/>
        <v>0</v>
      </c>
      <c r="BW103" s="16">
        <f t="shared" si="100"/>
        <v>0</v>
      </c>
      <c r="BX103" s="16">
        <f t="shared" si="101"/>
        <v>0</v>
      </c>
      <c r="BY103" s="10">
        <f t="shared" si="68"/>
        <v>0</v>
      </c>
      <c r="BZ103" s="10">
        <f t="shared" si="69"/>
        <v>0</v>
      </c>
      <c r="CA103" s="10">
        <f t="shared" si="70"/>
        <v>0</v>
      </c>
      <c r="CB103" s="10">
        <f t="shared" si="71"/>
        <v>0</v>
      </c>
      <c r="CC103" s="10">
        <f>IFERROR(Table1[[#This Row],[Labor
Saving]]*Table1[[#This Row],[Annual Volume]],"")</f>
        <v>0</v>
      </c>
      <c r="CD103" s="10">
        <f>IFERROR(Table1[[#This Row],[Annual Volume]]*Table1[[#This Row],[Yield
Saving]],"")</f>
        <v>0</v>
      </c>
      <c r="CE103" s="10">
        <f>IFERROR(Table1[[#This Row],[Annual Volume]]*Table1[[#This Row],[Material
Saving]],"")</f>
        <v>0</v>
      </c>
      <c r="CF103" s="10">
        <f>IFERROR(Table1[[#This Row],[OH
Saving]]*Table1[[#This Row],[Annual Volume]],"")</f>
        <v>0</v>
      </c>
      <c r="CG103" s="10">
        <f>SUM(Table1[[#This Row],[Labor_ASV]:[OH_ASV]])</f>
        <v>0</v>
      </c>
    </row>
    <row r="104" spans="1:85" x14ac:dyDescent="0.3">
      <c r="A104" t="str">
        <f>Table1[[#This Row],[Project Name]]&amp;Table1[[#This Row],[Part Number]]</f>
        <v>Pt etching increase Frequency usageV14</v>
      </c>
      <c r="B104" t="str">
        <f>IFERROR(Table1[[#This Row],[Project Number]]&amp;Table1[[#This Row],[Part Number]],"")</f>
        <v>AME25-063V14</v>
      </c>
      <c r="C104" s="22" t="s">
        <v>110</v>
      </c>
      <c r="D104" s="24" t="s">
        <v>226</v>
      </c>
      <c r="E104" s="25" t="s">
        <v>60</v>
      </c>
      <c r="F104" s="6">
        <f>INDEX(Proj_Reg!G:G,MATCH($C104,Proj_Reg!$B:$B,0),1)</f>
        <v>46204</v>
      </c>
      <c r="G104" s="6">
        <f>INDEX(Proj_Reg!H:H,MATCH($C104,Proj_Reg!$B:$B,0),1)</f>
        <v>46539</v>
      </c>
      <c r="H104" s="6" t="str">
        <f>IF(INDEX(Proj_Reg!C:C,MATCH($C104,Proj_Reg!$B:$B,0),1)=0,"",INDEX(Proj_Reg!C:C,MATCH($C104,Proj_Reg!$B:$B,0),1))</f>
        <v>Wet Etching</v>
      </c>
      <c r="I104" s="6" t="str">
        <f>IF(INDEX(Proj_Reg!D:D,MATCH($C104,Proj_Reg!$B:$B,0),1)=0,"",INDEX(Proj_Reg!D:D,MATCH($C104,Proj_Reg!$B:$B,0),1))</f>
        <v>XWP</v>
      </c>
      <c r="J104" s="6" t="str">
        <f>INDEX(Proj_Reg!E:E,MATCH($C104,Proj_Reg!$B:$B,0),1)</f>
        <v>Pt etching increase Frequency usage</v>
      </c>
      <c r="K104" s="21">
        <v>0</v>
      </c>
      <c r="L104" s="21">
        <v>0</v>
      </c>
      <c r="M104" s="21">
        <v>0</v>
      </c>
      <c r="N104" s="21">
        <v>0</v>
      </c>
      <c r="O104" s="11">
        <f>SUM(Table1[[#This Row],[Labor
Saving]:[OH
Saving]])</f>
        <v>0</v>
      </c>
      <c r="Q104" s="40">
        <f t="shared" si="52"/>
        <v>0</v>
      </c>
      <c r="R104" s="40">
        <f t="shared" si="53"/>
        <v>0</v>
      </c>
      <c r="S104" s="40">
        <f t="shared" si="54"/>
        <v>0</v>
      </c>
      <c r="T104" s="40">
        <f t="shared" si="55"/>
        <v>0</v>
      </c>
      <c r="U104" s="40">
        <f t="shared" si="56"/>
        <v>0</v>
      </c>
      <c r="V104" s="40">
        <f t="shared" si="57"/>
        <v>0</v>
      </c>
      <c r="W104" s="40">
        <f t="shared" si="58"/>
        <v>23212.799999999999</v>
      </c>
      <c r="X104" s="40">
        <f t="shared" si="59"/>
        <v>74708</v>
      </c>
      <c r="Y104" s="40">
        <f t="shared" si="60"/>
        <v>77376</v>
      </c>
      <c r="Z104" s="40">
        <f t="shared" si="61"/>
        <v>83388</v>
      </c>
      <c r="AA104" s="40">
        <f t="shared" si="62"/>
        <v>75318</v>
      </c>
      <c r="AB104" s="40">
        <f t="shared" si="63"/>
        <v>67248</v>
      </c>
      <c r="AC104" s="37">
        <f>SUM(Table1[[#This Row],[Jan]:[Dec]])</f>
        <v>401250.8</v>
      </c>
      <c r="AD104" s="15">
        <f t="shared" si="72"/>
        <v>0</v>
      </c>
      <c r="AE104" s="15">
        <f t="shared" si="73"/>
        <v>0</v>
      </c>
      <c r="AF104" s="15">
        <f t="shared" si="74"/>
        <v>0</v>
      </c>
      <c r="AG104" s="15">
        <f t="shared" si="75"/>
        <v>0</v>
      </c>
      <c r="AH104" s="15">
        <f t="shared" si="76"/>
        <v>0</v>
      </c>
      <c r="AI104" s="15">
        <f t="shared" si="77"/>
        <v>0</v>
      </c>
      <c r="AJ104" s="15">
        <f t="shared" si="78"/>
        <v>0</v>
      </c>
      <c r="AK104" s="15">
        <f t="shared" si="79"/>
        <v>0</v>
      </c>
      <c r="AL104" s="15">
        <f t="shared" si="80"/>
        <v>0</v>
      </c>
      <c r="AM104" s="15">
        <f t="shared" si="81"/>
        <v>0</v>
      </c>
      <c r="AN104" s="15">
        <f t="shared" si="82"/>
        <v>0</v>
      </c>
      <c r="AO104" s="15">
        <f t="shared" si="83"/>
        <v>0</v>
      </c>
      <c r="AP104" s="10">
        <f t="shared" si="84"/>
        <v>0</v>
      </c>
      <c r="AQ104" s="10">
        <f t="shared" si="85"/>
        <v>0</v>
      </c>
      <c r="AR104" s="10">
        <f t="shared" si="86"/>
        <v>0</v>
      </c>
      <c r="AS104" s="10">
        <f t="shared" si="87"/>
        <v>0</v>
      </c>
      <c r="AT104" s="10" t="b">
        <f t="shared" si="88"/>
        <v>1</v>
      </c>
      <c r="AU104" s="10">
        <f t="shared" si="64"/>
        <v>0</v>
      </c>
      <c r="AV104" s="10">
        <f t="shared" si="65"/>
        <v>0</v>
      </c>
      <c r="AW104" s="10">
        <f t="shared" si="66"/>
        <v>0</v>
      </c>
      <c r="AX104" s="10">
        <f t="shared" si="67"/>
        <v>0</v>
      </c>
      <c r="AY104" s="10">
        <f t="shared" si="89"/>
        <v>0</v>
      </c>
      <c r="AZ104" s="19">
        <f>IFERROR(IF($E104="REC",INDEX(A_Type_Volume!$B:$B,MATCH($D104,A_Type_Volume!$A:$A,0),1),IF($E104="VAM",INDEX(C_Type_Volume!$B:$B,MATCH($D104,C_Type_Volume!$A:$A,0),1),"X")),"")</f>
        <v>90616</v>
      </c>
      <c r="BA104" s="19">
        <f>IFERROR(IF($E104="REC",INDEX(A_Type_Volume!$C:$C,MATCH($D104,A_Type_Volume!$A:$A,0),1),IF($E104="VAM",INDEX(C_Type_Volume!$C:$C,MATCH($D104,C_Type_Volume!$A:$A,0),1),"X")),"")</f>
        <v>113783</v>
      </c>
      <c r="BB104" s="19">
        <f>IFERROR(IF($E104="REC",INDEX(A_Type_Volume!$D:$D,MATCH($D104,A_Type_Volume!$A:$A,0),1),IF($E104="VAM",INDEX(C_Type_Volume!$D:$D,MATCH($D104,C_Type_Volume!$A:$A,0),1),"X")),"")</f>
        <v>0</v>
      </c>
      <c r="BC104" s="19">
        <f>IFERROR(IF($E104="REC",INDEX(A_Type_Volume!$E:$E,MATCH($D104,A_Type_Volume!$A:$A,0),1),IF($E104="VAM",INDEX(C_Type_Volume!$E:$E,MATCH($D104,C_Type_Volume!$A:$A,0),1),"X")),"")</f>
        <v>65623</v>
      </c>
      <c r="BD104" s="19">
        <f>IFERROR(IF($E104="REC",INDEX(A_Type_Volume!$F:$F,MATCH($D104,A_Type_Volume!$A:$A,0),1),IF($E104="VAM",INDEX(C_Type_Volume!$F:$F,MATCH($D104,C_Type_Volume!$A:$A,0),1),"X")),"")</f>
        <v>76123</v>
      </c>
      <c r="BE104" s="19">
        <f>IFERROR(IF($E104="REC",INDEX(A_Type_Volume!$G:$G,MATCH($D104,A_Type_Volume!$A:$A,0),1),IF($E104="VAM",INDEX(C_Type_Volume!$G:$G,MATCH($D104,C_Type_Volume!$A:$A,0),1),"X")),"")</f>
        <v>73498</v>
      </c>
      <c r="BF104" s="19">
        <f>IFERROR(IF($E104="REC",INDEX(A_Type_Volume!$H:$H,MATCH($D104,A_Type_Volume!$A:$A,0),1),IF($E104="VAM",INDEX(C_Type_Volume!$H:$H,MATCH($D104,C_Type_Volume!$A:$A,0),1),"X")),"")</f>
        <v>77376</v>
      </c>
      <c r="BG104" s="19">
        <f>IFERROR(IF($E104="REC",INDEX(A_Type_Volume!$I:$I,MATCH($D104,A_Type_Volume!$A:$A,0),1),IF($E104="VAM",INDEX(C_Type_Volume!$I:$I,MATCH($D104,C_Type_Volume!$A:$A,0),1),"X")),"")</f>
        <v>74708</v>
      </c>
      <c r="BH104" s="19">
        <f>IFERROR(IF($E104="REC",INDEX(A_Type_Volume!$J:$J,MATCH($D104,A_Type_Volume!$A:$A,0),1),IF($E104="VAM",INDEX(C_Type_Volume!$J:$J,MATCH($D104,C_Type_Volume!$A:$A,0),1),"X")),"")</f>
        <v>77376</v>
      </c>
      <c r="BI104" s="19">
        <f>IFERROR(IF($E104="REC",INDEX(A_Type_Volume!$K:$K,MATCH($D104,A_Type_Volume!$A:$A,0),1),IF($E104="VAM",INDEX(C_Type_Volume!$K:$K,MATCH($D104,C_Type_Volume!$A:$A,0),1),"X")),"")</f>
        <v>83388</v>
      </c>
      <c r="BJ104" s="19">
        <f>IFERROR(IF($E104="REC",INDEX(A_Type_Volume!$L:$L,MATCH($D104,A_Type_Volume!$A:$A,0),1),IF($E104="VAM",INDEX(C_Type_Volume!$L:$L,MATCH($D104,C_Type_Volume!$A:$A,0),1),"X")),"")</f>
        <v>75318</v>
      </c>
      <c r="BK104" s="19">
        <f>IFERROR(IF($E104="REC",INDEX(A_Type_Volume!M:M,MATCH($D104,A_Type_Volume!$A:$A,0),1),IF($E104="VAM",INDEX(C_Type_Volume!M:M,MATCH($D104,C_Type_Volume!$A:$A,0),1),"X")),"")</f>
        <v>67248</v>
      </c>
      <c r="BL104" s="38">
        <f>SUM(Table1[[#This Row],[Jan_AVF]:[Dec_AVF]])</f>
        <v>875057</v>
      </c>
      <c r="BM104" s="16">
        <f t="shared" si="90"/>
        <v>0</v>
      </c>
      <c r="BN104" s="16">
        <f t="shared" si="91"/>
        <v>0</v>
      </c>
      <c r="BO104" s="16">
        <f t="shared" si="92"/>
        <v>0</v>
      </c>
      <c r="BP104" s="16">
        <f t="shared" si="93"/>
        <v>0</v>
      </c>
      <c r="BQ104" s="16">
        <f t="shared" si="94"/>
        <v>0</v>
      </c>
      <c r="BR104" s="16">
        <f t="shared" si="95"/>
        <v>0</v>
      </c>
      <c r="BS104" s="16">
        <f t="shared" si="96"/>
        <v>0</v>
      </c>
      <c r="BT104" s="16">
        <f t="shared" si="97"/>
        <v>0</v>
      </c>
      <c r="BU104" s="16">
        <f t="shared" si="98"/>
        <v>0</v>
      </c>
      <c r="BV104" s="16">
        <f t="shared" si="99"/>
        <v>0</v>
      </c>
      <c r="BW104" s="16">
        <f t="shared" si="100"/>
        <v>0</v>
      </c>
      <c r="BX104" s="16">
        <f t="shared" si="101"/>
        <v>0</v>
      </c>
      <c r="BY104" s="10">
        <f t="shared" si="68"/>
        <v>0</v>
      </c>
      <c r="BZ104" s="10">
        <f t="shared" si="69"/>
        <v>0</v>
      </c>
      <c r="CA104" s="10">
        <f t="shared" si="70"/>
        <v>0</v>
      </c>
      <c r="CB104" s="10">
        <f t="shared" si="71"/>
        <v>0</v>
      </c>
      <c r="CC104" s="10">
        <f>IFERROR(Table1[[#This Row],[Labor
Saving]]*Table1[[#This Row],[Annual Volume]],"")</f>
        <v>0</v>
      </c>
      <c r="CD104" s="10">
        <f>IFERROR(Table1[[#This Row],[Annual Volume]]*Table1[[#This Row],[Yield
Saving]],"")</f>
        <v>0</v>
      </c>
      <c r="CE104" s="10">
        <f>IFERROR(Table1[[#This Row],[Annual Volume]]*Table1[[#This Row],[Material
Saving]],"")</f>
        <v>0</v>
      </c>
      <c r="CF104" s="10">
        <f>IFERROR(Table1[[#This Row],[OH
Saving]]*Table1[[#This Row],[Annual Volume]],"")</f>
        <v>0</v>
      </c>
      <c r="CG104" s="10">
        <f>SUM(Table1[[#This Row],[Labor_ASV]:[OH_ASV]])</f>
        <v>0</v>
      </c>
    </row>
    <row r="105" spans="1:85" x14ac:dyDescent="0.3">
      <c r="A105" t="str">
        <f>Table1[[#This Row],[Project Name]]&amp;Table1[[#This Row],[Part Number]]</f>
        <v>Pt etching increase Frequency usageV15</v>
      </c>
      <c r="B105" t="str">
        <f>IFERROR(Table1[[#This Row],[Project Number]]&amp;Table1[[#This Row],[Part Number]],"")</f>
        <v>AME25-063V15</v>
      </c>
      <c r="C105" s="22" t="s">
        <v>110</v>
      </c>
      <c r="D105" s="24" t="s">
        <v>227</v>
      </c>
      <c r="E105" s="25" t="s">
        <v>60</v>
      </c>
      <c r="F105" s="6">
        <f>INDEX(Proj_Reg!G:G,MATCH($C105,Proj_Reg!$B:$B,0),1)</f>
        <v>46204</v>
      </c>
      <c r="G105" s="6">
        <f>INDEX(Proj_Reg!H:H,MATCH($C105,Proj_Reg!$B:$B,0),1)</f>
        <v>46539</v>
      </c>
      <c r="H105" s="6" t="str">
        <f>IF(INDEX(Proj_Reg!C:C,MATCH($C105,Proj_Reg!$B:$B,0),1)=0,"",INDEX(Proj_Reg!C:C,MATCH($C105,Proj_Reg!$B:$B,0),1))</f>
        <v>Wet Etching</v>
      </c>
      <c r="I105" s="6" t="str">
        <f>IF(INDEX(Proj_Reg!D:D,MATCH($C105,Proj_Reg!$B:$B,0),1)=0,"",INDEX(Proj_Reg!D:D,MATCH($C105,Proj_Reg!$B:$B,0),1))</f>
        <v>XWP</v>
      </c>
      <c r="J105" s="6" t="str">
        <f>INDEX(Proj_Reg!E:E,MATCH($C105,Proj_Reg!$B:$B,0),1)</f>
        <v>Pt etching increase Frequency usage</v>
      </c>
      <c r="K105" s="21">
        <v>0</v>
      </c>
      <c r="L105" s="21">
        <v>0</v>
      </c>
      <c r="M105" s="21">
        <v>0</v>
      </c>
      <c r="N105" s="21">
        <v>0</v>
      </c>
      <c r="O105" s="11">
        <f>SUM(Table1[[#This Row],[Labor
Saving]:[OH
Saving]])</f>
        <v>0</v>
      </c>
      <c r="Q105" s="40">
        <f t="shared" si="52"/>
        <v>0</v>
      </c>
      <c r="R105" s="40">
        <f t="shared" si="53"/>
        <v>0</v>
      </c>
      <c r="S105" s="40">
        <f t="shared" si="54"/>
        <v>0</v>
      </c>
      <c r="T105" s="40">
        <f t="shared" si="55"/>
        <v>0</v>
      </c>
      <c r="U105" s="40">
        <f t="shared" si="56"/>
        <v>0</v>
      </c>
      <c r="V105" s="40">
        <f t="shared" si="57"/>
        <v>0</v>
      </c>
      <c r="W105" s="40">
        <f t="shared" si="58"/>
        <v>6569.4</v>
      </c>
      <c r="X105" s="40">
        <f t="shared" si="59"/>
        <v>21143</v>
      </c>
      <c r="Y105" s="40">
        <f t="shared" si="60"/>
        <v>21898</v>
      </c>
      <c r="Z105" s="40">
        <f t="shared" si="61"/>
        <v>21236</v>
      </c>
      <c r="AA105" s="40">
        <f t="shared" si="62"/>
        <v>19181</v>
      </c>
      <c r="AB105" s="40">
        <f t="shared" si="63"/>
        <v>17126</v>
      </c>
      <c r="AC105" s="37">
        <f>SUM(Table1[[#This Row],[Jan]:[Dec]])</f>
        <v>107153.4</v>
      </c>
      <c r="AD105" s="15">
        <f t="shared" si="72"/>
        <v>0</v>
      </c>
      <c r="AE105" s="15">
        <f t="shared" si="73"/>
        <v>0</v>
      </c>
      <c r="AF105" s="15">
        <f t="shared" si="74"/>
        <v>0</v>
      </c>
      <c r="AG105" s="15">
        <f t="shared" si="75"/>
        <v>0</v>
      </c>
      <c r="AH105" s="15">
        <f t="shared" si="76"/>
        <v>0</v>
      </c>
      <c r="AI105" s="15">
        <f t="shared" si="77"/>
        <v>0</v>
      </c>
      <c r="AJ105" s="15">
        <f t="shared" si="78"/>
        <v>0</v>
      </c>
      <c r="AK105" s="15">
        <f t="shared" si="79"/>
        <v>0</v>
      </c>
      <c r="AL105" s="15">
        <f t="shared" si="80"/>
        <v>0</v>
      </c>
      <c r="AM105" s="15">
        <f t="shared" si="81"/>
        <v>0</v>
      </c>
      <c r="AN105" s="15">
        <f t="shared" si="82"/>
        <v>0</v>
      </c>
      <c r="AO105" s="15">
        <f t="shared" si="83"/>
        <v>0</v>
      </c>
      <c r="AP105" s="10">
        <f t="shared" si="84"/>
        <v>0</v>
      </c>
      <c r="AQ105" s="10">
        <f t="shared" si="85"/>
        <v>0</v>
      </c>
      <c r="AR105" s="10">
        <f t="shared" si="86"/>
        <v>0</v>
      </c>
      <c r="AS105" s="10">
        <f t="shared" si="87"/>
        <v>0</v>
      </c>
      <c r="AT105" s="10" t="b">
        <f t="shared" si="88"/>
        <v>1</v>
      </c>
      <c r="AU105" s="10">
        <f t="shared" si="64"/>
        <v>0</v>
      </c>
      <c r="AV105" s="10">
        <f t="shared" si="65"/>
        <v>0</v>
      </c>
      <c r="AW105" s="10">
        <f t="shared" si="66"/>
        <v>0</v>
      </c>
      <c r="AX105" s="10">
        <f t="shared" si="67"/>
        <v>0</v>
      </c>
      <c r="AY105" s="10">
        <f t="shared" si="89"/>
        <v>0</v>
      </c>
      <c r="AZ105" s="19">
        <f>IFERROR(IF($E105="REC",INDEX(A_Type_Volume!$B:$B,MATCH($D105,A_Type_Volume!$A:$A,0),1),IF($E105="VAM",INDEX(C_Type_Volume!$B:$B,MATCH($D105,C_Type_Volume!$A:$A,0),1),"X")),"")</f>
        <v>13070</v>
      </c>
      <c r="BA105" s="19">
        <f>IFERROR(IF($E105="REC",INDEX(A_Type_Volume!$C:$C,MATCH($D105,A_Type_Volume!$A:$A,0),1),IF($E105="VAM",INDEX(C_Type_Volume!$C:$C,MATCH($D105,C_Type_Volume!$A:$A,0),1),"X")),"")</f>
        <v>5418</v>
      </c>
      <c r="BB105" s="19">
        <f>IFERROR(IF($E105="REC",INDEX(A_Type_Volume!$D:$D,MATCH($D105,A_Type_Volume!$A:$A,0),1),IF($E105="VAM",INDEX(C_Type_Volume!$D:$D,MATCH($D105,C_Type_Volume!$A:$A,0),1),"X")),"")</f>
        <v>8784</v>
      </c>
      <c r="BC105" s="19">
        <f>IFERROR(IF($E105="REC",INDEX(A_Type_Volume!$E:$E,MATCH($D105,A_Type_Volume!$A:$A,0),1),IF($E105="VAM",INDEX(C_Type_Volume!$E:$E,MATCH($D105,C_Type_Volume!$A:$A,0),1),"X")),"")</f>
        <v>14551</v>
      </c>
      <c r="BD105" s="19">
        <f>IFERROR(IF($E105="REC",INDEX(A_Type_Volume!$F:$F,MATCH($D105,A_Type_Volume!$A:$A,0),1),IF($E105="VAM",INDEX(C_Type_Volume!$F:$F,MATCH($D105,C_Type_Volume!$A:$A,0),1),"X")),"")</f>
        <v>16879</v>
      </c>
      <c r="BE105" s="19">
        <f>IFERROR(IF($E105="REC",INDEX(A_Type_Volume!$G:$G,MATCH($D105,A_Type_Volume!$A:$A,0),1),IF($E105="VAM",INDEX(C_Type_Volume!$G:$G,MATCH($D105,C_Type_Volume!$A:$A,0),1),"X")),"")</f>
        <v>16297</v>
      </c>
      <c r="BF105" s="19">
        <f>IFERROR(IF($E105="REC",INDEX(A_Type_Volume!$H:$H,MATCH($D105,A_Type_Volume!$A:$A,0),1),IF($E105="VAM",INDEX(C_Type_Volume!$H:$H,MATCH($D105,C_Type_Volume!$A:$A,0),1),"X")),"")</f>
        <v>21898</v>
      </c>
      <c r="BG105" s="19">
        <f>IFERROR(IF($E105="REC",INDEX(A_Type_Volume!$I:$I,MATCH($D105,A_Type_Volume!$A:$A,0),1),IF($E105="VAM",INDEX(C_Type_Volume!$I:$I,MATCH($D105,C_Type_Volume!$A:$A,0),1),"X")),"")</f>
        <v>21143</v>
      </c>
      <c r="BH105" s="19">
        <f>IFERROR(IF($E105="REC",INDEX(A_Type_Volume!$J:$J,MATCH($D105,A_Type_Volume!$A:$A,0),1),IF($E105="VAM",INDEX(C_Type_Volume!$J:$J,MATCH($D105,C_Type_Volume!$A:$A,0),1),"X")),"")</f>
        <v>21898</v>
      </c>
      <c r="BI105" s="19">
        <f>IFERROR(IF($E105="REC",INDEX(A_Type_Volume!$K:$K,MATCH($D105,A_Type_Volume!$A:$A,0),1),IF($E105="VAM",INDEX(C_Type_Volume!$K:$K,MATCH($D105,C_Type_Volume!$A:$A,0),1),"X")),"")</f>
        <v>21236</v>
      </c>
      <c r="BJ105" s="19">
        <f>IFERROR(IF($E105="REC",INDEX(A_Type_Volume!$L:$L,MATCH($D105,A_Type_Volume!$A:$A,0),1),IF($E105="VAM",INDEX(C_Type_Volume!$L:$L,MATCH($D105,C_Type_Volume!$A:$A,0),1),"X")),"")</f>
        <v>19181</v>
      </c>
      <c r="BK105" s="19">
        <f>IFERROR(IF($E105="REC",INDEX(A_Type_Volume!M:M,MATCH($D105,A_Type_Volume!$A:$A,0),1),IF($E105="VAM",INDEX(C_Type_Volume!M:M,MATCH($D105,C_Type_Volume!$A:$A,0),1),"X")),"")</f>
        <v>17126</v>
      </c>
      <c r="BL105" s="38">
        <f>SUM(Table1[[#This Row],[Jan_AVF]:[Dec_AVF]])</f>
        <v>197481</v>
      </c>
      <c r="BM105" s="16">
        <f t="shared" si="90"/>
        <v>0</v>
      </c>
      <c r="BN105" s="16">
        <f t="shared" si="91"/>
        <v>0</v>
      </c>
      <c r="BO105" s="16">
        <f t="shared" si="92"/>
        <v>0</v>
      </c>
      <c r="BP105" s="16">
        <f t="shared" si="93"/>
        <v>0</v>
      </c>
      <c r="BQ105" s="16">
        <f t="shared" si="94"/>
        <v>0</v>
      </c>
      <c r="BR105" s="16">
        <f t="shared" si="95"/>
        <v>0</v>
      </c>
      <c r="BS105" s="16">
        <f t="shared" si="96"/>
        <v>0</v>
      </c>
      <c r="BT105" s="16">
        <f t="shared" si="97"/>
        <v>0</v>
      </c>
      <c r="BU105" s="16">
        <f t="shared" si="98"/>
        <v>0</v>
      </c>
      <c r="BV105" s="16">
        <f t="shared" si="99"/>
        <v>0</v>
      </c>
      <c r="BW105" s="16">
        <f t="shared" si="100"/>
        <v>0</v>
      </c>
      <c r="BX105" s="16">
        <f t="shared" si="101"/>
        <v>0</v>
      </c>
      <c r="BY105" s="10">
        <f t="shared" si="68"/>
        <v>0</v>
      </c>
      <c r="BZ105" s="10">
        <f t="shared" si="69"/>
        <v>0</v>
      </c>
      <c r="CA105" s="10">
        <f t="shared" si="70"/>
        <v>0</v>
      </c>
      <c r="CB105" s="10">
        <f t="shared" si="71"/>
        <v>0</v>
      </c>
      <c r="CC105" s="10">
        <f>IFERROR(Table1[[#This Row],[Labor
Saving]]*Table1[[#This Row],[Annual Volume]],"")</f>
        <v>0</v>
      </c>
      <c r="CD105" s="10">
        <f>IFERROR(Table1[[#This Row],[Annual Volume]]*Table1[[#This Row],[Yield
Saving]],"")</f>
        <v>0</v>
      </c>
      <c r="CE105" s="10">
        <f>IFERROR(Table1[[#This Row],[Annual Volume]]*Table1[[#This Row],[Material
Saving]],"")</f>
        <v>0</v>
      </c>
      <c r="CF105" s="10">
        <f>IFERROR(Table1[[#This Row],[OH
Saving]]*Table1[[#This Row],[Annual Volume]],"")</f>
        <v>0</v>
      </c>
      <c r="CG105" s="10">
        <f>SUM(Table1[[#This Row],[Labor_ASV]:[OH_ASV]])</f>
        <v>0</v>
      </c>
    </row>
    <row r="106" spans="1:85" x14ac:dyDescent="0.3">
      <c r="A106" t="str">
        <f>Table1[[#This Row],[Project Name]]&amp;Table1[[#This Row],[Part Number]]</f>
        <v>Pt etching increase Frequency usageV16</v>
      </c>
      <c r="B106" t="str">
        <f>IFERROR(Table1[[#This Row],[Project Number]]&amp;Table1[[#This Row],[Part Number]],"")</f>
        <v>AME25-063V16</v>
      </c>
      <c r="C106" s="22" t="s">
        <v>110</v>
      </c>
      <c r="D106" s="24" t="s">
        <v>228</v>
      </c>
      <c r="E106" s="25" t="s">
        <v>60</v>
      </c>
      <c r="F106" s="6">
        <f>INDEX(Proj_Reg!G:G,MATCH($C106,Proj_Reg!$B:$B,0),1)</f>
        <v>46204</v>
      </c>
      <c r="G106" s="6">
        <f>INDEX(Proj_Reg!H:H,MATCH($C106,Proj_Reg!$B:$B,0),1)</f>
        <v>46539</v>
      </c>
      <c r="H106" s="6" t="str">
        <f>IF(INDEX(Proj_Reg!C:C,MATCH($C106,Proj_Reg!$B:$B,0),1)=0,"",INDEX(Proj_Reg!C:C,MATCH($C106,Proj_Reg!$B:$B,0),1))</f>
        <v>Wet Etching</v>
      </c>
      <c r="I106" s="6" t="str">
        <f>IF(INDEX(Proj_Reg!D:D,MATCH($C106,Proj_Reg!$B:$B,0),1)=0,"",INDEX(Proj_Reg!D:D,MATCH($C106,Proj_Reg!$B:$B,0),1))</f>
        <v>XWP</v>
      </c>
      <c r="J106" s="6" t="str">
        <f>INDEX(Proj_Reg!E:E,MATCH($C106,Proj_Reg!$B:$B,0),1)</f>
        <v>Pt etching increase Frequency usage</v>
      </c>
      <c r="K106" s="21">
        <v>0</v>
      </c>
      <c r="L106" s="21">
        <v>0</v>
      </c>
      <c r="M106" s="21">
        <v>0</v>
      </c>
      <c r="N106" s="21">
        <v>0</v>
      </c>
      <c r="O106" s="11">
        <f>SUM(Table1[[#This Row],[Labor
Saving]:[OH
Saving]])</f>
        <v>0</v>
      </c>
      <c r="Q106" s="40">
        <f t="shared" si="52"/>
        <v>0</v>
      </c>
      <c r="R106" s="40">
        <f t="shared" si="53"/>
        <v>0</v>
      </c>
      <c r="S106" s="40">
        <f t="shared" si="54"/>
        <v>0</v>
      </c>
      <c r="T106" s="40">
        <f t="shared" si="55"/>
        <v>0</v>
      </c>
      <c r="U106" s="40">
        <f t="shared" si="56"/>
        <v>0</v>
      </c>
      <c r="V106" s="40">
        <f t="shared" si="57"/>
        <v>0</v>
      </c>
      <c r="W106" s="40">
        <f t="shared" si="58"/>
        <v>5147.0999999999995</v>
      </c>
      <c r="X106" s="40">
        <f t="shared" si="59"/>
        <v>16565</v>
      </c>
      <c r="Y106" s="40">
        <f t="shared" si="60"/>
        <v>17157</v>
      </c>
      <c r="Z106" s="40">
        <f t="shared" si="61"/>
        <v>28730</v>
      </c>
      <c r="AA106" s="40">
        <f t="shared" si="62"/>
        <v>25949</v>
      </c>
      <c r="AB106" s="40">
        <f t="shared" si="63"/>
        <v>23169</v>
      </c>
      <c r="AC106" s="37">
        <f>SUM(Table1[[#This Row],[Jan]:[Dec]])</f>
        <v>116717.1</v>
      </c>
      <c r="AD106" s="15">
        <f t="shared" si="72"/>
        <v>0</v>
      </c>
      <c r="AE106" s="15">
        <f t="shared" si="73"/>
        <v>0</v>
      </c>
      <c r="AF106" s="15">
        <f t="shared" si="74"/>
        <v>0</v>
      </c>
      <c r="AG106" s="15">
        <f t="shared" si="75"/>
        <v>0</v>
      </c>
      <c r="AH106" s="15">
        <f t="shared" si="76"/>
        <v>0</v>
      </c>
      <c r="AI106" s="15">
        <f t="shared" si="77"/>
        <v>0</v>
      </c>
      <c r="AJ106" s="15">
        <f t="shared" si="78"/>
        <v>0</v>
      </c>
      <c r="AK106" s="15">
        <f t="shared" si="79"/>
        <v>0</v>
      </c>
      <c r="AL106" s="15">
        <f t="shared" si="80"/>
        <v>0</v>
      </c>
      <c r="AM106" s="15">
        <f t="shared" si="81"/>
        <v>0</v>
      </c>
      <c r="AN106" s="15">
        <f t="shared" si="82"/>
        <v>0</v>
      </c>
      <c r="AO106" s="15">
        <f t="shared" si="83"/>
        <v>0</v>
      </c>
      <c r="AP106" s="10">
        <f t="shared" si="84"/>
        <v>0</v>
      </c>
      <c r="AQ106" s="10">
        <f t="shared" si="85"/>
        <v>0</v>
      </c>
      <c r="AR106" s="10">
        <f t="shared" si="86"/>
        <v>0</v>
      </c>
      <c r="AS106" s="10">
        <f t="shared" si="87"/>
        <v>0</v>
      </c>
      <c r="AT106" s="10" t="b">
        <f t="shared" si="88"/>
        <v>1</v>
      </c>
      <c r="AU106" s="10">
        <f t="shared" si="64"/>
        <v>0</v>
      </c>
      <c r="AV106" s="10">
        <f t="shared" si="65"/>
        <v>0</v>
      </c>
      <c r="AW106" s="10">
        <f t="shared" si="66"/>
        <v>0</v>
      </c>
      <c r="AX106" s="10">
        <f t="shared" si="67"/>
        <v>0</v>
      </c>
      <c r="AY106" s="10">
        <f t="shared" si="89"/>
        <v>0</v>
      </c>
      <c r="AZ106" s="19">
        <f>IFERROR(IF($E106="REC",INDEX(A_Type_Volume!$B:$B,MATCH($D106,A_Type_Volume!$A:$A,0),1),IF($E106="VAM",INDEX(C_Type_Volume!$B:$B,MATCH($D106,C_Type_Volume!$A:$A,0),1),"X")),"")</f>
        <v>13941</v>
      </c>
      <c r="BA106" s="19">
        <f>IFERROR(IF($E106="REC",INDEX(A_Type_Volume!$C:$C,MATCH($D106,A_Type_Volume!$A:$A,0),1),IF($E106="VAM",INDEX(C_Type_Volume!$C:$C,MATCH($D106,C_Type_Volume!$A:$A,0),1),"X")),"")</f>
        <v>19867</v>
      </c>
      <c r="BB106" s="19">
        <f>IFERROR(IF($E106="REC",INDEX(A_Type_Volume!$D:$D,MATCH($D106,A_Type_Volume!$A:$A,0),1),IF($E106="VAM",INDEX(C_Type_Volume!$D:$D,MATCH($D106,C_Type_Volume!$A:$A,0),1),"X")),"")</f>
        <v>8784</v>
      </c>
      <c r="BC106" s="19">
        <f>IFERROR(IF($E106="REC",INDEX(A_Type_Volume!$E:$E,MATCH($D106,A_Type_Volume!$A:$A,0),1),IF($E106="VAM",INDEX(C_Type_Volume!$E:$E,MATCH($D106,C_Type_Volume!$A:$A,0),1),"X")),"")</f>
        <v>16262</v>
      </c>
      <c r="BD106" s="19">
        <f>IFERROR(IF($E106="REC",INDEX(A_Type_Volume!$F:$F,MATCH($D106,A_Type_Volume!$A:$A,0),1),IF($E106="VAM",INDEX(C_Type_Volume!$F:$F,MATCH($D106,C_Type_Volume!$A:$A,0),1),"X")),"")</f>
        <v>18864</v>
      </c>
      <c r="BE106" s="19">
        <f>IFERROR(IF($E106="REC",INDEX(A_Type_Volume!$G:$G,MATCH($D106,A_Type_Volume!$A:$A,0),1),IF($E106="VAM",INDEX(C_Type_Volume!$G:$G,MATCH($D106,C_Type_Volume!$A:$A,0),1),"X")),"")</f>
        <v>18214</v>
      </c>
      <c r="BF106" s="19">
        <f>IFERROR(IF($E106="REC",INDEX(A_Type_Volume!$H:$H,MATCH($D106,A_Type_Volume!$A:$A,0),1),IF($E106="VAM",INDEX(C_Type_Volume!$H:$H,MATCH($D106,C_Type_Volume!$A:$A,0),1),"X")),"")</f>
        <v>17157</v>
      </c>
      <c r="BG106" s="19">
        <f>IFERROR(IF($E106="REC",INDEX(A_Type_Volume!$I:$I,MATCH($D106,A_Type_Volume!$A:$A,0),1),IF($E106="VAM",INDEX(C_Type_Volume!$I:$I,MATCH($D106,C_Type_Volume!$A:$A,0),1),"X")),"")</f>
        <v>16565</v>
      </c>
      <c r="BH106" s="19">
        <f>IFERROR(IF($E106="REC",INDEX(A_Type_Volume!$J:$J,MATCH($D106,A_Type_Volume!$A:$A,0),1),IF($E106="VAM",INDEX(C_Type_Volume!$J:$J,MATCH($D106,C_Type_Volume!$A:$A,0),1),"X")),"")</f>
        <v>17157</v>
      </c>
      <c r="BI106" s="19">
        <f>IFERROR(IF($E106="REC",INDEX(A_Type_Volume!$K:$K,MATCH($D106,A_Type_Volume!$A:$A,0),1),IF($E106="VAM",INDEX(C_Type_Volume!$K:$K,MATCH($D106,C_Type_Volume!$A:$A,0),1),"X")),"")</f>
        <v>28730</v>
      </c>
      <c r="BJ106" s="19">
        <f>IFERROR(IF($E106="REC",INDEX(A_Type_Volume!$L:$L,MATCH($D106,A_Type_Volume!$A:$A,0),1),IF($E106="VAM",INDEX(C_Type_Volume!$L:$L,MATCH($D106,C_Type_Volume!$A:$A,0),1),"X")),"")</f>
        <v>25949</v>
      </c>
      <c r="BK106" s="19">
        <f>IFERROR(IF($E106="REC",INDEX(A_Type_Volume!M:M,MATCH($D106,A_Type_Volume!$A:$A,0),1),IF($E106="VAM",INDEX(C_Type_Volume!M:M,MATCH($D106,C_Type_Volume!$A:$A,0),1),"X")),"")</f>
        <v>23169</v>
      </c>
      <c r="BL106" s="38">
        <f>SUM(Table1[[#This Row],[Jan_AVF]:[Dec_AVF]])</f>
        <v>224659</v>
      </c>
      <c r="BM106" s="16">
        <f t="shared" si="90"/>
        <v>0</v>
      </c>
      <c r="BN106" s="16">
        <f t="shared" si="91"/>
        <v>0</v>
      </c>
      <c r="BO106" s="16">
        <f t="shared" si="92"/>
        <v>0</v>
      </c>
      <c r="BP106" s="16">
        <f t="shared" si="93"/>
        <v>0</v>
      </c>
      <c r="BQ106" s="16">
        <f t="shared" si="94"/>
        <v>0</v>
      </c>
      <c r="BR106" s="16">
        <f t="shared" si="95"/>
        <v>0</v>
      </c>
      <c r="BS106" s="16">
        <f t="shared" si="96"/>
        <v>0</v>
      </c>
      <c r="BT106" s="16">
        <f t="shared" si="97"/>
        <v>0</v>
      </c>
      <c r="BU106" s="16">
        <f t="shared" si="98"/>
        <v>0</v>
      </c>
      <c r="BV106" s="16">
        <f t="shared" si="99"/>
        <v>0</v>
      </c>
      <c r="BW106" s="16">
        <f t="shared" si="100"/>
        <v>0</v>
      </c>
      <c r="BX106" s="16">
        <f t="shared" si="101"/>
        <v>0</v>
      </c>
      <c r="BY106" s="10">
        <f t="shared" si="68"/>
        <v>0</v>
      </c>
      <c r="BZ106" s="10">
        <f t="shared" si="69"/>
        <v>0</v>
      </c>
      <c r="CA106" s="10">
        <f t="shared" si="70"/>
        <v>0</v>
      </c>
      <c r="CB106" s="10">
        <f t="shared" si="71"/>
        <v>0</v>
      </c>
      <c r="CC106" s="10">
        <f>IFERROR(Table1[[#This Row],[Labor
Saving]]*Table1[[#This Row],[Annual Volume]],"")</f>
        <v>0</v>
      </c>
      <c r="CD106" s="10">
        <f>IFERROR(Table1[[#This Row],[Annual Volume]]*Table1[[#This Row],[Yield
Saving]],"")</f>
        <v>0</v>
      </c>
      <c r="CE106" s="10">
        <f>IFERROR(Table1[[#This Row],[Annual Volume]]*Table1[[#This Row],[Material
Saving]],"")</f>
        <v>0</v>
      </c>
      <c r="CF106" s="10">
        <f>IFERROR(Table1[[#This Row],[OH
Saving]]*Table1[[#This Row],[Annual Volume]],"")</f>
        <v>0</v>
      </c>
      <c r="CG106" s="10">
        <f>SUM(Table1[[#This Row],[Labor_ASV]:[OH_ASV]])</f>
        <v>0</v>
      </c>
    </row>
    <row r="107" spans="1:85" x14ac:dyDescent="0.3">
      <c r="A107" t="str">
        <f>Table1[[#This Row],[Project Name]]&amp;Table1[[#This Row],[Part Number]]</f>
        <v>Au etching increase Frequency usageV17</v>
      </c>
      <c r="B107" t="str">
        <f>IFERROR(Table1[[#This Row],[Project Number]]&amp;Table1[[#This Row],[Part Number]],"")</f>
        <v>AME25-064V17</v>
      </c>
      <c r="C107" s="22" t="s">
        <v>111</v>
      </c>
      <c r="D107" s="24" t="s">
        <v>229</v>
      </c>
      <c r="E107" s="25" t="s">
        <v>60</v>
      </c>
      <c r="F107" s="6">
        <f>INDEX(Proj_Reg!G:G,MATCH($C107,Proj_Reg!$B:$B,0),1)</f>
        <v>46204</v>
      </c>
      <c r="G107" s="6">
        <f>INDEX(Proj_Reg!H:H,MATCH($C107,Proj_Reg!$B:$B,0),1)</f>
        <v>46539</v>
      </c>
      <c r="H107" s="6" t="str">
        <f>IF(INDEX(Proj_Reg!C:C,MATCH($C107,Proj_Reg!$B:$B,0),1)=0,"",INDEX(Proj_Reg!C:C,MATCH($C107,Proj_Reg!$B:$B,0),1))</f>
        <v>Wet Etching</v>
      </c>
      <c r="I107" s="6" t="str">
        <f>IF(INDEX(Proj_Reg!D:D,MATCH($C107,Proj_Reg!$B:$B,0),1)=0,"",INDEX(Proj_Reg!D:D,MATCH($C107,Proj_Reg!$B:$B,0),1))</f>
        <v>XWP</v>
      </c>
      <c r="J107" s="6" t="str">
        <f>INDEX(Proj_Reg!E:E,MATCH($C107,Proj_Reg!$B:$B,0),1)</f>
        <v>Au etching increase Frequency usage</v>
      </c>
      <c r="K107" s="21">
        <v>0</v>
      </c>
      <c r="L107" s="21">
        <v>0</v>
      </c>
      <c r="M107" s="21">
        <v>0</v>
      </c>
      <c r="N107" s="21">
        <v>0</v>
      </c>
      <c r="O107" s="11">
        <f>SUM(Table1[[#This Row],[Labor
Saving]:[OH
Saving]])</f>
        <v>0</v>
      </c>
      <c r="Q107" s="40">
        <f t="shared" si="52"/>
        <v>0</v>
      </c>
      <c r="R107" s="40">
        <f t="shared" si="53"/>
        <v>0</v>
      </c>
      <c r="S107" s="40">
        <f t="shared" si="54"/>
        <v>0</v>
      </c>
      <c r="T107" s="40">
        <f t="shared" si="55"/>
        <v>0</v>
      </c>
      <c r="U107" s="40">
        <f t="shared" si="56"/>
        <v>0</v>
      </c>
      <c r="V107" s="40">
        <f t="shared" si="57"/>
        <v>0</v>
      </c>
      <c r="W107" s="40">
        <f t="shared" si="58"/>
        <v>3824.7</v>
      </c>
      <c r="X107" s="40">
        <f t="shared" si="59"/>
        <v>12309</v>
      </c>
      <c r="Y107" s="40">
        <f t="shared" si="60"/>
        <v>12749</v>
      </c>
      <c r="Z107" s="40">
        <f t="shared" si="61"/>
        <v>15081</v>
      </c>
      <c r="AA107" s="40">
        <f t="shared" si="62"/>
        <v>13621</v>
      </c>
      <c r="AB107" s="40">
        <f t="shared" si="63"/>
        <v>12162</v>
      </c>
      <c r="AC107" s="37">
        <f>SUM(Table1[[#This Row],[Jan]:[Dec]])</f>
        <v>69746.7</v>
      </c>
      <c r="AD107" s="15">
        <f t="shared" si="72"/>
        <v>0</v>
      </c>
      <c r="AE107" s="15">
        <f t="shared" si="73"/>
        <v>0</v>
      </c>
      <c r="AF107" s="15">
        <f t="shared" si="74"/>
        <v>0</v>
      </c>
      <c r="AG107" s="15">
        <f t="shared" si="75"/>
        <v>0</v>
      </c>
      <c r="AH107" s="15">
        <f t="shared" si="76"/>
        <v>0</v>
      </c>
      <c r="AI107" s="15">
        <f t="shared" si="77"/>
        <v>0</v>
      </c>
      <c r="AJ107" s="15">
        <f t="shared" si="78"/>
        <v>0</v>
      </c>
      <c r="AK107" s="15">
        <f t="shared" si="79"/>
        <v>0</v>
      </c>
      <c r="AL107" s="15">
        <f t="shared" si="80"/>
        <v>0</v>
      </c>
      <c r="AM107" s="15">
        <f t="shared" si="81"/>
        <v>0</v>
      </c>
      <c r="AN107" s="15">
        <f t="shared" si="82"/>
        <v>0</v>
      </c>
      <c r="AO107" s="15">
        <f t="shared" si="83"/>
        <v>0</v>
      </c>
      <c r="AP107" s="10">
        <f t="shared" si="84"/>
        <v>0</v>
      </c>
      <c r="AQ107" s="10">
        <f t="shared" si="85"/>
        <v>0</v>
      </c>
      <c r="AR107" s="10">
        <f t="shared" si="86"/>
        <v>0</v>
      </c>
      <c r="AS107" s="10">
        <f t="shared" si="87"/>
        <v>0</v>
      </c>
      <c r="AT107" s="10" t="b">
        <f t="shared" si="88"/>
        <v>1</v>
      </c>
      <c r="AU107" s="10">
        <f t="shared" si="64"/>
        <v>0</v>
      </c>
      <c r="AV107" s="10">
        <f t="shared" si="65"/>
        <v>0</v>
      </c>
      <c r="AW107" s="10">
        <f t="shared" si="66"/>
        <v>0</v>
      </c>
      <c r="AX107" s="10">
        <f t="shared" si="67"/>
        <v>0</v>
      </c>
      <c r="AY107" s="10">
        <f t="shared" si="89"/>
        <v>0</v>
      </c>
      <c r="AZ107" s="19">
        <f>IFERROR(IF($E107="REC",INDEX(A_Type_Volume!$B:$B,MATCH($D107,A_Type_Volume!$A:$A,0),1),IF($E107="VAM",INDEX(C_Type_Volume!$B:$B,MATCH($D107,C_Type_Volume!$A:$A,0),1),"X")),"")</f>
        <v>17378</v>
      </c>
      <c r="BA107" s="19">
        <f>IFERROR(IF($E107="REC",INDEX(A_Type_Volume!$C:$C,MATCH($D107,A_Type_Volume!$A:$A,0),1),IF($E107="VAM",INDEX(C_Type_Volume!$C:$C,MATCH($D107,C_Type_Volume!$A:$A,0),1),"X")),"")</f>
        <v>13642</v>
      </c>
      <c r="BB107" s="19">
        <f>IFERROR(IF($E107="REC",INDEX(A_Type_Volume!$D:$D,MATCH($D107,A_Type_Volume!$A:$A,0),1),IF($E107="VAM",INDEX(C_Type_Volume!$D:$D,MATCH($D107,C_Type_Volume!$A:$A,0),1),"X")),"")</f>
        <v>8383</v>
      </c>
      <c r="BC107" s="19">
        <f>IFERROR(IF($E107="REC",INDEX(A_Type_Volume!$E:$E,MATCH($D107,A_Type_Volume!$A:$A,0),1),IF($E107="VAM",INDEX(C_Type_Volume!$E:$E,MATCH($D107,C_Type_Volume!$A:$A,0),1),"X")),"")</f>
        <v>12018</v>
      </c>
      <c r="BD107" s="19">
        <f>IFERROR(IF($E107="REC",INDEX(A_Type_Volume!$F:$F,MATCH($D107,A_Type_Volume!$A:$A,0),1),IF($E107="VAM",INDEX(C_Type_Volume!$F:$F,MATCH($D107,C_Type_Volume!$A:$A,0),1),"X")),"")</f>
        <v>13941</v>
      </c>
      <c r="BE107" s="19">
        <f>IFERROR(IF($E107="REC",INDEX(A_Type_Volume!$G:$G,MATCH($D107,A_Type_Volume!$A:$A,0),1),IF($E107="VAM",INDEX(C_Type_Volume!$G:$G,MATCH($D107,C_Type_Volume!$A:$A,0),1),"X")),"")</f>
        <v>13460</v>
      </c>
      <c r="BF107" s="19">
        <f>IFERROR(IF($E107="REC",INDEX(A_Type_Volume!$H:$H,MATCH($D107,A_Type_Volume!$A:$A,0),1),IF($E107="VAM",INDEX(C_Type_Volume!$H:$H,MATCH($D107,C_Type_Volume!$A:$A,0),1),"X")),"")</f>
        <v>12749</v>
      </c>
      <c r="BG107" s="19">
        <f>IFERROR(IF($E107="REC",INDEX(A_Type_Volume!$I:$I,MATCH($D107,A_Type_Volume!$A:$A,0),1),IF($E107="VAM",INDEX(C_Type_Volume!$I:$I,MATCH($D107,C_Type_Volume!$A:$A,0),1),"X")),"")</f>
        <v>12309</v>
      </c>
      <c r="BH107" s="19">
        <f>IFERROR(IF($E107="REC",INDEX(A_Type_Volume!$J:$J,MATCH($D107,A_Type_Volume!$A:$A,0),1),IF($E107="VAM",INDEX(C_Type_Volume!$J:$J,MATCH($D107,C_Type_Volume!$A:$A,0),1),"X")),"")</f>
        <v>12749</v>
      </c>
      <c r="BI107" s="19">
        <f>IFERROR(IF($E107="REC",INDEX(A_Type_Volume!$K:$K,MATCH($D107,A_Type_Volume!$A:$A,0),1),IF($E107="VAM",INDEX(C_Type_Volume!$K:$K,MATCH($D107,C_Type_Volume!$A:$A,0),1),"X")),"")</f>
        <v>15081</v>
      </c>
      <c r="BJ107" s="19">
        <f>IFERROR(IF($E107="REC",INDEX(A_Type_Volume!$L:$L,MATCH($D107,A_Type_Volume!$A:$A,0),1),IF($E107="VAM",INDEX(C_Type_Volume!$L:$L,MATCH($D107,C_Type_Volume!$A:$A,0),1),"X")),"")</f>
        <v>13621</v>
      </c>
      <c r="BK107" s="19">
        <f>IFERROR(IF($E107="REC",INDEX(A_Type_Volume!M:M,MATCH($D107,A_Type_Volume!$A:$A,0),1),IF($E107="VAM",INDEX(C_Type_Volume!M:M,MATCH($D107,C_Type_Volume!$A:$A,0),1),"X")),"")</f>
        <v>12162</v>
      </c>
      <c r="BL107" s="38">
        <f>SUM(Table1[[#This Row],[Jan_AVF]:[Dec_AVF]])</f>
        <v>157493</v>
      </c>
      <c r="BM107" s="16">
        <f t="shared" si="90"/>
        <v>0</v>
      </c>
      <c r="BN107" s="16">
        <f t="shared" si="91"/>
        <v>0</v>
      </c>
      <c r="BO107" s="16">
        <f t="shared" si="92"/>
        <v>0</v>
      </c>
      <c r="BP107" s="16">
        <f t="shared" si="93"/>
        <v>0</v>
      </c>
      <c r="BQ107" s="16">
        <f t="shared" si="94"/>
        <v>0</v>
      </c>
      <c r="BR107" s="16">
        <f t="shared" si="95"/>
        <v>0</v>
      </c>
      <c r="BS107" s="16">
        <f t="shared" si="96"/>
        <v>0</v>
      </c>
      <c r="BT107" s="16">
        <f t="shared" si="97"/>
        <v>0</v>
      </c>
      <c r="BU107" s="16">
        <f t="shared" si="98"/>
        <v>0</v>
      </c>
      <c r="BV107" s="16">
        <f t="shared" si="99"/>
        <v>0</v>
      </c>
      <c r="BW107" s="16">
        <f t="shared" si="100"/>
        <v>0</v>
      </c>
      <c r="BX107" s="16">
        <f t="shared" si="101"/>
        <v>0</v>
      </c>
      <c r="BY107" s="10">
        <f t="shared" si="68"/>
        <v>0</v>
      </c>
      <c r="BZ107" s="10">
        <f t="shared" si="69"/>
        <v>0</v>
      </c>
      <c r="CA107" s="10">
        <f t="shared" si="70"/>
        <v>0</v>
      </c>
      <c r="CB107" s="10">
        <f t="shared" si="71"/>
        <v>0</v>
      </c>
      <c r="CC107" s="10">
        <f>IFERROR(Table1[[#This Row],[Labor
Saving]]*Table1[[#This Row],[Annual Volume]],"")</f>
        <v>0</v>
      </c>
      <c r="CD107" s="10">
        <f>IFERROR(Table1[[#This Row],[Annual Volume]]*Table1[[#This Row],[Yield
Saving]],"")</f>
        <v>0</v>
      </c>
      <c r="CE107" s="10">
        <f>IFERROR(Table1[[#This Row],[Annual Volume]]*Table1[[#This Row],[Material
Saving]],"")</f>
        <v>0</v>
      </c>
      <c r="CF107" s="10">
        <f>IFERROR(Table1[[#This Row],[OH
Saving]]*Table1[[#This Row],[Annual Volume]],"")</f>
        <v>0</v>
      </c>
      <c r="CG107" s="10">
        <f>SUM(Table1[[#This Row],[Labor_ASV]:[OH_ASV]])</f>
        <v>0</v>
      </c>
    </row>
    <row r="108" spans="1:85" x14ac:dyDescent="0.3">
      <c r="A108" t="str">
        <f>Table1[[#This Row],[Project Name]]&amp;Table1[[#This Row],[Part Number]]</f>
        <v>Au etching increase Frequency usageV18</v>
      </c>
      <c r="B108" t="str">
        <f>IFERROR(Table1[[#This Row],[Project Number]]&amp;Table1[[#This Row],[Part Number]],"")</f>
        <v>AME25-064V18</v>
      </c>
      <c r="C108" s="22" t="s">
        <v>111</v>
      </c>
      <c r="D108" s="24" t="s">
        <v>230</v>
      </c>
      <c r="E108" s="25" t="s">
        <v>60</v>
      </c>
      <c r="F108" s="6">
        <f>INDEX(Proj_Reg!G:G,MATCH($C108,Proj_Reg!$B:$B,0),1)</f>
        <v>46204</v>
      </c>
      <c r="G108" s="6">
        <f>INDEX(Proj_Reg!H:H,MATCH($C108,Proj_Reg!$B:$B,0),1)</f>
        <v>46539</v>
      </c>
      <c r="H108" s="6" t="str">
        <f>IF(INDEX(Proj_Reg!C:C,MATCH($C108,Proj_Reg!$B:$B,0),1)=0,"",INDEX(Proj_Reg!C:C,MATCH($C108,Proj_Reg!$B:$B,0),1))</f>
        <v>Wet Etching</v>
      </c>
      <c r="I108" s="6" t="str">
        <f>IF(INDEX(Proj_Reg!D:D,MATCH($C108,Proj_Reg!$B:$B,0),1)=0,"",INDEX(Proj_Reg!D:D,MATCH($C108,Proj_Reg!$B:$B,0),1))</f>
        <v>XWP</v>
      </c>
      <c r="J108" s="6" t="str">
        <f>INDEX(Proj_Reg!E:E,MATCH($C108,Proj_Reg!$B:$B,0),1)</f>
        <v>Au etching increase Frequency usage</v>
      </c>
      <c r="K108" s="21">
        <v>0</v>
      </c>
      <c r="L108" s="21">
        <v>0</v>
      </c>
      <c r="M108" s="21">
        <v>0</v>
      </c>
      <c r="N108" s="21">
        <v>0</v>
      </c>
      <c r="O108" s="11">
        <f>SUM(Table1[[#This Row],[Labor
Saving]:[OH
Saving]])</f>
        <v>0</v>
      </c>
      <c r="Q108" s="40">
        <f t="shared" si="52"/>
        <v>0</v>
      </c>
      <c r="R108" s="40">
        <f t="shared" si="53"/>
        <v>0</v>
      </c>
      <c r="S108" s="40">
        <f t="shared" si="54"/>
        <v>0</v>
      </c>
      <c r="T108" s="40">
        <f t="shared" si="55"/>
        <v>0</v>
      </c>
      <c r="U108" s="40">
        <f t="shared" si="56"/>
        <v>0</v>
      </c>
      <c r="V108" s="40">
        <f t="shared" si="57"/>
        <v>0</v>
      </c>
      <c r="W108" s="40">
        <f t="shared" si="58"/>
        <v>2607</v>
      </c>
      <c r="X108" s="40">
        <f t="shared" si="59"/>
        <v>8391</v>
      </c>
      <c r="Y108" s="40">
        <f t="shared" si="60"/>
        <v>8690</v>
      </c>
      <c r="Z108" s="40">
        <f t="shared" si="61"/>
        <v>11062</v>
      </c>
      <c r="AA108" s="40">
        <f t="shared" si="62"/>
        <v>9992</v>
      </c>
      <c r="AB108" s="40">
        <f t="shared" si="63"/>
        <v>8921</v>
      </c>
      <c r="AC108" s="37">
        <f>SUM(Table1[[#This Row],[Jan]:[Dec]])</f>
        <v>49663</v>
      </c>
      <c r="AD108" s="15">
        <f t="shared" si="72"/>
        <v>0</v>
      </c>
      <c r="AE108" s="15">
        <f t="shared" si="73"/>
        <v>0</v>
      </c>
      <c r="AF108" s="15">
        <f t="shared" si="74"/>
        <v>0</v>
      </c>
      <c r="AG108" s="15">
        <f t="shared" si="75"/>
        <v>0</v>
      </c>
      <c r="AH108" s="15">
        <f t="shared" si="76"/>
        <v>0</v>
      </c>
      <c r="AI108" s="15">
        <f t="shared" si="77"/>
        <v>0</v>
      </c>
      <c r="AJ108" s="15">
        <f t="shared" si="78"/>
        <v>0</v>
      </c>
      <c r="AK108" s="15">
        <f t="shared" si="79"/>
        <v>0</v>
      </c>
      <c r="AL108" s="15">
        <f t="shared" si="80"/>
        <v>0</v>
      </c>
      <c r="AM108" s="15">
        <f t="shared" si="81"/>
        <v>0</v>
      </c>
      <c r="AN108" s="15">
        <f t="shared" si="82"/>
        <v>0</v>
      </c>
      <c r="AO108" s="15">
        <f t="shared" si="83"/>
        <v>0</v>
      </c>
      <c r="AP108" s="10">
        <f t="shared" si="84"/>
        <v>0</v>
      </c>
      <c r="AQ108" s="10">
        <f t="shared" si="85"/>
        <v>0</v>
      </c>
      <c r="AR108" s="10">
        <f t="shared" si="86"/>
        <v>0</v>
      </c>
      <c r="AS108" s="10">
        <f t="shared" si="87"/>
        <v>0</v>
      </c>
      <c r="AT108" s="10" t="b">
        <f t="shared" si="88"/>
        <v>1</v>
      </c>
      <c r="AU108" s="10">
        <f t="shared" si="64"/>
        <v>0</v>
      </c>
      <c r="AV108" s="10">
        <f t="shared" si="65"/>
        <v>0</v>
      </c>
      <c r="AW108" s="10">
        <f t="shared" si="66"/>
        <v>0</v>
      </c>
      <c r="AX108" s="10">
        <f t="shared" si="67"/>
        <v>0</v>
      </c>
      <c r="AY108" s="10">
        <f t="shared" si="89"/>
        <v>0</v>
      </c>
      <c r="AZ108" s="19">
        <f>IFERROR(IF($E108="REC",INDEX(A_Type_Volume!$B:$B,MATCH($D108,A_Type_Volume!$A:$A,0),1),IF($E108="VAM",INDEX(C_Type_Volume!$B:$B,MATCH($D108,C_Type_Volume!$A:$A,0),1),"X")),"")</f>
        <v>6319</v>
      </c>
      <c r="BA108" s="19">
        <f>IFERROR(IF($E108="REC",INDEX(A_Type_Volume!$C:$C,MATCH($D108,A_Type_Volume!$A:$A,0),1),IF($E108="VAM",INDEX(C_Type_Volume!$C:$C,MATCH($D108,C_Type_Volume!$A:$A,0),1),"X")),"")</f>
        <v>7692</v>
      </c>
      <c r="BB108" s="19">
        <f>IFERROR(IF($E108="REC",INDEX(A_Type_Volume!$D:$D,MATCH($D108,A_Type_Volume!$A:$A,0),1),IF($E108="VAM",INDEX(C_Type_Volume!$D:$D,MATCH($D108,C_Type_Volume!$A:$A,0),1),"X")),"")</f>
        <v>20120</v>
      </c>
      <c r="BC108" s="19">
        <f>IFERROR(IF($E108="REC",INDEX(A_Type_Volume!$E:$E,MATCH($D108,A_Type_Volume!$A:$A,0),1),IF($E108="VAM",INDEX(C_Type_Volume!$E:$E,MATCH($D108,C_Type_Volume!$A:$A,0),1),"X")),"")</f>
        <v>8276</v>
      </c>
      <c r="BD108" s="19">
        <f>IFERROR(IF($E108="REC",INDEX(A_Type_Volume!$F:$F,MATCH($D108,A_Type_Volume!$A:$A,0),1),IF($E108="VAM",INDEX(C_Type_Volume!$F:$F,MATCH($D108,C_Type_Volume!$A:$A,0),1),"X")),"")</f>
        <v>9601</v>
      </c>
      <c r="BE108" s="19">
        <f>IFERROR(IF($E108="REC",INDEX(A_Type_Volume!$G:$G,MATCH($D108,A_Type_Volume!$A:$A,0),1),IF($E108="VAM",INDEX(C_Type_Volume!$G:$G,MATCH($D108,C_Type_Volume!$A:$A,0),1),"X")),"")</f>
        <v>9270</v>
      </c>
      <c r="BF108" s="19">
        <f>IFERROR(IF($E108="REC",INDEX(A_Type_Volume!$H:$H,MATCH($D108,A_Type_Volume!$A:$A,0),1),IF($E108="VAM",INDEX(C_Type_Volume!$H:$H,MATCH($D108,C_Type_Volume!$A:$A,0),1),"X")),"")</f>
        <v>8690</v>
      </c>
      <c r="BG108" s="19">
        <f>IFERROR(IF($E108="REC",INDEX(A_Type_Volume!$I:$I,MATCH($D108,A_Type_Volume!$A:$A,0),1),IF($E108="VAM",INDEX(C_Type_Volume!$I:$I,MATCH($D108,C_Type_Volume!$A:$A,0),1),"X")),"")</f>
        <v>8391</v>
      </c>
      <c r="BH108" s="19">
        <f>IFERROR(IF($E108="REC",INDEX(A_Type_Volume!$J:$J,MATCH($D108,A_Type_Volume!$A:$A,0),1),IF($E108="VAM",INDEX(C_Type_Volume!$J:$J,MATCH($D108,C_Type_Volume!$A:$A,0),1),"X")),"")</f>
        <v>8690</v>
      </c>
      <c r="BI108" s="19">
        <f>IFERROR(IF($E108="REC",INDEX(A_Type_Volume!$K:$K,MATCH($D108,A_Type_Volume!$A:$A,0),1),IF($E108="VAM",INDEX(C_Type_Volume!$K:$K,MATCH($D108,C_Type_Volume!$A:$A,0),1),"X")),"")</f>
        <v>11062</v>
      </c>
      <c r="BJ108" s="19">
        <f>IFERROR(IF($E108="REC",INDEX(A_Type_Volume!$L:$L,MATCH($D108,A_Type_Volume!$A:$A,0),1),IF($E108="VAM",INDEX(C_Type_Volume!$L:$L,MATCH($D108,C_Type_Volume!$A:$A,0),1),"X")),"")</f>
        <v>9992</v>
      </c>
      <c r="BK108" s="19">
        <f>IFERROR(IF($E108="REC",INDEX(A_Type_Volume!M:M,MATCH($D108,A_Type_Volume!$A:$A,0),1),IF($E108="VAM",INDEX(C_Type_Volume!M:M,MATCH($D108,C_Type_Volume!$A:$A,0),1),"X")),"")</f>
        <v>8921</v>
      </c>
      <c r="BL108" s="38">
        <f>SUM(Table1[[#This Row],[Jan_AVF]:[Dec_AVF]])</f>
        <v>117024</v>
      </c>
      <c r="BM108" s="16">
        <f t="shared" si="90"/>
        <v>0</v>
      </c>
      <c r="BN108" s="16">
        <f t="shared" si="91"/>
        <v>0</v>
      </c>
      <c r="BO108" s="16">
        <f t="shared" si="92"/>
        <v>0</v>
      </c>
      <c r="BP108" s="16">
        <f t="shared" si="93"/>
        <v>0</v>
      </c>
      <c r="BQ108" s="16">
        <f t="shared" si="94"/>
        <v>0</v>
      </c>
      <c r="BR108" s="16">
        <f t="shared" si="95"/>
        <v>0</v>
      </c>
      <c r="BS108" s="16">
        <f t="shared" si="96"/>
        <v>0</v>
      </c>
      <c r="BT108" s="16">
        <f t="shared" si="97"/>
        <v>0</v>
      </c>
      <c r="BU108" s="16">
        <f t="shared" si="98"/>
        <v>0</v>
      </c>
      <c r="BV108" s="16">
        <f t="shared" si="99"/>
        <v>0</v>
      </c>
      <c r="BW108" s="16">
        <f t="shared" si="100"/>
        <v>0</v>
      </c>
      <c r="BX108" s="16">
        <f t="shared" si="101"/>
        <v>0</v>
      </c>
      <c r="BY108" s="10">
        <f t="shared" si="68"/>
        <v>0</v>
      </c>
      <c r="BZ108" s="10">
        <f t="shared" si="69"/>
        <v>0</v>
      </c>
      <c r="CA108" s="10">
        <f t="shared" si="70"/>
        <v>0</v>
      </c>
      <c r="CB108" s="10">
        <f t="shared" si="71"/>
        <v>0</v>
      </c>
      <c r="CC108" s="10">
        <f>IFERROR(Table1[[#This Row],[Labor
Saving]]*Table1[[#This Row],[Annual Volume]],"")</f>
        <v>0</v>
      </c>
      <c r="CD108" s="10">
        <f>IFERROR(Table1[[#This Row],[Annual Volume]]*Table1[[#This Row],[Yield
Saving]],"")</f>
        <v>0</v>
      </c>
      <c r="CE108" s="10">
        <f>IFERROR(Table1[[#This Row],[Annual Volume]]*Table1[[#This Row],[Material
Saving]],"")</f>
        <v>0</v>
      </c>
      <c r="CF108" s="10">
        <f>IFERROR(Table1[[#This Row],[OH
Saving]]*Table1[[#This Row],[Annual Volume]],"")</f>
        <v>0</v>
      </c>
      <c r="CG108" s="10">
        <f>SUM(Table1[[#This Row],[Labor_ASV]:[OH_ASV]])</f>
        <v>0</v>
      </c>
    </row>
    <row r="109" spans="1:85" x14ac:dyDescent="0.3">
      <c r="A109" t="str">
        <f>Table1[[#This Row],[Project Name]]&amp;Table1[[#This Row],[Part Number]]</f>
        <v>Au etching increase Frequency usageV19</v>
      </c>
      <c r="B109" t="str">
        <f>IFERROR(Table1[[#This Row],[Project Number]]&amp;Table1[[#This Row],[Part Number]],"")</f>
        <v>AME25-064V19</v>
      </c>
      <c r="C109" s="22" t="s">
        <v>111</v>
      </c>
      <c r="D109" s="24" t="s">
        <v>231</v>
      </c>
      <c r="E109" s="25" t="s">
        <v>60</v>
      </c>
      <c r="F109" s="6">
        <f>INDEX(Proj_Reg!G:G,MATCH($C109,Proj_Reg!$B:$B,0),1)</f>
        <v>46204</v>
      </c>
      <c r="G109" s="6">
        <f>INDEX(Proj_Reg!H:H,MATCH($C109,Proj_Reg!$B:$B,0),1)</f>
        <v>46539</v>
      </c>
      <c r="H109" s="6" t="str">
        <f>IF(INDEX(Proj_Reg!C:C,MATCH($C109,Proj_Reg!$B:$B,0),1)=0,"",INDEX(Proj_Reg!C:C,MATCH($C109,Proj_Reg!$B:$B,0),1))</f>
        <v>Wet Etching</v>
      </c>
      <c r="I109" s="6" t="str">
        <f>IF(INDEX(Proj_Reg!D:D,MATCH($C109,Proj_Reg!$B:$B,0),1)=0,"",INDEX(Proj_Reg!D:D,MATCH($C109,Proj_Reg!$B:$B,0),1))</f>
        <v>XWP</v>
      </c>
      <c r="J109" s="6" t="str">
        <f>INDEX(Proj_Reg!E:E,MATCH($C109,Proj_Reg!$B:$B,0),1)</f>
        <v>Au etching increase Frequency usage</v>
      </c>
      <c r="K109" s="21">
        <v>0</v>
      </c>
      <c r="L109" s="21">
        <v>0</v>
      </c>
      <c r="M109" s="21">
        <v>0</v>
      </c>
      <c r="N109" s="21">
        <v>0</v>
      </c>
      <c r="O109" s="11">
        <f>SUM(Table1[[#This Row],[Labor
Saving]:[OH
Saving]])</f>
        <v>0</v>
      </c>
      <c r="Q109" s="40">
        <f t="shared" si="52"/>
        <v>0</v>
      </c>
      <c r="R109" s="40">
        <f t="shared" si="53"/>
        <v>0</v>
      </c>
      <c r="S109" s="40">
        <f t="shared" si="54"/>
        <v>0</v>
      </c>
      <c r="T109" s="40">
        <f t="shared" si="55"/>
        <v>0</v>
      </c>
      <c r="U109" s="40">
        <f t="shared" si="56"/>
        <v>0</v>
      </c>
      <c r="V109" s="40">
        <f t="shared" si="57"/>
        <v>0</v>
      </c>
      <c r="W109" s="40">
        <f t="shared" si="58"/>
        <v>12949.5</v>
      </c>
      <c r="X109" s="40">
        <f t="shared" si="59"/>
        <v>41676</v>
      </c>
      <c r="Y109" s="40">
        <f t="shared" si="60"/>
        <v>43165</v>
      </c>
      <c r="Z109" s="40">
        <f t="shared" si="61"/>
        <v>45242</v>
      </c>
      <c r="AA109" s="40">
        <f t="shared" si="62"/>
        <v>40864</v>
      </c>
      <c r="AB109" s="40">
        <f t="shared" si="63"/>
        <v>36486</v>
      </c>
      <c r="AC109" s="37">
        <f>SUM(Table1[[#This Row],[Jan]:[Dec]])</f>
        <v>220382.5</v>
      </c>
      <c r="AD109" s="15">
        <f t="shared" si="72"/>
        <v>0</v>
      </c>
      <c r="AE109" s="15">
        <f t="shared" si="73"/>
        <v>0</v>
      </c>
      <c r="AF109" s="15">
        <f t="shared" si="74"/>
        <v>0</v>
      </c>
      <c r="AG109" s="15">
        <f t="shared" si="75"/>
        <v>0</v>
      </c>
      <c r="AH109" s="15">
        <f t="shared" si="76"/>
        <v>0</v>
      </c>
      <c r="AI109" s="15">
        <f t="shared" si="77"/>
        <v>0</v>
      </c>
      <c r="AJ109" s="15">
        <f t="shared" si="78"/>
        <v>0</v>
      </c>
      <c r="AK109" s="15">
        <f t="shared" si="79"/>
        <v>0</v>
      </c>
      <c r="AL109" s="15">
        <f t="shared" si="80"/>
        <v>0</v>
      </c>
      <c r="AM109" s="15">
        <f t="shared" si="81"/>
        <v>0</v>
      </c>
      <c r="AN109" s="15">
        <f t="shared" si="82"/>
        <v>0</v>
      </c>
      <c r="AO109" s="15">
        <f t="shared" si="83"/>
        <v>0</v>
      </c>
      <c r="AP109" s="10">
        <f t="shared" si="84"/>
        <v>0</v>
      </c>
      <c r="AQ109" s="10">
        <f t="shared" si="85"/>
        <v>0</v>
      </c>
      <c r="AR109" s="10">
        <f t="shared" si="86"/>
        <v>0</v>
      </c>
      <c r="AS109" s="10">
        <f t="shared" si="87"/>
        <v>0</v>
      </c>
      <c r="AT109" s="10" t="b">
        <f t="shared" si="88"/>
        <v>1</v>
      </c>
      <c r="AU109" s="10">
        <f t="shared" si="64"/>
        <v>0</v>
      </c>
      <c r="AV109" s="10">
        <f t="shared" si="65"/>
        <v>0</v>
      </c>
      <c r="AW109" s="10">
        <f t="shared" si="66"/>
        <v>0</v>
      </c>
      <c r="AX109" s="10">
        <f t="shared" si="67"/>
        <v>0</v>
      </c>
      <c r="AY109" s="10">
        <f t="shared" si="89"/>
        <v>0</v>
      </c>
      <c r="AZ109" s="19">
        <f>IFERROR(IF($E109="REC",INDEX(A_Type_Volume!$B:$B,MATCH($D109,A_Type_Volume!$A:$A,0),1),IF($E109="VAM",INDEX(C_Type_Volume!$B:$B,MATCH($D109,C_Type_Volume!$A:$A,0),1),"X")),"")</f>
        <v>45815</v>
      </c>
      <c r="BA109" s="19">
        <f>IFERROR(IF($E109="REC",INDEX(A_Type_Volume!$C:$C,MATCH($D109,A_Type_Volume!$A:$A,0),1),IF($E109="VAM",INDEX(C_Type_Volume!$C:$C,MATCH($D109,C_Type_Volume!$A:$A,0),1),"X")),"")</f>
        <v>35678</v>
      </c>
      <c r="BB109" s="19">
        <f>IFERROR(IF($E109="REC",INDEX(A_Type_Volume!$D:$D,MATCH($D109,A_Type_Volume!$A:$A,0),1),IF($E109="VAM",INDEX(C_Type_Volume!$D:$D,MATCH($D109,C_Type_Volume!$A:$A,0),1),"X")),"")</f>
        <v>25150</v>
      </c>
      <c r="BC109" s="19">
        <f>IFERROR(IF($E109="REC",INDEX(A_Type_Volume!$E:$E,MATCH($D109,A_Type_Volume!$A:$A,0),1),IF($E109="VAM",INDEX(C_Type_Volume!$E:$E,MATCH($D109,C_Type_Volume!$A:$A,0),1),"X")),"")</f>
        <v>37921</v>
      </c>
      <c r="BD109" s="19">
        <f>IFERROR(IF($E109="REC",INDEX(A_Type_Volume!$F:$F,MATCH($D109,A_Type_Volume!$A:$A,0),1),IF($E109="VAM",INDEX(C_Type_Volume!$F:$F,MATCH($D109,C_Type_Volume!$A:$A,0),1),"X")),"")</f>
        <v>43988</v>
      </c>
      <c r="BE109" s="19">
        <f>IFERROR(IF($E109="REC",INDEX(A_Type_Volume!$G:$G,MATCH($D109,A_Type_Volume!$A:$A,0),1),IF($E109="VAM",INDEX(C_Type_Volume!$G:$G,MATCH($D109,C_Type_Volume!$A:$A,0),1),"X")),"")</f>
        <v>42471</v>
      </c>
      <c r="BF109" s="19">
        <f>IFERROR(IF($E109="REC",INDEX(A_Type_Volume!$H:$H,MATCH($D109,A_Type_Volume!$A:$A,0),1),IF($E109="VAM",INDEX(C_Type_Volume!$H:$H,MATCH($D109,C_Type_Volume!$A:$A,0),1),"X")),"")</f>
        <v>43165</v>
      </c>
      <c r="BG109" s="19">
        <f>IFERROR(IF($E109="REC",INDEX(A_Type_Volume!$I:$I,MATCH($D109,A_Type_Volume!$A:$A,0),1),IF($E109="VAM",INDEX(C_Type_Volume!$I:$I,MATCH($D109,C_Type_Volume!$A:$A,0),1),"X")),"")</f>
        <v>41676</v>
      </c>
      <c r="BH109" s="19">
        <f>IFERROR(IF($E109="REC",INDEX(A_Type_Volume!$J:$J,MATCH($D109,A_Type_Volume!$A:$A,0),1),IF($E109="VAM",INDEX(C_Type_Volume!$J:$J,MATCH($D109,C_Type_Volume!$A:$A,0),1),"X")),"")</f>
        <v>43165</v>
      </c>
      <c r="BI109" s="19">
        <f>IFERROR(IF($E109="REC",INDEX(A_Type_Volume!$K:$K,MATCH($D109,A_Type_Volume!$A:$A,0),1),IF($E109="VAM",INDEX(C_Type_Volume!$K:$K,MATCH($D109,C_Type_Volume!$A:$A,0),1),"X")),"")</f>
        <v>45242</v>
      </c>
      <c r="BJ109" s="19">
        <f>IFERROR(IF($E109="REC",INDEX(A_Type_Volume!$L:$L,MATCH($D109,A_Type_Volume!$A:$A,0),1),IF($E109="VAM",INDEX(C_Type_Volume!$L:$L,MATCH($D109,C_Type_Volume!$A:$A,0),1),"X")),"")</f>
        <v>40864</v>
      </c>
      <c r="BK109" s="19">
        <f>IFERROR(IF($E109="REC",INDEX(A_Type_Volume!M:M,MATCH($D109,A_Type_Volume!$A:$A,0),1),IF($E109="VAM",INDEX(C_Type_Volume!M:M,MATCH($D109,C_Type_Volume!$A:$A,0),1),"X")),"")</f>
        <v>36486</v>
      </c>
      <c r="BL109" s="38">
        <f>SUM(Table1[[#This Row],[Jan_AVF]:[Dec_AVF]])</f>
        <v>481621</v>
      </c>
      <c r="BM109" s="16">
        <f t="shared" si="90"/>
        <v>0</v>
      </c>
      <c r="BN109" s="16">
        <f t="shared" si="91"/>
        <v>0</v>
      </c>
      <c r="BO109" s="16">
        <f t="shared" si="92"/>
        <v>0</v>
      </c>
      <c r="BP109" s="16">
        <f t="shared" si="93"/>
        <v>0</v>
      </c>
      <c r="BQ109" s="16">
        <f t="shared" si="94"/>
        <v>0</v>
      </c>
      <c r="BR109" s="16">
        <f t="shared" si="95"/>
        <v>0</v>
      </c>
      <c r="BS109" s="16">
        <f t="shared" si="96"/>
        <v>0</v>
      </c>
      <c r="BT109" s="16">
        <f t="shared" si="97"/>
        <v>0</v>
      </c>
      <c r="BU109" s="16">
        <f t="shared" si="98"/>
        <v>0</v>
      </c>
      <c r="BV109" s="16">
        <f t="shared" si="99"/>
        <v>0</v>
      </c>
      <c r="BW109" s="16">
        <f t="shared" si="100"/>
        <v>0</v>
      </c>
      <c r="BX109" s="16">
        <f t="shared" si="101"/>
        <v>0</v>
      </c>
      <c r="BY109" s="10">
        <f t="shared" si="68"/>
        <v>0</v>
      </c>
      <c r="BZ109" s="10">
        <f t="shared" si="69"/>
        <v>0</v>
      </c>
      <c r="CA109" s="10">
        <f t="shared" si="70"/>
        <v>0</v>
      </c>
      <c r="CB109" s="10">
        <f t="shared" si="71"/>
        <v>0</v>
      </c>
      <c r="CC109" s="10">
        <f>IFERROR(Table1[[#This Row],[Labor
Saving]]*Table1[[#This Row],[Annual Volume]],"")</f>
        <v>0</v>
      </c>
      <c r="CD109" s="10">
        <f>IFERROR(Table1[[#This Row],[Annual Volume]]*Table1[[#This Row],[Yield
Saving]],"")</f>
        <v>0</v>
      </c>
      <c r="CE109" s="10">
        <f>IFERROR(Table1[[#This Row],[Annual Volume]]*Table1[[#This Row],[Material
Saving]],"")</f>
        <v>0</v>
      </c>
      <c r="CF109" s="10">
        <f>IFERROR(Table1[[#This Row],[OH
Saving]]*Table1[[#This Row],[Annual Volume]],"")</f>
        <v>0</v>
      </c>
      <c r="CG109" s="10">
        <f>SUM(Table1[[#This Row],[Labor_ASV]:[OH_ASV]])</f>
        <v>0</v>
      </c>
    </row>
    <row r="110" spans="1:85" x14ac:dyDescent="0.3">
      <c r="A110" t="str">
        <f>Table1[[#This Row],[Project Name]]&amp;Table1[[#This Row],[Part Number]]</f>
        <v>Au etching increase Frequency usageV20</v>
      </c>
      <c r="B110" t="str">
        <f>IFERROR(Table1[[#This Row],[Project Number]]&amp;Table1[[#This Row],[Part Number]],"")</f>
        <v>AME25-064V20</v>
      </c>
      <c r="C110" s="22" t="s">
        <v>111</v>
      </c>
      <c r="D110" s="24" t="s">
        <v>232</v>
      </c>
      <c r="E110" s="25" t="s">
        <v>60</v>
      </c>
      <c r="F110" s="6">
        <f>INDEX(Proj_Reg!G:G,MATCH($C110,Proj_Reg!$B:$B,0),1)</f>
        <v>46204</v>
      </c>
      <c r="G110" s="6">
        <f>INDEX(Proj_Reg!H:H,MATCH($C110,Proj_Reg!$B:$B,0),1)</f>
        <v>46539</v>
      </c>
      <c r="H110" s="6" t="str">
        <f>IF(INDEX(Proj_Reg!C:C,MATCH($C110,Proj_Reg!$B:$B,0),1)=0,"",INDEX(Proj_Reg!C:C,MATCH($C110,Proj_Reg!$B:$B,0),1))</f>
        <v>Wet Etching</v>
      </c>
      <c r="I110" s="6" t="str">
        <f>IF(INDEX(Proj_Reg!D:D,MATCH($C110,Proj_Reg!$B:$B,0),1)=0,"",INDEX(Proj_Reg!D:D,MATCH($C110,Proj_Reg!$B:$B,0),1))</f>
        <v>XWP</v>
      </c>
      <c r="J110" s="6" t="str">
        <f>INDEX(Proj_Reg!E:E,MATCH($C110,Proj_Reg!$B:$B,0),1)</f>
        <v>Au etching increase Frequency usage</v>
      </c>
      <c r="K110" s="21">
        <v>0</v>
      </c>
      <c r="L110" s="21">
        <v>0</v>
      </c>
      <c r="M110" s="21">
        <v>0</v>
      </c>
      <c r="N110" s="21">
        <v>0</v>
      </c>
      <c r="O110" s="11">
        <f>SUM(Table1[[#This Row],[Labor
Saving]:[OH
Saving]])</f>
        <v>0</v>
      </c>
      <c r="Q110" s="40">
        <f t="shared" si="52"/>
        <v>0</v>
      </c>
      <c r="R110" s="40">
        <f t="shared" si="53"/>
        <v>0</v>
      </c>
      <c r="S110" s="40">
        <f t="shared" si="54"/>
        <v>0</v>
      </c>
      <c r="T110" s="40">
        <f t="shared" si="55"/>
        <v>0</v>
      </c>
      <c r="U110" s="40">
        <f t="shared" si="56"/>
        <v>0</v>
      </c>
      <c r="V110" s="40">
        <f t="shared" si="57"/>
        <v>0</v>
      </c>
      <c r="W110" s="40">
        <f t="shared" si="58"/>
        <v>12860.699999999999</v>
      </c>
      <c r="X110" s="40">
        <f t="shared" si="59"/>
        <v>41391</v>
      </c>
      <c r="Y110" s="40">
        <f t="shared" si="60"/>
        <v>42869</v>
      </c>
      <c r="Z110" s="40">
        <f t="shared" si="61"/>
        <v>46245</v>
      </c>
      <c r="AA110" s="40">
        <f t="shared" si="62"/>
        <v>41769</v>
      </c>
      <c r="AB110" s="40">
        <f t="shared" si="63"/>
        <v>37294</v>
      </c>
      <c r="AC110" s="37">
        <f>SUM(Table1[[#This Row],[Jan]:[Dec]])</f>
        <v>222428.7</v>
      </c>
      <c r="AD110" s="15">
        <f t="shared" si="72"/>
        <v>0</v>
      </c>
      <c r="AE110" s="15">
        <f t="shared" si="73"/>
        <v>0</v>
      </c>
      <c r="AF110" s="15">
        <f t="shared" si="74"/>
        <v>0</v>
      </c>
      <c r="AG110" s="15">
        <f t="shared" si="75"/>
        <v>0</v>
      </c>
      <c r="AH110" s="15">
        <f t="shared" si="76"/>
        <v>0</v>
      </c>
      <c r="AI110" s="15">
        <f t="shared" si="77"/>
        <v>0</v>
      </c>
      <c r="AJ110" s="15">
        <f t="shared" si="78"/>
        <v>0</v>
      </c>
      <c r="AK110" s="15">
        <f t="shared" si="79"/>
        <v>0</v>
      </c>
      <c r="AL110" s="15">
        <f t="shared" si="80"/>
        <v>0</v>
      </c>
      <c r="AM110" s="15">
        <f t="shared" si="81"/>
        <v>0</v>
      </c>
      <c r="AN110" s="15">
        <f t="shared" si="82"/>
        <v>0</v>
      </c>
      <c r="AO110" s="15">
        <f t="shared" si="83"/>
        <v>0</v>
      </c>
      <c r="AP110" s="10">
        <f t="shared" si="84"/>
        <v>0</v>
      </c>
      <c r="AQ110" s="10">
        <f t="shared" si="85"/>
        <v>0</v>
      </c>
      <c r="AR110" s="10">
        <f t="shared" si="86"/>
        <v>0</v>
      </c>
      <c r="AS110" s="10">
        <f t="shared" si="87"/>
        <v>0</v>
      </c>
      <c r="AT110" s="10" t="b">
        <f t="shared" si="88"/>
        <v>1</v>
      </c>
      <c r="AU110" s="10">
        <f t="shared" si="64"/>
        <v>0</v>
      </c>
      <c r="AV110" s="10">
        <f t="shared" si="65"/>
        <v>0</v>
      </c>
      <c r="AW110" s="10">
        <f t="shared" si="66"/>
        <v>0</v>
      </c>
      <c r="AX110" s="10">
        <f t="shared" si="67"/>
        <v>0</v>
      </c>
      <c r="AY110" s="10">
        <f t="shared" si="89"/>
        <v>0</v>
      </c>
      <c r="AZ110" s="19">
        <f>IFERROR(IF($E110="REC",INDEX(A_Type_Volume!$B:$B,MATCH($D110,A_Type_Volume!$A:$A,0),1),IF($E110="VAM",INDEX(C_Type_Volume!$B:$B,MATCH($D110,C_Type_Volume!$A:$A,0),1),"X")),"")</f>
        <v>45815</v>
      </c>
      <c r="BA110" s="19">
        <f>IFERROR(IF($E110="REC",INDEX(A_Type_Volume!$C:$C,MATCH($D110,A_Type_Volume!$A:$A,0),1),IF($E110="VAM",INDEX(C_Type_Volume!$C:$C,MATCH($D110,C_Type_Volume!$A:$A,0),1),"X")),"")</f>
        <v>31827</v>
      </c>
      <c r="BB110" s="19">
        <f>IFERROR(IF($E110="REC",INDEX(A_Type_Volume!$D:$D,MATCH($D110,A_Type_Volume!$A:$A,0),1),IF($E110="VAM",INDEX(C_Type_Volume!$D:$D,MATCH($D110,C_Type_Volume!$A:$A,0),1),"X")),"")</f>
        <v>50854</v>
      </c>
      <c r="BC110" s="19">
        <f>IFERROR(IF($E110="REC",INDEX(A_Type_Volume!$E:$E,MATCH($D110,A_Type_Volume!$A:$A,0),1),IF($E110="VAM",INDEX(C_Type_Volume!$E:$E,MATCH($D110,C_Type_Volume!$A:$A,0),1),"X")),"")</f>
        <v>37656</v>
      </c>
      <c r="BD110" s="19">
        <f>IFERROR(IF($E110="REC",INDEX(A_Type_Volume!$F:$F,MATCH($D110,A_Type_Volume!$A:$A,0),1),IF($E110="VAM",INDEX(C_Type_Volume!$F:$F,MATCH($D110,C_Type_Volume!$A:$A,0),1),"X")),"")</f>
        <v>43681</v>
      </c>
      <c r="BE110" s="19">
        <f>IFERROR(IF($E110="REC",INDEX(A_Type_Volume!$G:$G,MATCH($D110,A_Type_Volume!$A:$A,0),1),IF($E110="VAM",INDEX(C_Type_Volume!$G:$G,MATCH($D110,C_Type_Volume!$A:$A,0),1),"X")),"")</f>
        <v>42175</v>
      </c>
      <c r="BF110" s="19">
        <f>IFERROR(IF($E110="REC",INDEX(A_Type_Volume!$H:$H,MATCH($D110,A_Type_Volume!$A:$A,0),1),IF($E110="VAM",INDEX(C_Type_Volume!$H:$H,MATCH($D110,C_Type_Volume!$A:$A,0),1),"X")),"")</f>
        <v>42869</v>
      </c>
      <c r="BG110" s="19">
        <f>IFERROR(IF($E110="REC",INDEX(A_Type_Volume!$I:$I,MATCH($D110,A_Type_Volume!$A:$A,0),1),IF($E110="VAM",INDEX(C_Type_Volume!$I:$I,MATCH($D110,C_Type_Volume!$A:$A,0),1),"X")),"")</f>
        <v>41391</v>
      </c>
      <c r="BH110" s="19">
        <f>IFERROR(IF($E110="REC",INDEX(A_Type_Volume!$J:$J,MATCH($D110,A_Type_Volume!$A:$A,0),1),IF($E110="VAM",INDEX(C_Type_Volume!$J:$J,MATCH($D110,C_Type_Volume!$A:$A,0),1),"X")),"")</f>
        <v>42869</v>
      </c>
      <c r="BI110" s="19">
        <f>IFERROR(IF($E110="REC",INDEX(A_Type_Volume!$K:$K,MATCH($D110,A_Type_Volume!$A:$A,0),1),IF($E110="VAM",INDEX(C_Type_Volume!$K:$K,MATCH($D110,C_Type_Volume!$A:$A,0),1),"X")),"")</f>
        <v>46245</v>
      </c>
      <c r="BJ110" s="19">
        <f>IFERROR(IF($E110="REC",INDEX(A_Type_Volume!$L:$L,MATCH($D110,A_Type_Volume!$A:$A,0),1),IF($E110="VAM",INDEX(C_Type_Volume!$L:$L,MATCH($D110,C_Type_Volume!$A:$A,0),1),"X")),"")</f>
        <v>41769</v>
      </c>
      <c r="BK110" s="19">
        <f>IFERROR(IF($E110="REC",INDEX(A_Type_Volume!M:M,MATCH($D110,A_Type_Volume!$A:$A,0),1),IF($E110="VAM",INDEX(C_Type_Volume!M:M,MATCH($D110,C_Type_Volume!$A:$A,0),1),"X")),"")</f>
        <v>37294</v>
      </c>
      <c r="BL110" s="38">
        <f>SUM(Table1[[#This Row],[Jan_AVF]:[Dec_AVF]])</f>
        <v>504445</v>
      </c>
      <c r="BM110" s="16">
        <f t="shared" si="90"/>
        <v>0</v>
      </c>
      <c r="BN110" s="16">
        <f t="shared" si="91"/>
        <v>0</v>
      </c>
      <c r="BO110" s="16">
        <f t="shared" si="92"/>
        <v>0</v>
      </c>
      <c r="BP110" s="16">
        <f t="shared" si="93"/>
        <v>0</v>
      </c>
      <c r="BQ110" s="16">
        <f t="shared" si="94"/>
        <v>0</v>
      </c>
      <c r="BR110" s="16">
        <f t="shared" si="95"/>
        <v>0</v>
      </c>
      <c r="BS110" s="16">
        <f t="shared" si="96"/>
        <v>0</v>
      </c>
      <c r="BT110" s="16">
        <f t="shared" si="97"/>
        <v>0</v>
      </c>
      <c r="BU110" s="16">
        <f t="shared" si="98"/>
        <v>0</v>
      </c>
      <c r="BV110" s="16">
        <f t="shared" si="99"/>
        <v>0</v>
      </c>
      <c r="BW110" s="16">
        <f t="shared" si="100"/>
        <v>0</v>
      </c>
      <c r="BX110" s="16">
        <f t="shared" si="101"/>
        <v>0</v>
      </c>
      <c r="BY110" s="10">
        <f t="shared" si="68"/>
        <v>0</v>
      </c>
      <c r="BZ110" s="10">
        <f t="shared" si="69"/>
        <v>0</v>
      </c>
      <c r="CA110" s="10">
        <f t="shared" si="70"/>
        <v>0</v>
      </c>
      <c r="CB110" s="10">
        <f t="shared" si="71"/>
        <v>0</v>
      </c>
      <c r="CC110" s="10">
        <f>IFERROR(Table1[[#This Row],[Labor
Saving]]*Table1[[#This Row],[Annual Volume]],"")</f>
        <v>0</v>
      </c>
      <c r="CD110" s="10">
        <f>IFERROR(Table1[[#This Row],[Annual Volume]]*Table1[[#This Row],[Yield
Saving]],"")</f>
        <v>0</v>
      </c>
      <c r="CE110" s="10">
        <f>IFERROR(Table1[[#This Row],[Annual Volume]]*Table1[[#This Row],[Material
Saving]],"")</f>
        <v>0</v>
      </c>
      <c r="CF110" s="10">
        <f>IFERROR(Table1[[#This Row],[OH
Saving]]*Table1[[#This Row],[Annual Volume]],"")</f>
        <v>0</v>
      </c>
      <c r="CG110" s="10">
        <f>SUM(Table1[[#This Row],[Labor_ASV]:[OH_ASV]])</f>
        <v>0</v>
      </c>
    </row>
    <row r="111" spans="1:85" x14ac:dyDescent="0.3">
      <c r="A111" t="str">
        <f>Table1[[#This Row],[Project Name]]&amp;Table1[[#This Row],[Part Number]]</f>
        <v>Au etching increase Frequency usageV21</v>
      </c>
      <c r="B111" t="str">
        <f>IFERROR(Table1[[#This Row],[Project Number]]&amp;Table1[[#This Row],[Part Number]],"")</f>
        <v>AME25-064V21</v>
      </c>
      <c r="C111" s="22" t="s">
        <v>111</v>
      </c>
      <c r="D111" s="24" t="s">
        <v>233</v>
      </c>
      <c r="E111" s="25" t="s">
        <v>60</v>
      </c>
      <c r="F111" s="6">
        <f>INDEX(Proj_Reg!G:G,MATCH($C111,Proj_Reg!$B:$B,0),1)</f>
        <v>46204</v>
      </c>
      <c r="G111" s="6">
        <f>INDEX(Proj_Reg!H:H,MATCH($C111,Proj_Reg!$B:$B,0),1)</f>
        <v>46539</v>
      </c>
      <c r="H111" s="6" t="str">
        <f>IF(INDEX(Proj_Reg!C:C,MATCH($C111,Proj_Reg!$B:$B,0),1)=0,"",INDEX(Proj_Reg!C:C,MATCH($C111,Proj_Reg!$B:$B,0),1))</f>
        <v>Wet Etching</v>
      </c>
      <c r="I111" s="6" t="str">
        <f>IF(INDEX(Proj_Reg!D:D,MATCH($C111,Proj_Reg!$B:$B,0),1)=0,"",INDEX(Proj_Reg!D:D,MATCH($C111,Proj_Reg!$B:$B,0),1))</f>
        <v>XWP</v>
      </c>
      <c r="J111" s="6" t="str">
        <f>INDEX(Proj_Reg!E:E,MATCH($C111,Proj_Reg!$B:$B,0),1)</f>
        <v>Au etching increase Frequency usage</v>
      </c>
      <c r="K111" s="21">
        <v>0</v>
      </c>
      <c r="L111" s="21">
        <v>0</v>
      </c>
      <c r="M111" s="21">
        <v>0</v>
      </c>
      <c r="N111" s="21">
        <v>0</v>
      </c>
      <c r="O111" s="11">
        <f>SUM(Table1[[#This Row],[Labor
Saving]:[OH
Saving]])</f>
        <v>0</v>
      </c>
      <c r="Q111" s="40">
        <f t="shared" si="52"/>
        <v>0</v>
      </c>
      <c r="R111" s="40">
        <f t="shared" si="53"/>
        <v>0</v>
      </c>
      <c r="S111" s="40">
        <f t="shared" si="54"/>
        <v>0</v>
      </c>
      <c r="T111" s="40">
        <f t="shared" si="55"/>
        <v>0</v>
      </c>
      <c r="U111" s="40">
        <f t="shared" si="56"/>
        <v>0</v>
      </c>
      <c r="V111" s="40">
        <f t="shared" si="57"/>
        <v>0</v>
      </c>
      <c r="W111" s="40">
        <f t="shared" si="58"/>
        <v>35456.400000000001</v>
      </c>
      <c r="X111" s="40">
        <f t="shared" si="59"/>
        <v>114113</v>
      </c>
      <c r="Y111" s="40">
        <f t="shared" si="60"/>
        <v>118188</v>
      </c>
      <c r="Z111" s="40">
        <f t="shared" si="61"/>
        <v>128693</v>
      </c>
      <c r="AA111" s="40">
        <f t="shared" si="62"/>
        <v>116239</v>
      </c>
      <c r="AB111" s="40">
        <f t="shared" si="63"/>
        <v>103785</v>
      </c>
      <c r="AC111" s="37">
        <f>SUM(Table1[[#This Row],[Jan]:[Dec]])</f>
        <v>616474.4</v>
      </c>
      <c r="AD111" s="15">
        <f t="shared" si="72"/>
        <v>0</v>
      </c>
      <c r="AE111" s="15">
        <f t="shared" si="73"/>
        <v>0</v>
      </c>
      <c r="AF111" s="15">
        <f t="shared" si="74"/>
        <v>0</v>
      </c>
      <c r="AG111" s="15">
        <f t="shared" si="75"/>
        <v>0</v>
      </c>
      <c r="AH111" s="15">
        <f t="shared" si="76"/>
        <v>0</v>
      </c>
      <c r="AI111" s="15">
        <f t="shared" si="77"/>
        <v>0</v>
      </c>
      <c r="AJ111" s="15">
        <f t="shared" si="78"/>
        <v>0</v>
      </c>
      <c r="AK111" s="15">
        <f t="shared" si="79"/>
        <v>0</v>
      </c>
      <c r="AL111" s="15">
        <f t="shared" si="80"/>
        <v>0</v>
      </c>
      <c r="AM111" s="15">
        <f t="shared" si="81"/>
        <v>0</v>
      </c>
      <c r="AN111" s="15">
        <f t="shared" si="82"/>
        <v>0</v>
      </c>
      <c r="AO111" s="15">
        <f t="shared" si="83"/>
        <v>0</v>
      </c>
      <c r="AP111" s="10">
        <f t="shared" si="84"/>
        <v>0</v>
      </c>
      <c r="AQ111" s="10">
        <f t="shared" si="85"/>
        <v>0</v>
      </c>
      <c r="AR111" s="10">
        <f t="shared" si="86"/>
        <v>0</v>
      </c>
      <c r="AS111" s="10">
        <f t="shared" si="87"/>
        <v>0</v>
      </c>
      <c r="AT111" s="10" t="b">
        <f t="shared" si="88"/>
        <v>1</v>
      </c>
      <c r="AU111" s="10">
        <f t="shared" si="64"/>
        <v>0</v>
      </c>
      <c r="AV111" s="10">
        <f t="shared" si="65"/>
        <v>0</v>
      </c>
      <c r="AW111" s="10">
        <f t="shared" si="66"/>
        <v>0</v>
      </c>
      <c r="AX111" s="10">
        <f t="shared" si="67"/>
        <v>0</v>
      </c>
      <c r="AY111" s="10">
        <f t="shared" si="89"/>
        <v>0</v>
      </c>
      <c r="AZ111" s="19">
        <f>IFERROR(IF($E111="REC",INDEX(A_Type_Volume!$B:$B,MATCH($D111,A_Type_Volume!$A:$A,0),1),IF($E111="VAM",INDEX(C_Type_Volume!$B:$B,MATCH($D111,C_Type_Volume!$A:$A,0),1),"X")),"")</f>
        <v>20538</v>
      </c>
      <c r="BA111" s="19">
        <f>IFERROR(IF($E111="REC",INDEX(A_Type_Volume!$C:$C,MATCH($D111,A_Type_Volume!$A:$A,0),1),IF($E111="VAM",INDEX(C_Type_Volume!$C:$C,MATCH($D111,C_Type_Volume!$A:$A,0),1),"X")),"")</f>
        <v>119280</v>
      </c>
      <c r="BB111" s="19">
        <f>IFERROR(IF($E111="REC",INDEX(A_Type_Volume!$D:$D,MATCH($D111,A_Type_Volume!$A:$A,0),1),IF($E111="VAM",INDEX(C_Type_Volume!$D:$D,MATCH($D111,C_Type_Volume!$A:$A,0),1),"X")),"")</f>
        <v>125751</v>
      </c>
      <c r="BC111" s="19">
        <f>IFERROR(IF($E111="REC",INDEX(A_Type_Volume!$E:$E,MATCH($D111,A_Type_Volume!$A:$A,0),1),IF($E111="VAM",INDEX(C_Type_Volume!$E:$E,MATCH($D111,C_Type_Volume!$A:$A,0),1),"X")),"")</f>
        <v>103619</v>
      </c>
      <c r="BD111" s="19">
        <f>IFERROR(IF($E111="REC",INDEX(A_Type_Volume!$F:$F,MATCH($D111,A_Type_Volume!$A:$A,0),1),IF($E111="VAM",INDEX(C_Type_Volume!$F:$F,MATCH($D111,C_Type_Volume!$A:$A,0),1),"X")),"")</f>
        <v>120198</v>
      </c>
      <c r="BE111" s="19">
        <f>IFERROR(IF($E111="REC",INDEX(A_Type_Volume!$G:$G,MATCH($D111,A_Type_Volume!$A:$A,0),1),IF($E111="VAM",INDEX(C_Type_Volume!$G:$G,MATCH($D111,C_Type_Volume!$A:$A,0),1),"X")),"")</f>
        <v>116053</v>
      </c>
      <c r="BF111" s="19">
        <f>IFERROR(IF($E111="REC",INDEX(A_Type_Volume!$H:$H,MATCH($D111,A_Type_Volume!$A:$A,0),1),IF($E111="VAM",INDEX(C_Type_Volume!$H:$H,MATCH($D111,C_Type_Volume!$A:$A,0),1),"X")),"")</f>
        <v>118188</v>
      </c>
      <c r="BG111" s="19">
        <f>IFERROR(IF($E111="REC",INDEX(A_Type_Volume!$I:$I,MATCH($D111,A_Type_Volume!$A:$A,0),1),IF($E111="VAM",INDEX(C_Type_Volume!$I:$I,MATCH($D111,C_Type_Volume!$A:$A,0),1),"X")),"")</f>
        <v>114113</v>
      </c>
      <c r="BH111" s="19">
        <f>IFERROR(IF($E111="REC",INDEX(A_Type_Volume!$J:$J,MATCH($D111,A_Type_Volume!$A:$A,0),1),IF($E111="VAM",INDEX(C_Type_Volume!$J:$J,MATCH($D111,C_Type_Volume!$A:$A,0),1),"X")),"")</f>
        <v>118188</v>
      </c>
      <c r="BI111" s="19">
        <f>IFERROR(IF($E111="REC",INDEX(A_Type_Volume!$K:$K,MATCH($D111,A_Type_Volume!$A:$A,0),1),IF($E111="VAM",INDEX(C_Type_Volume!$K:$K,MATCH($D111,C_Type_Volume!$A:$A,0),1),"X")),"")</f>
        <v>128693</v>
      </c>
      <c r="BJ111" s="19">
        <f>IFERROR(IF($E111="REC",INDEX(A_Type_Volume!$L:$L,MATCH($D111,A_Type_Volume!$A:$A,0),1),IF($E111="VAM",INDEX(C_Type_Volume!$L:$L,MATCH($D111,C_Type_Volume!$A:$A,0),1),"X")),"")</f>
        <v>116239</v>
      </c>
      <c r="BK111" s="19">
        <f>IFERROR(IF($E111="REC",INDEX(A_Type_Volume!M:M,MATCH($D111,A_Type_Volume!$A:$A,0),1),IF($E111="VAM",INDEX(C_Type_Volume!M:M,MATCH($D111,C_Type_Volume!$A:$A,0),1),"X")),"")</f>
        <v>103785</v>
      </c>
      <c r="BL111" s="38">
        <f>SUM(Table1[[#This Row],[Jan_AVF]:[Dec_AVF]])</f>
        <v>1304645</v>
      </c>
      <c r="BM111" s="16">
        <f t="shared" si="90"/>
        <v>0</v>
      </c>
      <c r="BN111" s="16">
        <f t="shared" si="91"/>
        <v>0</v>
      </c>
      <c r="BO111" s="16">
        <f t="shared" si="92"/>
        <v>0</v>
      </c>
      <c r="BP111" s="16">
        <f t="shared" si="93"/>
        <v>0</v>
      </c>
      <c r="BQ111" s="16">
        <f t="shared" si="94"/>
        <v>0</v>
      </c>
      <c r="BR111" s="16">
        <f t="shared" si="95"/>
        <v>0</v>
      </c>
      <c r="BS111" s="16">
        <f t="shared" si="96"/>
        <v>0</v>
      </c>
      <c r="BT111" s="16">
        <f t="shared" si="97"/>
        <v>0</v>
      </c>
      <c r="BU111" s="16">
        <f t="shared" si="98"/>
        <v>0</v>
      </c>
      <c r="BV111" s="16">
        <f t="shared" si="99"/>
        <v>0</v>
      </c>
      <c r="BW111" s="16">
        <f t="shared" si="100"/>
        <v>0</v>
      </c>
      <c r="BX111" s="16">
        <f t="shared" si="101"/>
        <v>0</v>
      </c>
      <c r="BY111" s="10">
        <f t="shared" si="68"/>
        <v>0</v>
      </c>
      <c r="BZ111" s="10">
        <f t="shared" si="69"/>
        <v>0</v>
      </c>
      <c r="CA111" s="10">
        <f t="shared" si="70"/>
        <v>0</v>
      </c>
      <c r="CB111" s="10">
        <f t="shared" si="71"/>
        <v>0</v>
      </c>
      <c r="CC111" s="10">
        <f>IFERROR(Table1[[#This Row],[Labor
Saving]]*Table1[[#This Row],[Annual Volume]],"")</f>
        <v>0</v>
      </c>
      <c r="CD111" s="10">
        <f>IFERROR(Table1[[#This Row],[Annual Volume]]*Table1[[#This Row],[Yield
Saving]],"")</f>
        <v>0</v>
      </c>
      <c r="CE111" s="10">
        <f>IFERROR(Table1[[#This Row],[Annual Volume]]*Table1[[#This Row],[Material
Saving]],"")</f>
        <v>0</v>
      </c>
      <c r="CF111" s="10">
        <f>IFERROR(Table1[[#This Row],[OH
Saving]]*Table1[[#This Row],[Annual Volume]],"")</f>
        <v>0</v>
      </c>
      <c r="CG111" s="10">
        <f>SUM(Table1[[#This Row],[Labor_ASV]:[OH_ASV]])</f>
        <v>0</v>
      </c>
    </row>
    <row r="112" spans="1:85" x14ac:dyDescent="0.3">
      <c r="A112" t="str">
        <f>Table1[[#This Row],[Project Name]]&amp;Table1[[#This Row],[Part Number]]</f>
        <v>Au etching increase Frequency usageV22</v>
      </c>
      <c r="B112" t="str">
        <f>IFERROR(Table1[[#This Row],[Project Number]]&amp;Table1[[#This Row],[Part Number]],"")</f>
        <v>AME25-064V22</v>
      </c>
      <c r="C112" s="22" t="s">
        <v>111</v>
      </c>
      <c r="D112" s="24" t="s">
        <v>234</v>
      </c>
      <c r="E112" s="25" t="s">
        <v>60</v>
      </c>
      <c r="F112" s="6">
        <f>INDEX(Proj_Reg!G:G,MATCH($C112,Proj_Reg!$B:$B,0),1)</f>
        <v>46204</v>
      </c>
      <c r="G112" s="6">
        <f>INDEX(Proj_Reg!H:H,MATCH($C112,Proj_Reg!$B:$B,0),1)</f>
        <v>46539</v>
      </c>
      <c r="H112" s="6" t="str">
        <f>IF(INDEX(Proj_Reg!C:C,MATCH($C112,Proj_Reg!$B:$B,0),1)=0,"",INDEX(Proj_Reg!C:C,MATCH($C112,Proj_Reg!$B:$B,0),1))</f>
        <v>Wet Etching</v>
      </c>
      <c r="I112" s="6" t="str">
        <f>IF(INDEX(Proj_Reg!D:D,MATCH($C112,Proj_Reg!$B:$B,0),1)=0,"",INDEX(Proj_Reg!D:D,MATCH($C112,Proj_Reg!$B:$B,0),1))</f>
        <v>XWP</v>
      </c>
      <c r="J112" s="6" t="str">
        <f>INDEX(Proj_Reg!E:E,MATCH($C112,Proj_Reg!$B:$B,0),1)</f>
        <v>Au etching increase Frequency usage</v>
      </c>
      <c r="K112" s="21">
        <v>0</v>
      </c>
      <c r="L112" s="21">
        <v>0</v>
      </c>
      <c r="M112" s="21">
        <v>0</v>
      </c>
      <c r="N112" s="21">
        <v>0</v>
      </c>
      <c r="O112" s="11">
        <f>SUM(Table1[[#This Row],[Labor
Saving]:[OH
Saving]])</f>
        <v>0</v>
      </c>
      <c r="Q112" s="40">
        <f t="shared" si="52"/>
        <v>0</v>
      </c>
      <c r="R112" s="40">
        <f t="shared" si="53"/>
        <v>0</v>
      </c>
      <c r="S112" s="40">
        <f t="shared" si="54"/>
        <v>0</v>
      </c>
      <c r="T112" s="40">
        <f t="shared" si="55"/>
        <v>0</v>
      </c>
      <c r="U112" s="40">
        <f t="shared" si="56"/>
        <v>0</v>
      </c>
      <c r="V112" s="40">
        <f t="shared" si="57"/>
        <v>0</v>
      </c>
      <c r="W112" s="40">
        <f t="shared" si="58"/>
        <v>35891.699999999997</v>
      </c>
      <c r="X112" s="40">
        <f t="shared" si="59"/>
        <v>115514</v>
      </c>
      <c r="Y112" s="40">
        <f t="shared" si="60"/>
        <v>119639</v>
      </c>
      <c r="Z112" s="40">
        <f t="shared" si="61"/>
        <v>126679</v>
      </c>
      <c r="AA112" s="40">
        <f t="shared" si="62"/>
        <v>114420</v>
      </c>
      <c r="AB112" s="40">
        <f t="shared" si="63"/>
        <v>102160</v>
      </c>
      <c r="AC112" s="37">
        <f>SUM(Table1[[#This Row],[Jan]:[Dec]])</f>
        <v>614303.69999999995</v>
      </c>
      <c r="AD112" s="15">
        <f t="shared" si="72"/>
        <v>0</v>
      </c>
      <c r="AE112" s="15">
        <f t="shared" si="73"/>
        <v>0</v>
      </c>
      <c r="AF112" s="15">
        <f t="shared" si="74"/>
        <v>0</v>
      </c>
      <c r="AG112" s="15">
        <f t="shared" si="75"/>
        <v>0</v>
      </c>
      <c r="AH112" s="15">
        <f t="shared" si="76"/>
        <v>0</v>
      </c>
      <c r="AI112" s="15">
        <f t="shared" si="77"/>
        <v>0</v>
      </c>
      <c r="AJ112" s="15">
        <f t="shared" si="78"/>
        <v>0</v>
      </c>
      <c r="AK112" s="15">
        <f t="shared" si="79"/>
        <v>0</v>
      </c>
      <c r="AL112" s="15">
        <f t="shared" si="80"/>
        <v>0</v>
      </c>
      <c r="AM112" s="15">
        <f t="shared" si="81"/>
        <v>0</v>
      </c>
      <c r="AN112" s="15">
        <f t="shared" si="82"/>
        <v>0</v>
      </c>
      <c r="AO112" s="15">
        <f t="shared" si="83"/>
        <v>0</v>
      </c>
      <c r="AP112" s="10">
        <f t="shared" si="84"/>
        <v>0</v>
      </c>
      <c r="AQ112" s="10">
        <f t="shared" si="85"/>
        <v>0</v>
      </c>
      <c r="AR112" s="10">
        <f t="shared" si="86"/>
        <v>0</v>
      </c>
      <c r="AS112" s="10">
        <f t="shared" si="87"/>
        <v>0</v>
      </c>
      <c r="AT112" s="10" t="b">
        <f t="shared" si="88"/>
        <v>1</v>
      </c>
      <c r="AU112" s="10">
        <f t="shared" si="64"/>
        <v>0</v>
      </c>
      <c r="AV112" s="10">
        <f t="shared" si="65"/>
        <v>0</v>
      </c>
      <c r="AW112" s="10">
        <f t="shared" si="66"/>
        <v>0</v>
      </c>
      <c r="AX112" s="10">
        <f t="shared" si="67"/>
        <v>0</v>
      </c>
      <c r="AY112" s="10">
        <f t="shared" si="89"/>
        <v>0</v>
      </c>
      <c r="AZ112" s="19">
        <f>IFERROR(IF($E112="REC",INDEX(A_Type_Volume!$B:$B,MATCH($D112,A_Type_Volume!$A:$A,0),1),IF($E112="VAM",INDEX(C_Type_Volume!$B:$B,MATCH($D112,C_Type_Volume!$A:$A,0),1),"X")),"")</f>
        <v>153243</v>
      </c>
      <c r="BA112" s="19">
        <f>IFERROR(IF($E112="REC",INDEX(A_Type_Volume!$C:$C,MATCH($D112,A_Type_Volume!$A:$A,0),1),IF($E112="VAM",INDEX(C_Type_Volume!$C:$C,MATCH($D112,C_Type_Volume!$A:$A,0),1),"X")),"")</f>
        <v>102836</v>
      </c>
      <c r="BB112" s="19">
        <f>IFERROR(IF($E112="REC",INDEX(A_Type_Volume!$D:$D,MATCH($D112,A_Type_Volume!$A:$A,0),1),IF($E112="VAM",INDEX(C_Type_Volume!$D:$D,MATCH($D112,C_Type_Volume!$A:$A,0),1),"X")),"")</f>
        <v>134134</v>
      </c>
      <c r="BC112" s="19">
        <f>IFERROR(IF($E112="REC",INDEX(A_Type_Volume!$E:$E,MATCH($D112,A_Type_Volume!$A:$A,0),1),IF($E112="VAM",INDEX(C_Type_Volume!$E:$E,MATCH($D112,C_Type_Volume!$A:$A,0),1),"X")),"")</f>
        <v>102553</v>
      </c>
      <c r="BD112" s="19">
        <f>IFERROR(IF($E112="REC",INDEX(A_Type_Volume!$F:$F,MATCH($D112,A_Type_Volume!$A:$A,0),1),IF($E112="VAM",INDEX(C_Type_Volume!$F:$F,MATCH($D112,C_Type_Volume!$A:$A,0),1),"X")),"")</f>
        <v>118962</v>
      </c>
      <c r="BE112" s="19">
        <f>IFERROR(IF($E112="REC",INDEX(A_Type_Volume!$G:$G,MATCH($D112,A_Type_Volume!$A:$A,0),1),IF($E112="VAM",INDEX(C_Type_Volume!$G:$G,MATCH($D112,C_Type_Volume!$A:$A,0),1),"X")),"")</f>
        <v>114860</v>
      </c>
      <c r="BF112" s="19">
        <f>IFERROR(IF($E112="REC",INDEX(A_Type_Volume!$H:$H,MATCH($D112,A_Type_Volume!$A:$A,0),1),IF($E112="VAM",INDEX(C_Type_Volume!$H:$H,MATCH($D112,C_Type_Volume!$A:$A,0),1),"X")),"")</f>
        <v>119639</v>
      </c>
      <c r="BG112" s="19">
        <f>IFERROR(IF($E112="REC",INDEX(A_Type_Volume!$I:$I,MATCH($D112,A_Type_Volume!$A:$A,0),1),IF($E112="VAM",INDEX(C_Type_Volume!$I:$I,MATCH($D112,C_Type_Volume!$A:$A,0),1),"X")),"")</f>
        <v>115514</v>
      </c>
      <c r="BH112" s="19">
        <f>IFERROR(IF($E112="REC",INDEX(A_Type_Volume!$J:$J,MATCH($D112,A_Type_Volume!$A:$A,0),1),IF($E112="VAM",INDEX(C_Type_Volume!$J:$J,MATCH($D112,C_Type_Volume!$A:$A,0),1),"X")),"")</f>
        <v>119639</v>
      </c>
      <c r="BI112" s="19">
        <f>IFERROR(IF($E112="REC",INDEX(A_Type_Volume!$K:$K,MATCH($D112,A_Type_Volume!$A:$A,0),1),IF($E112="VAM",INDEX(C_Type_Volume!$K:$K,MATCH($D112,C_Type_Volume!$A:$A,0),1),"X")),"")</f>
        <v>126679</v>
      </c>
      <c r="BJ112" s="19">
        <f>IFERROR(IF($E112="REC",INDEX(A_Type_Volume!$L:$L,MATCH($D112,A_Type_Volume!$A:$A,0),1),IF($E112="VAM",INDEX(C_Type_Volume!$L:$L,MATCH($D112,C_Type_Volume!$A:$A,0),1),"X")),"")</f>
        <v>114420</v>
      </c>
      <c r="BK112" s="19">
        <f>IFERROR(IF($E112="REC",INDEX(A_Type_Volume!M:M,MATCH($D112,A_Type_Volume!$A:$A,0),1),IF($E112="VAM",INDEX(C_Type_Volume!M:M,MATCH($D112,C_Type_Volume!$A:$A,0),1),"X")),"")</f>
        <v>102160</v>
      </c>
      <c r="BL112" s="38">
        <f>SUM(Table1[[#This Row],[Jan_AVF]:[Dec_AVF]])</f>
        <v>1424639</v>
      </c>
      <c r="BM112" s="16">
        <f t="shared" si="90"/>
        <v>0</v>
      </c>
      <c r="BN112" s="16">
        <f t="shared" si="91"/>
        <v>0</v>
      </c>
      <c r="BO112" s="16">
        <f t="shared" si="92"/>
        <v>0</v>
      </c>
      <c r="BP112" s="16">
        <f t="shared" si="93"/>
        <v>0</v>
      </c>
      <c r="BQ112" s="16">
        <f t="shared" si="94"/>
        <v>0</v>
      </c>
      <c r="BR112" s="16">
        <f t="shared" si="95"/>
        <v>0</v>
      </c>
      <c r="BS112" s="16">
        <f t="shared" si="96"/>
        <v>0</v>
      </c>
      <c r="BT112" s="16">
        <f t="shared" si="97"/>
        <v>0</v>
      </c>
      <c r="BU112" s="16">
        <f t="shared" si="98"/>
        <v>0</v>
      </c>
      <c r="BV112" s="16">
        <f t="shared" si="99"/>
        <v>0</v>
      </c>
      <c r="BW112" s="16">
        <f t="shared" si="100"/>
        <v>0</v>
      </c>
      <c r="BX112" s="16">
        <f t="shared" si="101"/>
        <v>0</v>
      </c>
      <c r="BY112" s="10">
        <f t="shared" si="68"/>
        <v>0</v>
      </c>
      <c r="BZ112" s="10">
        <f t="shared" si="69"/>
        <v>0</v>
      </c>
      <c r="CA112" s="10">
        <f t="shared" si="70"/>
        <v>0</v>
      </c>
      <c r="CB112" s="10">
        <f t="shared" si="71"/>
        <v>0</v>
      </c>
      <c r="CC112" s="10">
        <f>IFERROR(Table1[[#This Row],[Labor
Saving]]*Table1[[#This Row],[Annual Volume]],"")</f>
        <v>0</v>
      </c>
      <c r="CD112" s="10">
        <f>IFERROR(Table1[[#This Row],[Annual Volume]]*Table1[[#This Row],[Yield
Saving]],"")</f>
        <v>0</v>
      </c>
      <c r="CE112" s="10">
        <f>IFERROR(Table1[[#This Row],[Annual Volume]]*Table1[[#This Row],[Material
Saving]],"")</f>
        <v>0</v>
      </c>
      <c r="CF112" s="10">
        <f>IFERROR(Table1[[#This Row],[OH
Saving]]*Table1[[#This Row],[Annual Volume]],"")</f>
        <v>0</v>
      </c>
      <c r="CG112" s="10">
        <f>SUM(Table1[[#This Row],[Labor_ASV]:[OH_ASV]])</f>
        <v>0</v>
      </c>
    </row>
    <row r="113" spans="1:85" x14ac:dyDescent="0.3">
      <c r="A113" t="str">
        <f>Table1[[#This Row],[Project Name]]&amp;Table1[[#This Row],[Part Number]]</f>
        <v>Au etching increase Frequency usageV23</v>
      </c>
      <c r="B113" t="str">
        <f>IFERROR(Table1[[#This Row],[Project Number]]&amp;Table1[[#This Row],[Part Number]],"")</f>
        <v>AME25-064V23</v>
      </c>
      <c r="C113" s="22" t="s">
        <v>111</v>
      </c>
      <c r="D113" s="24" t="s">
        <v>235</v>
      </c>
      <c r="E113" s="25" t="s">
        <v>60</v>
      </c>
      <c r="F113" s="6">
        <f>INDEX(Proj_Reg!G:G,MATCH($C113,Proj_Reg!$B:$B,0),1)</f>
        <v>46204</v>
      </c>
      <c r="G113" s="6">
        <f>INDEX(Proj_Reg!H:H,MATCH($C113,Proj_Reg!$B:$B,0),1)</f>
        <v>46539</v>
      </c>
      <c r="H113" s="6" t="str">
        <f>IF(INDEX(Proj_Reg!C:C,MATCH($C113,Proj_Reg!$B:$B,0),1)=0,"",INDEX(Proj_Reg!C:C,MATCH($C113,Proj_Reg!$B:$B,0),1))</f>
        <v>Wet Etching</v>
      </c>
      <c r="I113" s="6" t="str">
        <f>IF(INDEX(Proj_Reg!D:D,MATCH($C113,Proj_Reg!$B:$B,0),1)=0,"",INDEX(Proj_Reg!D:D,MATCH($C113,Proj_Reg!$B:$B,0),1))</f>
        <v>XWP</v>
      </c>
      <c r="J113" s="6" t="str">
        <f>INDEX(Proj_Reg!E:E,MATCH($C113,Proj_Reg!$B:$B,0),1)</f>
        <v>Au etching increase Frequency usage</v>
      </c>
      <c r="K113" s="21">
        <v>0</v>
      </c>
      <c r="L113" s="21">
        <v>0</v>
      </c>
      <c r="M113" s="21">
        <v>0</v>
      </c>
      <c r="N113" s="21">
        <v>0</v>
      </c>
      <c r="O113" s="11">
        <f>SUM(Table1[[#This Row],[Labor
Saving]:[OH
Saving]])</f>
        <v>0</v>
      </c>
      <c r="Q113" s="40">
        <f t="shared" si="52"/>
        <v>0</v>
      </c>
      <c r="R113" s="40">
        <f t="shared" si="53"/>
        <v>0</v>
      </c>
      <c r="S113" s="40">
        <f t="shared" si="54"/>
        <v>0</v>
      </c>
      <c r="T113" s="40">
        <f t="shared" si="55"/>
        <v>0</v>
      </c>
      <c r="U113" s="40">
        <f t="shared" si="56"/>
        <v>0</v>
      </c>
      <c r="V113" s="40">
        <f t="shared" si="57"/>
        <v>0</v>
      </c>
      <c r="W113" s="40">
        <f t="shared" si="58"/>
        <v>20421.3</v>
      </c>
      <c r="X113" s="40">
        <f t="shared" si="59"/>
        <v>65724</v>
      </c>
      <c r="Y113" s="40">
        <f t="shared" si="60"/>
        <v>68071</v>
      </c>
      <c r="Z113" s="40">
        <f t="shared" si="61"/>
        <v>71386</v>
      </c>
      <c r="AA113" s="40">
        <f t="shared" si="62"/>
        <v>64477</v>
      </c>
      <c r="AB113" s="40">
        <f t="shared" si="63"/>
        <v>57569</v>
      </c>
      <c r="AC113" s="37">
        <f>SUM(Table1[[#This Row],[Jan]:[Dec]])</f>
        <v>347648.3</v>
      </c>
      <c r="AD113" s="15">
        <f t="shared" si="72"/>
        <v>0</v>
      </c>
      <c r="AE113" s="15">
        <f t="shared" si="73"/>
        <v>0</v>
      </c>
      <c r="AF113" s="15">
        <f t="shared" si="74"/>
        <v>0</v>
      </c>
      <c r="AG113" s="15">
        <f t="shared" si="75"/>
        <v>0</v>
      </c>
      <c r="AH113" s="15">
        <f t="shared" si="76"/>
        <v>0</v>
      </c>
      <c r="AI113" s="15">
        <f t="shared" si="77"/>
        <v>0</v>
      </c>
      <c r="AJ113" s="15">
        <f t="shared" si="78"/>
        <v>0</v>
      </c>
      <c r="AK113" s="15">
        <f t="shared" si="79"/>
        <v>0</v>
      </c>
      <c r="AL113" s="15">
        <f t="shared" si="80"/>
        <v>0</v>
      </c>
      <c r="AM113" s="15">
        <f t="shared" si="81"/>
        <v>0</v>
      </c>
      <c r="AN113" s="15">
        <f t="shared" si="82"/>
        <v>0</v>
      </c>
      <c r="AO113" s="15">
        <f t="shared" si="83"/>
        <v>0</v>
      </c>
      <c r="AP113" s="10">
        <f t="shared" si="84"/>
        <v>0</v>
      </c>
      <c r="AQ113" s="10">
        <f t="shared" si="85"/>
        <v>0</v>
      </c>
      <c r="AR113" s="10">
        <f t="shared" si="86"/>
        <v>0</v>
      </c>
      <c r="AS113" s="10">
        <f t="shared" si="87"/>
        <v>0</v>
      </c>
      <c r="AT113" s="10" t="b">
        <f t="shared" si="88"/>
        <v>1</v>
      </c>
      <c r="AU113" s="10">
        <f t="shared" si="64"/>
        <v>0</v>
      </c>
      <c r="AV113" s="10">
        <f t="shared" si="65"/>
        <v>0</v>
      </c>
      <c r="AW113" s="10">
        <f t="shared" si="66"/>
        <v>0</v>
      </c>
      <c r="AX113" s="10">
        <f t="shared" si="67"/>
        <v>0</v>
      </c>
      <c r="AY113" s="10">
        <f t="shared" si="89"/>
        <v>0</v>
      </c>
      <c r="AZ113" s="19">
        <f>IFERROR(IF($E113="REC",INDEX(A_Type_Volume!$B:$B,MATCH($D113,A_Type_Volume!$A:$A,0),1),IF($E113="VAM",INDEX(C_Type_Volume!$B:$B,MATCH($D113,C_Type_Volume!$A:$A,0),1),"X")),"")</f>
        <v>123226</v>
      </c>
      <c r="BA113" s="19">
        <f>IFERROR(IF($E113="REC",INDEX(A_Type_Volume!$C:$C,MATCH($D113,A_Type_Volume!$A:$A,0),1),IF($E113="VAM",INDEX(C_Type_Volume!$C:$C,MATCH($D113,C_Type_Volume!$A:$A,0),1),"X")),"")</f>
        <v>61209</v>
      </c>
      <c r="BB113" s="19">
        <f>IFERROR(IF($E113="REC",INDEX(A_Type_Volume!$D:$D,MATCH($D113,A_Type_Volume!$A:$A,0),1),IF($E113="VAM",INDEX(C_Type_Volume!$D:$D,MATCH($D113,C_Type_Volume!$A:$A,0),1),"X")),"")</f>
        <v>67067</v>
      </c>
      <c r="BC113" s="19">
        <f>IFERROR(IF($E113="REC",INDEX(A_Type_Volume!$E:$E,MATCH($D113,A_Type_Volume!$A:$A,0),1),IF($E113="VAM",INDEX(C_Type_Volume!$E:$E,MATCH($D113,C_Type_Volume!$A:$A,0),1),"X")),"")</f>
        <v>54217</v>
      </c>
      <c r="BD113" s="19">
        <f>IFERROR(IF($E113="REC",INDEX(A_Type_Volume!$F:$F,MATCH($D113,A_Type_Volume!$A:$A,0),1),IF($E113="VAM",INDEX(C_Type_Volume!$F:$F,MATCH($D113,C_Type_Volume!$A:$A,0),1),"X")),"")</f>
        <v>62892</v>
      </c>
      <c r="BE113" s="19">
        <f>IFERROR(IF($E113="REC",INDEX(A_Type_Volume!$G:$G,MATCH($D113,A_Type_Volume!$A:$A,0),1),IF($E113="VAM",INDEX(C_Type_Volume!$G:$G,MATCH($D113,C_Type_Volume!$A:$A,0),1),"X")),"")</f>
        <v>60723</v>
      </c>
      <c r="BF113" s="19">
        <f>IFERROR(IF($E113="REC",INDEX(A_Type_Volume!$H:$H,MATCH($D113,A_Type_Volume!$A:$A,0),1),IF($E113="VAM",INDEX(C_Type_Volume!$H:$H,MATCH($D113,C_Type_Volume!$A:$A,0),1),"X")),"")</f>
        <v>68071</v>
      </c>
      <c r="BG113" s="19">
        <f>IFERROR(IF($E113="REC",INDEX(A_Type_Volume!$I:$I,MATCH($D113,A_Type_Volume!$A:$A,0),1),IF($E113="VAM",INDEX(C_Type_Volume!$I:$I,MATCH($D113,C_Type_Volume!$A:$A,0),1),"X")),"")</f>
        <v>65724</v>
      </c>
      <c r="BH113" s="19">
        <f>IFERROR(IF($E113="REC",INDEX(A_Type_Volume!$J:$J,MATCH($D113,A_Type_Volume!$A:$A,0),1),IF($E113="VAM",INDEX(C_Type_Volume!$J:$J,MATCH($D113,C_Type_Volume!$A:$A,0),1),"X")),"")</f>
        <v>68071</v>
      </c>
      <c r="BI113" s="19">
        <f>IFERROR(IF($E113="REC",INDEX(A_Type_Volume!$K:$K,MATCH($D113,A_Type_Volume!$A:$A,0),1),IF($E113="VAM",INDEX(C_Type_Volume!$K:$K,MATCH($D113,C_Type_Volume!$A:$A,0),1),"X")),"")</f>
        <v>71386</v>
      </c>
      <c r="BJ113" s="19">
        <f>IFERROR(IF($E113="REC",INDEX(A_Type_Volume!$L:$L,MATCH($D113,A_Type_Volume!$A:$A,0),1),IF($E113="VAM",INDEX(C_Type_Volume!$L:$L,MATCH($D113,C_Type_Volume!$A:$A,0),1),"X")),"")</f>
        <v>64477</v>
      </c>
      <c r="BK113" s="19">
        <f>IFERROR(IF($E113="REC",INDEX(A_Type_Volume!M:M,MATCH($D113,A_Type_Volume!$A:$A,0),1),IF($E113="VAM",INDEX(C_Type_Volume!M:M,MATCH($D113,C_Type_Volume!$A:$A,0),1),"X")),"")</f>
        <v>57569</v>
      </c>
      <c r="BL113" s="38">
        <f>SUM(Table1[[#This Row],[Jan_AVF]:[Dec_AVF]])</f>
        <v>824632</v>
      </c>
      <c r="BM113" s="16">
        <f t="shared" si="90"/>
        <v>0</v>
      </c>
      <c r="BN113" s="16">
        <f t="shared" si="91"/>
        <v>0</v>
      </c>
      <c r="BO113" s="16">
        <f t="shared" si="92"/>
        <v>0</v>
      </c>
      <c r="BP113" s="16">
        <f t="shared" si="93"/>
        <v>0</v>
      </c>
      <c r="BQ113" s="16">
        <f t="shared" si="94"/>
        <v>0</v>
      </c>
      <c r="BR113" s="16">
        <f t="shared" si="95"/>
        <v>0</v>
      </c>
      <c r="BS113" s="16">
        <f t="shared" si="96"/>
        <v>0</v>
      </c>
      <c r="BT113" s="16">
        <f t="shared" si="97"/>
        <v>0</v>
      </c>
      <c r="BU113" s="16">
        <f t="shared" si="98"/>
        <v>0</v>
      </c>
      <c r="BV113" s="16">
        <f t="shared" si="99"/>
        <v>0</v>
      </c>
      <c r="BW113" s="16">
        <f t="shared" si="100"/>
        <v>0</v>
      </c>
      <c r="BX113" s="16">
        <f t="shared" si="101"/>
        <v>0</v>
      </c>
      <c r="BY113" s="10">
        <f t="shared" si="68"/>
        <v>0</v>
      </c>
      <c r="BZ113" s="10">
        <f t="shared" si="69"/>
        <v>0</v>
      </c>
      <c r="CA113" s="10">
        <f t="shared" si="70"/>
        <v>0</v>
      </c>
      <c r="CB113" s="10">
        <f t="shared" si="71"/>
        <v>0</v>
      </c>
      <c r="CC113" s="10">
        <f>IFERROR(Table1[[#This Row],[Labor
Saving]]*Table1[[#This Row],[Annual Volume]],"")</f>
        <v>0</v>
      </c>
      <c r="CD113" s="10">
        <f>IFERROR(Table1[[#This Row],[Annual Volume]]*Table1[[#This Row],[Yield
Saving]],"")</f>
        <v>0</v>
      </c>
      <c r="CE113" s="10">
        <f>IFERROR(Table1[[#This Row],[Annual Volume]]*Table1[[#This Row],[Material
Saving]],"")</f>
        <v>0</v>
      </c>
      <c r="CF113" s="10">
        <f>IFERROR(Table1[[#This Row],[OH
Saving]]*Table1[[#This Row],[Annual Volume]],"")</f>
        <v>0</v>
      </c>
      <c r="CG113" s="10">
        <f>SUM(Table1[[#This Row],[Labor_ASV]:[OH_ASV]])</f>
        <v>0</v>
      </c>
    </row>
    <row r="114" spans="1:85" x14ac:dyDescent="0.3">
      <c r="A114" t="str">
        <f>Table1[[#This Row],[Project Name]]&amp;Table1[[#This Row],[Part Number]]</f>
        <v>Au etching increase Frequency usageV24</v>
      </c>
      <c r="B114" t="str">
        <f>IFERROR(Table1[[#This Row],[Project Number]]&amp;Table1[[#This Row],[Part Number]],"")</f>
        <v>AME25-064V24</v>
      </c>
      <c r="C114" s="22" t="s">
        <v>111</v>
      </c>
      <c r="D114" s="24" t="s">
        <v>236</v>
      </c>
      <c r="E114" s="25" t="s">
        <v>60</v>
      </c>
      <c r="F114" s="6">
        <f>INDEX(Proj_Reg!G:G,MATCH($C114,Proj_Reg!$B:$B,0),1)</f>
        <v>46204</v>
      </c>
      <c r="G114" s="6">
        <f>INDEX(Proj_Reg!H:H,MATCH($C114,Proj_Reg!$B:$B,0),1)</f>
        <v>46539</v>
      </c>
      <c r="H114" s="6" t="str">
        <f>IF(INDEX(Proj_Reg!C:C,MATCH($C114,Proj_Reg!$B:$B,0),1)=0,"",INDEX(Proj_Reg!C:C,MATCH($C114,Proj_Reg!$B:$B,0),1))</f>
        <v>Wet Etching</v>
      </c>
      <c r="I114" s="6" t="str">
        <f>IF(INDEX(Proj_Reg!D:D,MATCH($C114,Proj_Reg!$B:$B,0),1)=0,"",INDEX(Proj_Reg!D:D,MATCH($C114,Proj_Reg!$B:$B,0),1))</f>
        <v>XWP</v>
      </c>
      <c r="J114" s="6" t="str">
        <f>INDEX(Proj_Reg!E:E,MATCH($C114,Proj_Reg!$B:$B,0),1)</f>
        <v>Au etching increase Frequency usage</v>
      </c>
      <c r="K114" s="21">
        <v>0</v>
      </c>
      <c r="L114" s="21">
        <v>0</v>
      </c>
      <c r="M114" s="21">
        <v>0</v>
      </c>
      <c r="N114" s="21">
        <v>0</v>
      </c>
      <c r="O114" s="11">
        <f>SUM(Table1[[#This Row],[Labor
Saving]:[OH
Saving]])</f>
        <v>0</v>
      </c>
      <c r="Q114" s="40">
        <f t="shared" si="52"/>
        <v>0</v>
      </c>
      <c r="R114" s="40">
        <f t="shared" si="53"/>
        <v>0</v>
      </c>
      <c r="S114" s="40">
        <f t="shared" si="54"/>
        <v>0</v>
      </c>
      <c r="T114" s="40">
        <f t="shared" si="55"/>
        <v>0</v>
      </c>
      <c r="U114" s="40">
        <f t="shared" si="56"/>
        <v>0</v>
      </c>
      <c r="V114" s="40">
        <f t="shared" si="57"/>
        <v>0</v>
      </c>
      <c r="W114" s="40">
        <f t="shared" si="58"/>
        <v>19813.8</v>
      </c>
      <c r="X114" s="40">
        <f t="shared" si="59"/>
        <v>63769</v>
      </c>
      <c r="Y114" s="40">
        <f t="shared" si="60"/>
        <v>66046</v>
      </c>
      <c r="Z114" s="40">
        <f t="shared" si="61"/>
        <v>69372</v>
      </c>
      <c r="AA114" s="40">
        <f t="shared" si="62"/>
        <v>62658</v>
      </c>
      <c r="AB114" s="40">
        <f t="shared" si="63"/>
        <v>55945</v>
      </c>
      <c r="AC114" s="37">
        <f>SUM(Table1[[#This Row],[Jan]:[Dec]])</f>
        <v>337603.8</v>
      </c>
      <c r="AD114" s="15">
        <f t="shared" si="72"/>
        <v>0</v>
      </c>
      <c r="AE114" s="15">
        <f t="shared" si="73"/>
        <v>0</v>
      </c>
      <c r="AF114" s="15">
        <f t="shared" si="74"/>
        <v>0</v>
      </c>
      <c r="AG114" s="15">
        <f t="shared" si="75"/>
        <v>0</v>
      </c>
      <c r="AH114" s="15">
        <f t="shared" si="76"/>
        <v>0</v>
      </c>
      <c r="AI114" s="15">
        <f t="shared" si="77"/>
        <v>0</v>
      </c>
      <c r="AJ114" s="15">
        <f t="shared" si="78"/>
        <v>0</v>
      </c>
      <c r="AK114" s="15">
        <f t="shared" si="79"/>
        <v>0</v>
      </c>
      <c r="AL114" s="15">
        <f t="shared" si="80"/>
        <v>0</v>
      </c>
      <c r="AM114" s="15">
        <f t="shared" si="81"/>
        <v>0</v>
      </c>
      <c r="AN114" s="15">
        <f t="shared" si="82"/>
        <v>0</v>
      </c>
      <c r="AO114" s="15">
        <f t="shared" si="83"/>
        <v>0</v>
      </c>
      <c r="AP114" s="10">
        <f t="shared" si="84"/>
        <v>0</v>
      </c>
      <c r="AQ114" s="10">
        <f t="shared" si="85"/>
        <v>0</v>
      </c>
      <c r="AR114" s="10">
        <f t="shared" si="86"/>
        <v>0</v>
      </c>
      <c r="AS114" s="10">
        <f t="shared" si="87"/>
        <v>0</v>
      </c>
      <c r="AT114" s="10" t="b">
        <f t="shared" si="88"/>
        <v>1</v>
      </c>
      <c r="AU114" s="10">
        <f t="shared" si="64"/>
        <v>0</v>
      </c>
      <c r="AV114" s="10">
        <f t="shared" si="65"/>
        <v>0</v>
      </c>
      <c r="AW114" s="10">
        <f t="shared" si="66"/>
        <v>0</v>
      </c>
      <c r="AX114" s="10">
        <f t="shared" si="67"/>
        <v>0</v>
      </c>
      <c r="AY114" s="10">
        <f t="shared" si="89"/>
        <v>0</v>
      </c>
      <c r="AZ114" s="19">
        <f>IFERROR(IF($E114="REC",INDEX(A_Type_Volume!$B:$B,MATCH($D114,A_Type_Volume!$A:$A,0),1),IF($E114="VAM",INDEX(C_Type_Volume!$B:$B,MATCH($D114,C_Type_Volume!$A:$A,0),1),"X")),"")</f>
        <v>69512</v>
      </c>
      <c r="BA114" s="19">
        <f>IFERROR(IF($E114="REC",INDEX(A_Type_Volume!$C:$C,MATCH($D114,A_Type_Volume!$A:$A,0),1),IF($E114="VAM",INDEX(C_Type_Volume!$C:$C,MATCH($D114,C_Type_Volume!$A:$A,0),1),"X")),"")</f>
        <v>65060</v>
      </c>
      <c r="BB114" s="19">
        <f>IFERROR(IF($E114="REC",INDEX(A_Type_Volume!$D:$D,MATCH($D114,A_Type_Volume!$A:$A,0),1),IF($E114="VAM",INDEX(C_Type_Volume!$D:$D,MATCH($D114,C_Type_Volume!$A:$A,0),1),"X")),"")</f>
        <v>58684</v>
      </c>
      <c r="BC114" s="19">
        <f>IFERROR(IF($E114="REC",INDEX(A_Type_Volume!$E:$E,MATCH($D114,A_Type_Volume!$A:$A,0),1),IF($E114="VAM",INDEX(C_Type_Volume!$E:$E,MATCH($D114,C_Type_Volume!$A:$A,0),1),"X")),"")</f>
        <v>57951</v>
      </c>
      <c r="BD114" s="19">
        <f>IFERROR(IF($E114="REC",INDEX(A_Type_Volume!$F:$F,MATCH($D114,A_Type_Volume!$A:$A,0),1),IF($E114="VAM",INDEX(C_Type_Volume!$F:$F,MATCH($D114,C_Type_Volume!$A:$A,0),1),"X")),"")</f>
        <v>67223</v>
      </c>
      <c r="BE114" s="19">
        <f>IFERROR(IF($E114="REC",INDEX(A_Type_Volume!$G:$G,MATCH($D114,A_Type_Volume!$A:$A,0),1),IF($E114="VAM",INDEX(C_Type_Volume!$G:$G,MATCH($D114,C_Type_Volume!$A:$A,0),1),"X")),"")</f>
        <v>64905</v>
      </c>
      <c r="BF114" s="19">
        <f>IFERROR(IF($E114="REC",INDEX(A_Type_Volume!$H:$H,MATCH($D114,A_Type_Volume!$A:$A,0),1),IF($E114="VAM",INDEX(C_Type_Volume!$H:$H,MATCH($D114,C_Type_Volume!$A:$A,0),1),"X")),"")</f>
        <v>66046</v>
      </c>
      <c r="BG114" s="19">
        <f>IFERROR(IF($E114="REC",INDEX(A_Type_Volume!$I:$I,MATCH($D114,A_Type_Volume!$A:$A,0),1),IF($E114="VAM",INDEX(C_Type_Volume!$I:$I,MATCH($D114,C_Type_Volume!$A:$A,0),1),"X")),"")</f>
        <v>63769</v>
      </c>
      <c r="BH114" s="19">
        <f>IFERROR(IF($E114="REC",INDEX(A_Type_Volume!$J:$J,MATCH($D114,A_Type_Volume!$A:$A,0),1),IF($E114="VAM",INDEX(C_Type_Volume!$J:$J,MATCH($D114,C_Type_Volume!$A:$A,0),1),"X")),"")</f>
        <v>66046</v>
      </c>
      <c r="BI114" s="19">
        <f>IFERROR(IF($E114="REC",INDEX(A_Type_Volume!$K:$K,MATCH($D114,A_Type_Volume!$A:$A,0),1),IF($E114="VAM",INDEX(C_Type_Volume!$K:$K,MATCH($D114,C_Type_Volume!$A:$A,0),1),"X")),"")</f>
        <v>69372</v>
      </c>
      <c r="BJ114" s="19">
        <f>IFERROR(IF($E114="REC",INDEX(A_Type_Volume!$L:$L,MATCH($D114,A_Type_Volume!$A:$A,0),1),IF($E114="VAM",INDEX(C_Type_Volume!$L:$L,MATCH($D114,C_Type_Volume!$A:$A,0),1),"X")),"")</f>
        <v>62658</v>
      </c>
      <c r="BK114" s="19">
        <f>IFERROR(IF($E114="REC",INDEX(A_Type_Volume!M:M,MATCH($D114,A_Type_Volume!$A:$A,0),1),IF($E114="VAM",INDEX(C_Type_Volume!M:M,MATCH($D114,C_Type_Volume!$A:$A,0),1),"X")),"")</f>
        <v>55945</v>
      </c>
      <c r="BL114" s="38">
        <f>SUM(Table1[[#This Row],[Jan_AVF]:[Dec_AVF]])</f>
        <v>767171</v>
      </c>
      <c r="BM114" s="16">
        <f t="shared" si="90"/>
        <v>0</v>
      </c>
      <c r="BN114" s="16">
        <f t="shared" si="91"/>
        <v>0</v>
      </c>
      <c r="BO114" s="16">
        <f t="shared" si="92"/>
        <v>0</v>
      </c>
      <c r="BP114" s="16">
        <f t="shared" si="93"/>
        <v>0</v>
      </c>
      <c r="BQ114" s="16">
        <f t="shared" si="94"/>
        <v>0</v>
      </c>
      <c r="BR114" s="16">
        <f t="shared" si="95"/>
        <v>0</v>
      </c>
      <c r="BS114" s="16">
        <f t="shared" si="96"/>
        <v>0</v>
      </c>
      <c r="BT114" s="16">
        <f t="shared" si="97"/>
        <v>0</v>
      </c>
      <c r="BU114" s="16">
        <f t="shared" si="98"/>
        <v>0</v>
      </c>
      <c r="BV114" s="16">
        <f t="shared" si="99"/>
        <v>0</v>
      </c>
      <c r="BW114" s="16">
        <f t="shared" si="100"/>
        <v>0</v>
      </c>
      <c r="BX114" s="16">
        <f t="shared" si="101"/>
        <v>0</v>
      </c>
      <c r="BY114" s="10">
        <f t="shared" si="68"/>
        <v>0</v>
      </c>
      <c r="BZ114" s="10">
        <f t="shared" si="69"/>
        <v>0</v>
      </c>
      <c r="CA114" s="10">
        <f t="shared" si="70"/>
        <v>0</v>
      </c>
      <c r="CB114" s="10">
        <f t="shared" si="71"/>
        <v>0</v>
      </c>
      <c r="CC114" s="10">
        <f>IFERROR(Table1[[#This Row],[Labor
Saving]]*Table1[[#This Row],[Annual Volume]],"")</f>
        <v>0</v>
      </c>
      <c r="CD114" s="10">
        <f>IFERROR(Table1[[#This Row],[Annual Volume]]*Table1[[#This Row],[Yield
Saving]],"")</f>
        <v>0</v>
      </c>
      <c r="CE114" s="10">
        <f>IFERROR(Table1[[#This Row],[Annual Volume]]*Table1[[#This Row],[Material
Saving]],"")</f>
        <v>0</v>
      </c>
      <c r="CF114" s="10">
        <f>IFERROR(Table1[[#This Row],[OH
Saving]]*Table1[[#This Row],[Annual Volume]],"")</f>
        <v>0</v>
      </c>
      <c r="CG114" s="10">
        <f>SUM(Table1[[#This Row],[Labor_ASV]:[OH_ASV]])</f>
        <v>0</v>
      </c>
    </row>
    <row r="115" spans="1:85" x14ac:dyDescent="0.3">
      <c r="A115" t="str">
        <f>Table1[[#This Row],[Project Name]]&amp;Table1[[#This Row],[Part Number]]</f>
        <v>Au etching increase Frequency usageV25</v>
      </c>
      <c r="B115" t="str">
        <f>IFERROR(Table1[[#This Row],[Project Number]]&amp;Table1[[#This Row],[Part Number]],"")</f>
        <v>AME25-064V25</v>
      </c>
      <c r="C115" s="22" t="s">
        <v>111</v>
      </c>
      <c r="D115" s="24" t="s">
        <v>237</v>
      </c>
      <c r="E115" s="25" t="s">
        <v>60</v>
      </c>
      <c r="F115" s="6">
        <f>INDEX(Proj_Reg!G:G,MATCH($C115,Proj_Reg!$B:$B,0),1)</f>
        <v>46204</v>
      </c>
      <c r="G115" s="6">
        <f>INDEX(Proj_Reg!H:H,MATCH($C115,Proj_Reg!$B:$B,0),1)</f>
        <v>46539</v>
      </c>
      <c r="H115" s="6" t="str">
        <f>IF(INDEX(Proj_Reg!C:C,MATCH($C115,Proj_Reg!$B:$B,0),1)=0,"",INDEX(Proj_Reg!C:C,MATCH($C115,Proj_Reg!$B:$B,0),1))</f>
        <v>Wet Etching</v>
      </c>
      <c r="I115" s="6" t="str">
        <f>IF(INDEX(Proj_Reg!D:D,MATCH($C115,Proj_Reg!$B:$B,0),1)=0,"",INDEX(Proj_Reg!D:D,MATCH($C115,Proj_Reg!$B:$B,0),1))</f>
        <v>XWP</v>
      </c>
      <c r="J115" s="6" t="str">
        <f>INDEX(Proj_Reg!E:E,MATCH($C115,Proj_Reg!$B:$B,0),1)</f>
        <v>Au etching increase Frequency usage</v>
      </c>
      <c r="K115" s="21">
        <v>0</v>
      </c>
      <c r="L115" s="21">
        <v>0</v>
      </c>
      <c r="M115" s="21">
        <v>0</v>
      </c>
      <c r="N115" s="21">
        <v>0</v>
      </c>
      <c r="O115" s="11">
        <f>SUM(Table1[[#This Row],[Labor
Saving]:[OH
Saving]])</f>
        <v>0</v>
      </c>
      <c r="Q115" s="40">
        <f t="shared" si="52"/>
        <v>0</v>
      </c>
      <c r="R115" s="40">
        <f t="shared" si="53"/>
        <v>0</v>
      </c>
      <c r="S115" s="40">
        <f t="shared" si="54"/>
        <v>0</v>
      </c>
      <c r="T115" s="40">
        <f t="shared" si="55"/>
        <v>0</v>
      </c>
      <c r="U115" s="40">
        <f t="shared" si="56"/>
        <v>0</v>
      </c>
      <c r="V115" s="40">
        <f t="shared" si="57"/>
        <v>0</v>
      </c>
      <c r="W115" s="40">
        <f t="shared" si="58"/>
        <v>6864.5999999999995</v>
      </c>
      <c r="X115" s="40">
        <f t="shared" si="59"/>
        <v>22093</v>
      </c>
      <c r="Y115" s="40">
        <f t="shared" si="60"/>
        <v>22882</v>
      </c>
      <c r="Z115" s="40">
        <f t="shared" si="61"/>
        <v>23127</v>
      </c>
      <c r="AA115" s="40">
        <f t="shared" si="62"/>
        <v>20889</v>
      </c>
      <c r="AB115" s="40">
        <f t="shared" si="63"/>
        <v>18651</v>
      </c>
      <c r="AC115" s="37">
        <f>SUM(Table1[[#This Row],[Jan]:[Dec]])</f>
        <v>114506.6</v>
      </c>
      <c r="AD115" s="15">
        <f t="shared" si="72"/>
        <v>0</v>
      </c>
      <c r="AE115" s="15">
        <f t="shared" si="73"/>
        <v>0</v>
      </c>
      <c r="AF115" s="15">
        <f t="shared" si="74"/>
        <v>0</v>
      </c>
      <c r="AG115" s="15">
        <f t="shared" si="75"/>
        <v>0</v>
      </c>
      <c r="AH115" s="15">
        <f t="shared" si="76"/>
        <v>0</v>
      </c>
      <c r="AI115" s="15">
        <f t="shared" si="77"/>
        <v>0</v>
      </c>
      <c r="AJ115" s="15">
        <f t="shared" si="78"/>
        <v>0</v>
      </c>
      <c r="AK115" s="15">
        <f t="shared" si="79"/>
        <v>0</v>
      </c>
      <c r="AL115" s="15">
        <f t="shared" si="80"/>
        <v>0</v>
      </c>
      <c r="AM115" s="15">
        <f t="shared" si="81"/>
        <v>0</v>
      </c>
      <c r="AN115" s="15">
        <f t="shared" si="82"/>
        <v>0</v>
      </c>
      <c r="AO115" s="15">
        <f t="shared" si="83"/>
        <v>0</v>
      </c>
      <c r="AP115" s="10">
        <f t="shared" si="84"/>
        <v>0</v>
      </c>
      <c r="AQ115" s="10">
        <f t="shared" si="85"/>
        <v>0</v>
      </c>
      <c r="AR115" s="10">
        <f t="shared" si="86"/>
        <v>0</v>
      </c>
      <c r="AS115" s="10">
        <f t="shared" si="87"/>
        <v>0</v>
      </c>
      <c r="AT115" s="10" t="b">
        <f t="shared" si="88"/>
        <v>1</v>
      </c>
      <c r="AU115" s="10">
        <f t="shared" si="64"/>
        <v>0</v>
      </c>
      <c r="AV115" s="10">
        <f t="shared" si="65"/>
        <v>0</v>
      </c>
      <c r="AW115" s="10">
        <f t="shared" si="66"/>
        <v>0</v>
      </c>
      <c r="AX115" s="10">
        <f t="shared" si="67"/>
        <v>0</v>
      </c>
      <c r="AY115" s="10">
        <f t="shared" si="89"/>
        <v>0</v>
      </c>
      <c r="AZ115" s="19">
        <f>IFERROR(IF($E115="REC",INDEX(A_Type_Volume!$B:$B,MATCH($D115,A_Type_Volume!$A:$A,0),1),IF($E115="VAM",INDEX(C_Type_Volume!$B:$B,MATCH($D115,C_Type_Volume!$A:$A,0),1),"X")),"")</f>
        <v>0</v>
      </c>
      <c r="BA115" s="19">
        <f>IFERROR(IF($E115="REC",INDEX(A_Type_Volume!$C:$C,MATCH($D115,A_Type_Volume!$A:$A,0),1),IF($E115="VAM",INDEX(C_Type_Volume!$C:$C,MATCH($D115,C_Type_Volume!$A:$A,0),1),"X")),"")</f>
        <v>18185</v>
      </c>
      <c r="BB115" s="19">
        <f>IFERROR(IF($E115="REC",INDEX(A_Type_Volume!$D:$D,MATCH($D115,A_Type_Volume!$A:$A,0),1),IF($E115="VAM",INDEX(C_Type_Volume!$D:$D,MATCH($D115,C_Type_Volume!$A:$A,0),1),"X")),"")</f>
        <v>11737</v>
      </c>
      <c r="BC115" s="19">
        <f>IFERROR(IF($E115="REC",INDEX(A_Type_Volume!$E:$E,MATCH($D115,A_Type_Volume!$A:$A,0),1),IF($E115="VAM",INDEX(C_Type_Volume!$E:$E,MATCH($D115,C_Type_Volume!$A:$A,0),1),"X")),"")</f>
        <v>18964</v>
      </c>
      <c r="BD115" s="19">
        <f>IFERROR(IF($E115="REC",INDEX(A_Type_Volume!$F:$F,MATCH($D115,A_Type_Volume!$A:$A,0),1),IF($E115="VAM",INDEX(C_Type_Volume!$F:$F,MATCH($D115,C_Type_Volume!$A:$A,0),1),"X")),"")</f>
        <v>21999</v>
      </c>
      <c r="BE115" s="19">
        <f>IFERROR(IF($E115="REC",INDEX(A_Type_Volume!$G:$G,MATCH($D115,A_Type_Volume!$A:$A,0),1),IF($E115="VAM",INDEX(C_Type_Volume!$G:$G,MATCH($D115,C_Type_Volume!$A:$A,0),1),"X")),"")</f>
        <v>21240</v>
      </c>
      <c r="BF115" s="19">
        <f>IFERROR(IF($E115="REC",INDEX(A_Type_Volume!$H:$H,MATCH($D115,A_Type_Volume!$A:$A,0),1),IF($E115="VAM",INDEX(C_Type_Volume!$H:$H,MATCH($D115,C_Type_Volume!$A:$A,0),1),"X")),"")</f>
        <v>22882</v>
      </c>
      <c r="BG115" s="19">
        <f>IFERROR(IF($E115="REC",INDEX(A_Type_Volume!$I:$I,MATCH($D115,A_Type_Volume!$A:$A,0),1),IF($E115="VAM",INDEX(C_Type_Volume!$I:$I,MATCH($D115,C_Type_Volume!$A:$A,0),1),"X")),"")</f>
        <v>22093</v>
      </c>
      <c r="BH115" s="19">
        <f>IFERROR(IF($E115="REC",INDEX(A_Type_Volume!$J:$J,MATCH($D115,A_Type_Volume!$A:$A,0),1),IF($E115="VAM",INDEX(C_Type_Volume!$J:$J,MATCH($D115,C_Type_Volume!$A:$A,0),1),"X")),"")</f>
        <v>22882</v>
      </c>
      <c r="BI115" s="19">
        <f>IFERROR(IF($E115="REC",INDEX(A_Type_Volume!$K:$K,MATCH($D115,A_Type_Volume!$A:$A,0),1),IF($E115="VAM",INDEX(C_Type_Volume!$K:$K,MATCH($D115,C_Type_Volume!$A:$A,0),1),"X")),"")</f>
        <v>23127</v>
      </c>
      <c r="BJ115" s="19">
        <f>IFERROR(IF($E115="REC",INDEX(A_Type_Volume!$L:$L,MATCH($D115,A_Type_Volume!$A:$A,0),1),IF($E115="VAM",INDEX(C_Type_Volume!$L:$L,MATCH($D115,C_Type_Volume!$A:$A,0),1),"X")),"")</f>
        <v>20889</v>
      </c>
      <c r="BK115" s="19">
        <f>IFERROR(IF($E115="REC",INDEX(A_Type_Volume!M:M,MATCH($D115,A_Type_Volume!$A:$A,0),1),IF($E115="VAM",INDEX(C_Type_Volume!M:M,MATCH($D115,C_Type_Volume!$A:$A,0),1),"X")),"")</f>
        <v>18651</v>
      </c>
      <c r="BL115" s="38">
        <f>SUM(Table1[[#This Row],[Jan_AVF]:[Dec_AVF]])</f>
        <v>222649</v>
      </c>
      <c r="BM115" s="16">
        <f t="shared" si="90"/>
        <v>0</v>
      </c>
      <c r="BN115" s="16">
        <f t="shared" si="91"/>
        <v>0</v>
      </c>
      <c r="BO115" s="16">
        <f t="shared" si="92"/>
        <v>0</v>
      </c>
      <c r="BP115" s="16">
        <f t="shared" si="93"/>
        <v>0</v>
      </c>
      <c r="BQ115" s="16">
        <f t="shared" si="94"/>
        <v>0</v>
      </c>
      <c r="BR115" s="16">
        <f t="shared" si="95"/>
        <v>0</v>
      </c>
      <c r="BS115" s="16">
        <f t="shared" si="96"/>
        <v>0</v>
      </c>
      <c r="BT115" s="16">
        <f t="shared" si="97"/>
        <v>0</v>
      </c>
      <c r="BU115" s="16">
        <f t="shared" si="98"/>
        <v>0</v>
      </c>
      <c r="BV115" s="16">
        <f t="shared" si="99"/>
        <v>0</v>
      </c>
      <c r="BW115" s="16">
        <f t="shared" si="100"/>
        <v>0</v>
      </c>
      <c r="BX115" s="16">
        <f t="shared" si="101"/>
        <v>0</v>
      </c>
      <c r="BY115" s="10">
        <f t="shared" si="68"/>
        <v>0</v>
      </c>
      <c r="BZ115" s="10">
        <f t="shared" si="69"/>
        <v>0</v>
      </c>
      <c r="CA115" s="10">
        <f t="shared" si="70"/>
        <v>0</v>
      </c>
      <c r="CB115" s="10">
        <f t="shared" si="71"/>
        <v>0</v>
      </c>
      <c r="CC115" s="10">
        <f>IFERROR(Table1[[#This Row],[Labor
Saving]]*Table1[[#This Row],[Annual Volume]],"")</f>
        <v>0</v>
      </c>
      <c r="CD115" s="10">
        <f>IFERROR(Table1[[#This Row],[Annual Volume]]*Table1[[#This Row],[Yield
Saving]],"")</f>
        <v>0</v>
      </c>
      <c r="CE115" s="10">
        <f>IFERROR(Table1[[#This Row],[Annual Volume]]*Table1[[#This Row],[Material
Saving]],"")</f>
        <v>0</v>
      </c>
      <c r="CF115" s="10">
        <f>IFERROR(Table1[[#This Row],[OH
Saving]]*Table1[[#This Row],[Annual Volume]],"")</f>
        <v>0</v>
      </c>
      <c r="CG115" s="10">
        <f>SUM(Table1[[#This Row],[Labor_ASV]:[OH_ASV]])</f>
        <v>0</v>
      </c>
    </row>
    <row r="116" spans="1:85" x14ac:dyDescent="0.3">
      <c r="A116" t="str">
        <f>Table1[[#This Row],[Project Name]]&amp;Table1[[#This Row],[Part Number]]</f>
        <v>Au etching increase Frequency usageV26</v>
      </c>
      <c r="B116" t="str">
        <f>IFERROR(Table1[[#This Row],[Project Number]]&amp;Table1[[#This Row],[Part Number]],"")</f>
        <v>AME25-064V26</v>
      </c>
      <c r="C116" s="22" t="s">
        <v>111</v>
      </c>
      <c r="D116" s="24" t="s">
        <v>238</v>
      </c>
      <c r="E116" s="25" t="s">
        <v>60</v>
      </c>
      <c r="F116" s="6">
        <f>INDEX(Proj_Reg!G:G,MATCH($C116,Proj_Reg!$B:$B,0),1)</f>
        <v>46204</v>
      </c>
      <c r="G116" s="6">
        <f>INDEX(Proj_Reg!H:H,MATCH($C116,Proj_Reg!$B:$B,0),1)</f>
        <v>46539</v>
      </c>
      <c r="H116" s="6" t="str">
        <f>IF(INDEX(Proj_Reg!C:C,MATCH($C116,Proj_Reg!$B:$B,0),1)=0,"",INDEX(Proj_Reg!C:C,MATCH($C116,Proj_Reg!$B:$B,0),1))</f>
        <v>Wet Etching</v>
      </c>
      <c r="I116" s="6" t="str">
        <f>IF(INDEX(Proj_Reg!D:D,MATCH($C116,Proj_Reg!$B:$B,0),1)=0,"",INDEX(Proj_Reg!D:D,MATCH($C116,Proj_Reg!$B:$B,0),1))</f>
        <v>XWP</v>
      </c>
      <c r="J116" s="6" t="str">
        <f>INDEX(Proj_Reg!E:E,MATCH($C116,Proj_Reg!$B:$B,0),1)</f>
        <v>Au etching increase Frequency usage</v>
      </c>
      <c r="K116" s="21">
        <v>0</v>
      </c>
      <c r="L116" s="21">
        <v>0</v>
      </c>
      <c r="M116" s="21">
        <v>0</v>
      </c>
      <c r="N116" s="21">
        <v>0</v>
      </c>
      <c r="O116" s="11">
        <f>SUM(Table1[[#This Row],[Labor
Saving]:[OH
Saving]])</f>
        <v>0</v>
      </c>
      <c r="Q116" s="40">
        <f t="shared" si="52"/>
        <v>0</v>
      </c>
      <c r="R116" s="40">
        <f t="shared" si="53"/>
        <v>0</v>
      </c>
      <c r="S116" s="40">
        <f t="shared" si="54"/>
        <v>0</v>
      </c>
      <c r="T116" s="40">
        <f t="shared" si="55"/>
        <v>0</v>
      </c>
      <c r="U116" s="40">
        <f t="shared" si="56"/>
        <v>0</v>
      </c>
      <c r="V116" s="40">
        <f t="shared" si="57"/>
        <v>0</v>
      </c>
      <c r="W116" s="40">
        <f t="shared" si="58"/>
        <v>5910.3</v>
      </c>
      <c r="X116" s="40">
        <f t="shared" si="59"/>
        <v>19022</v>
      </c>
      <c r="Y116" s="40">
        <f t="shared" si="60"/>
        <v>19701</v>
      </c>
      <c r="Z116" s="40">
        <f t="shared" si="61"/>
        <v>21113</v>
      </c>
      <c r="AA116" s="40">
        <f t="shared" si="62"/>
        <v>19070</v>
      </c>
      <c r="AB116" s="40">
        <f t="shared" si="63"/>
        <v>17027</v>
      </c>
      <c r="AC116" s="37">
        <f>SUM(Table1[[#This Row],[Jan]:[Dec]])</f>
        <v>101843.3</v>
      </c>
      <c r="AD116" s="15">
        <f t="shared" si="72"/>
        <v>0</v>
      </c>
      <c r="AE116" s="15">
        <f t="shared" si="73"/>
        <v>0</v>
      </c>
      <c r="AF116" s="15">
        <f t="shared" si="74"/>
        <v>0</v>
      </c>
      <c r="AG116" s="15">
        <f t="shared" si="75"/>
        <v>0</v>
      </c>
      <c r="AH116" s="15">
        <f t="shared" si="76"/>
        <v>0</v>
      </c>
      <c r="AI116" s="15">
        <f t="shared" si="77"/>
        <v>0</v>
      </c>
      <c r="AJ116" s="15">
        <f t="shared" si="78"/>
        <v>0</v>
      </c>
      <c r="AK116" s="15">
        <f t="shared" si="79"/>
        <v>0</v>
      </c>
      <c r="AL116" s="15">
        <f t="shared" si="80"/>
        <v>0</v>
      </c>
      <c r="AM116" s="15">
        <f t="shared" si="81"/>
        <v>0</v>
      </c>
      <c r="AN116" s="15">
        <f t="shared" si="82"/>
        <v>0</v>
      </c>
      <c r="AO116" s="15">
        <f t="shared" si="83"/>
        <v>0</v>
      </c>
      <c r="AP116" s="10">
        <f t="shared" si="84"/>
        <v>0</v>
      </c>
      <c r="AQ116" s="10">
        <f t="shared" si="85"/>
        <v>0</v>
      </c>
      <c r="AR116" s="10">
        <f t="shared" si="86"/>
        <v>0</v>
      </c>
      <c r="AS116" s="10">
        <f t="shared" si="87"/>
        <v>0</v>
      </c>
      <c r="AT116" s="10" t="b">
        <f t="shared" si="88"/>
        <v>1</v>
      </c>
      <c r="AU116" s="10">
        <f t="shared" si="64"/>
        <v>0</v>
      </c>
      <c r="AV116" s="10">
        <f t="shared" si="65"/>
        <v>0</v>
      </c>
      <c r="AW116" s="10">
        <f t="shared" si="66"/>
        <v>0</v>
      </c>
      <c r="AX116" s="10">
        <f t="shared" si="67"/>
        <v>0</v>
      </c>
      <c r="AY116" s="10">
        <f t="shared" si="89"/>
        <v>0</v>
      </c>
      <c r="AZ116" s="19">
        <f>IFERROR(IF($E116="REC",INDEX(A_Type_Volume!$B:$B,MATCH($D116,A_Type_Volume!$A:$A,0),1),IF($E116="VAM",INDEX(C_Type_Volume!$B:$B,MATCH($D116,C_Type_Volume!$A:$A,0),1),"X")),"")</f>
        <v>4739</v>
      </c>
      <c r="BA116" s="19">
        <f>IFERROR(IF($E116="REC",INDEX(A_Type_Volume!$C:$C,MATCH($D116,A_Type_Volume!$A:$A,0),1),IF($E116="VAM",INDEX(C_Type_Volume!$C:$C,MATCH($D116,C_Type_Volume!$A:$A,0),1),"X")),"")</f>
        <v>12592</v>
      </c>
      <c r="BB116" s="19">
        <f>IFERROR(IF($E116="REC",INDEX(A_Type_Volume!$D:$D,MATCH($D116,A_Type_Volume!$A:$A,0),1),IF($E116="VAM",INDEX(C_Type_Volume!$D:$D,MATCH($D116,C_Type_Volume!$A:$A,0),1),"X")),"")</f>
        <v>20120</v>
      </c>
      <c r="BC116" s="19">
        <f>IFERROR(IF($E116="REC",INDEX(A_Type_Volume!$E:$E,MATCH($D116,A_Type_Volume!$A:$A,0),1),IF($E116="VAM",INDEX(C_Type_Volume!$E:$E,MATCH($D116,C_Type_Volume!$A:$A,0),1),"X")),"")</f>
        <v>16825</v>
      </c>
      <c r="BD116" s="19">
        <f>IFERROR(IF($E116="REC",INDEX(A_Type_Volume!$F:$F,MATCH($D116,A_Type_Volume!$A:$A,0),1),IF($E116="VAM",INDEX(C_Type_Volume!$F:$F,MATCH($D116,C_Type_Volume!$A:$A,0),1),"X")),"")</f>
        <v>19517</v>
      </c>
      <c r="BE116" s="19">
        <f>IFERROR(IF($E116="REC",INDEX(A_Type_Volume!$G:$G,MATCH($D116,A_Type_Volume!$A:$A,0),1),IF($E116="VAM",INDEX(C_Type_Volume!$G:$G,MATCH($D116,C_Type_Volume!$A:$A,0),1),"X")),"")</f>
        <v>18844</v>
      </c>
      <c r="BF116" s="19">
        <f>IFERROR(IF($E116="REC",INDEX(A_Type_Volume!$H:$H,MATCH($D116,A_Type_Volume!$A:$A,0),1),IF($E116="VAM",INDEX(C_Type_Volume!$H:$H,MATCH($D116,C_Type_Volume!$A:$A,0),1),"X")),"")</f>
        <v>19701</v>
      </c>
      <c r="BG116" s="19">
        <f>IFERROR(IF($E116="REC",INDEX(A_Type_Volume!$I:$I,MATCH($D116,A_Type_Volume!$A:$A,0),1),IF($E116="VAM",INDEX(C_Type_Volume!$I:$I,MATCH($D116,C_Type_Volume!$A:$A,0),1),"X")),"")</f>
        <v>19022</v>
      </c>
      <c r="BH116" s="19">
        <f>IFERROR(IF($E116="REC",INDEX(A_Type_Volume!$J:$J,MATCH($D116,A_Type_Volume!$A:$A,0),1),IF($E116="VAM",INDEX(C_Type_Volume!$J:$J,MATCH($D116,C_Type_Volume!$A:$A,0),1),"X")),"")</f>
        <v>19701</v>
      </c>
      <c r="BI116" s="19">
        <f>IFERROR(IF($E116="REC",INDEX(A_Type_Volume!$K:$K,MATCH($D116,A_Type_Volume!$A:$A,0),1),IF($E116="VAM",INDEX(C_Type_Volume!$K:$K,MATCH($D116,C_Type_Volume!$A:$A,0),1),"X")),"")</f>
        <v>21113</v>
      </c>
      <c r="BJ116" s="19">
        <f>IFERROR(IF($E116="REC",INDEX(A_Type_Volume!$L:$L,MATCH($D116,A_Type_Volume!$A:$A,0),1),IF($E116="VAM",INDEX(C_Type_Volume!$L:$L,MATCH($D116,C_Type_Volume!$A:$A,0),1),"X")),"")</f>
        <v>19070</v>
      </c>
      <c r="BK116" s="19">
        <f>IFERROR(IF($E116="REC",INDEX(A_Type_Volume!M:M,MATCH($D116,A_Type_Volume!$A:$A,0),1),IF($E116="VAM",INDEX(C_Type_Volume!M:M,MATCH($D116,C_Type_Volume!$A:$A,0),1),"X")),"")</f>
        <v>17027</v>
      </c>
      <c r="BL116" s="38">
        <f>SUM(Table1[[#This Row],[Jan_AVF]:[Dec_AVF]])</f>
        <v>208271</v>
      </c>
      <c r="BM116" s="16">
        <f t="shared" si="90"/>
        <v>0</v>
      </c>
      <c r="BN116" s="16">
        <f t="shared" si="91"/>
        <v>0</v>
      </c>
      <c r="BO116" s="16">
        <f t="shared" si="92"/>
        <v>0</v>
      </c>
      <c r="BP116" s="16">
        <f t="shared" si="93"/>
        <v>0</v>
      </c>
      <c r="BQ116" s="16">
        <f t="shared" si="94"/>
        <v>0</v>
      </c>
      <c r="BR116" s="16">
        <f t="shared" si="95"/>
        <v>0</v>
      </c>
      <c r="BS116" s="16">
        <f t="shared" si="96"/>
        <v>0</v>
      </c>
      <c r="BT116" s="16">
        <f t="shared" si="97"/>
        <v>0</v>
      </c>
      <c r="BU116" s="16">
        <f t="shared" si="98"/>
        <v>0</v>
      </c>
      <c r="BV116" s="16">
        <f t="shared" si="99"/>
        <v>0</v>
      </c>
      <c r="BW116" s="16">
        <f t="shared" si="100"/>
        <v>0</v>
      </c>
      <c r="BX116" s="16">
        <f t="shared" si="101"/>
        <v>0</v>
      </c>
      <c r="BY116" s="10">
        <f t="shared" si="68"/>
        <v>0</v>
      </c>
      <c r="BZ116" s="10">
        <f t="shared" si="69"/>
        <v>0</v>
      </c>
      <c r="CA116" s="10">
        <f t="shared" si="70"/>
        <v>0</v>
      </c>
      <c r="CB116" s="10">
        <f t="shared" si="71"/>
        <v>0</v>
      </c>
      <c r="CC116" s="10">
        <f>IFERROR(Table1[[#This Row],[Labor
Saving]]*Table1[[#This Row],[Annual Volume]],"")</f>
        <v>0</v>
      </c>
      <c r="CD116" s="10">
        <f>IFERROR(Table1[[#This Row],[Annual Volume]]*Table1[[#This Row],[Yield
Saving]],"")</f>
        <v>0</v>
      </c>
      <c r="CE116" s="10">
        <f>IFERROR(Table1[[#This Row],[Annual Volume]]*Table1[[#This Row],[Material
Saving]],"")</f>
        <v>0</v>
      </c>
      <c r="CF116" s="10">
        <f>IFERROR(Table1[[#This Row],[OH
Saving]]*Table1[[#This Row],[Annual Volume]],"")</f>
        <v>0</v>
      </c>
      <c r="CG116" s="10">
        <f>SUM(Table1[[#This Row],[Labor_ASV]:[OH_ASV]])</f>
        <v>0</v>
      </c>
    </row>
    <row r="117" spans="1:85" x14ac:dyDescent="0.3">
      <c r="A117" t="e">
        <f>Table1[[#This Row],[Project Name]]&amp;Table1[[#This Row],[Part Number]]</f>
        <v>#N/A</v>
      </c>
      <c r="B117" t="str">
        <f>IFERROR(Table1[[#This Row],[Project Number]]&amp;Table1[[#This Row],[Part Number]],"")</f>
        <v/>
      </c>
      <c r="C117" s="22" t="s">
        <v>112</v>
      </c>
      <c r="D117" s="24" t="e">
        <v>#N/A</v>
      </c>
      <c r="E117" s="25" t="s">
        <v>60</v>
      </c>
      <c r="F117" s="6" t="str">
        <f>INDEX(Proj_Reg!G:G,MATCH($C117,Proj_Reg!$B:$B,0),1)</f>
        <v>For Confirmation</v>
      </c>
      <c r="G117" s="6" t="e">
        <f>INDEX(Proj_Reg!H:H,MATCH($C117,Proj_Reg!$B:$B,0),1)</f>
        <v>#VALUE!</v>
      </c>
      <c r="H117" s="6" t="str">
        <f>IF(INDEX(Proj_Reg!C:C,MATCH($C117,Proj_Reg!$B:$B,0),1)=0,"",INDEX(Proj_Reg!C:C,MATCH($C117,Proj_Reg!$B:$B,0),1))</f>
        <v>Wet Etching</v>
      </c>
      <c r="I117" s="6" t="str">
        <f>IF(INDEX(Proj_Reg!D:D,MATCH($C117,Proj_Reg!$B:$B,0),1)=0,"",INDEX(Proj_Reg!D:D,MATCH($C117,Proj_Reg!$B:$B,0),1))</f>
        <v>XWP</v>
      </c>
      <c r="J117" s="6" t="str">
        <f>INDEX(Proj_Reg!E:E,MATCH($C117,Proj_Reg!$B:$B,0),1)</f>
        <v>ERU5G Auto cut and strip</v>
      </c>
      <c r="K117" s="21">
        <v>0</v>
      </c>
      <c r="L117" s="21">
        <v>0</v>
      </c>
      <c r="M117" s="21">
        <v>0</v>
      </c>
      <c r="N117" s="21">
        <v>0</v>
      </c>
      <c r="O117" s="11">
        <f>SUM(Table1[[#This Row],[Labor
Saving]:[OH
Saving]])</f>
        <v>0</v>
      </c>
      <c r="Q117" s="40" t="str">
        <f t="shared" si="52"/>
        <v/>
      </c>
      <c r="R117" s="40" t="str">
        <f t="shared" si="53"/>
        <v/>
      </c>
      <c r="S117" s="40" t="str">
        <f t="shared" si="54"/>
        <v/>
      </c>
      <c r="T117" s="40" t="str">
        <f t="shared" si="55"/>
        <v/>
      </c>
      <c r="U117" s="40" t="str">
        <f t="shared" si="56"/>
        <v/>
      </c>
      <c r="V117" s="40" t="str">
        <f t="shared" si="57"/>
        <v/>
      </c>
      <c r="W117" s="40" t="str">
        <f t="shared" si="58"/>
        <v/>
      </c>
      <c r="X117" s="40" t="str">
        <f t="shared" si="59"/>
        <v/>
      </c>
      <c r="Y117" s="40" t="str">
        <f t="shared" si="60"/>
        <v/>
      </c>
      <c r="Z117" s="40" t="str">
        <f t="shared" si="61"/>
        <v/>
      </c>
      <c r="AA117" s="40" t="str">
        <f t="shared" si="62"/>
        <v/>
      </c>
      <c r="AB117" s="40" t="str">
        <f t="shared" si="63"/>
        <v/>
      </c>
      <c r="AC117" s="37">
        <f>SUM(Table1[[#This Row],[Jan]:[Dec]])</f>
        <v>0</v>
      </c>
      <c r="AD117" s="15" t="str">
        <f t="shared" si="72"/>
        <v/>
      </c>
      <c r="AE117" s="15" t="str">
        <f t="shared" si="73"/>
        <v/>
      </c>
      <c r="AF117" s="15" t="str">
        <f t="shared" si="74"/>
        <v/>
      </c>
      <c r="AG117" s="15" t="str">
        <f t="shared" si="75"/>
        <v/>
      </c>
      <c r="AH117" s="15" t="str">
        <f t="shared" si="76"/>
        <v/>
      </c>
      <c r="AI117" s="15" t="str">
        <f t="shared" si="77"/>
        <v/>
      </c>
      <c r="AJ117" s="15" t="str">
        <f t="shared" si="78"/>
        <v/>
      </c>
      <c r="AK117" s="15" t="str">
        <f t="shared" si="79"/>
        <v/>
      </c>
      <c r="AL117" s="15" t="str">
        <f t="shared" si="80"/>
        <v/>
      </c>
      <c r="AM117" s="15" t="str">
        <f t="shared" si="81"/>
        <v/>
      </c>
      <c r="AN117" s="15" t="str">
        <f t="shared" si="82"/>
        <v/>
      </c>
      <c r="AO117" s="15" t="str">
        <f t="shared" si="83"/>
        <v/>
      </c>
      <c r="AP117" s="10">
        <f t="shared" si="84"/>
        <v>0</v>
      </c>
      <c r="AQ117" s="10">
        <f t="shared" si="85"/>
        <v>0</v>
      </c>
      <c r="AR117" s="10">
        <f t="shared" si="86"/>
        <v>0</v>
      </c>
      <c r="AS117" s="10">
        <f t="shared" si="87"/>
        <v>0</v>
      </c>
      <c r="AT117" s="10" t="b">
        <f t="shared" si="88"/>
        <v>1</v>
      </c>
      <c r="AU117" s="10">
        <f t="shared" si="64"/>
        <v>0</v>
      </c>
      <c r="AV117" s="10">
        <f t="shared" si="65"/>
        <v>0</v>
      </c>
      <c r="AW117" s="10">
        <f t="shared" si="66"/>
        <v>0</v>
      </c>
      <c r="AX117" s="10">
        <f t="shared" si="67"/>
        <v>0</v>
      </c>
      <c r="AY117" s="10">
        <f t="shared" si="89"/>
        <v>0</v>
      </c>
      <c r="AZ117" s="19" t="str">
        <f>IFERROR(IF($E117="REC",INDEX(A_Type_Volume!$B:$B,MATCH($D117,A_Type_Volume!$A:$A,0),1),IF($E117="VAM",INDEX(C_Type_Volume!$B:$B,MATCH($D117,C_Type_Volume!$A:$A,0),1),"X")),"")</f>
        <v/>
      </c>
      <c r="BA117" s="19" t="str">
        <f>IFERROR(IF($E117="REC",INDEX(A_Type_Volume!$C:$C,MATCH($D117,A_Type_Volume!$A:$A,0),1),IF($E117="VAM",INDEX(C_Type_Volume!$C:$C,MATCH($D117,C_Type_Volume!$A:$A,0),1),"X")),"")</f>
        <v/>
      </c>
      <c r="BB117" s="19" t="str">
        <f>IFERROR(IF($E117="REC",INDEX(A_Type_Volume!$D:$D,MATCH($D117,A_Type_Volume!$A:$A,0),1),IF($E117="VAM",INDEX(C_Type_Volume!$D:$D,MATCH($D117,C_Type_Volume!$A:$A,0),1),"X")),"")</f>
        <v/>
      </c>
      <c r="BC117" s="19" t="str">
        <f>IFERROR(IF($E117="REC",INDEX(A_Type_Volume!$E:$E,MATCH($D117,A_Type_Volume!$A:$A,0),1),IF($E117="VAM",INDEX(C_Type_Volume!$E:$E,MATCH($D117,C_Type_Volume!$A:$A,0),1),"X")),"")</f>
        <v/>
      </c>
      <c r="BD117" s="19" t="str">
        <f>IFERROR(IF($E117="REC",INDEX(A_Type_Volume!$F:$F,MATCH($D117,A_Type_Volume!$A:$A,0),1),IF($E117="VAM",INDEX(C_Type_Volume!$F:$F,MATCH($D117,C_Type_Volume!$A:$A,0),1),"X")),"")</f>
        <v/>
      </c>
      <c r="BE117" s="19" t="str">
        <f>IFERROR(IF($E117="REC",INDEX(A_Type_Volume!$G:$G,MATCH($D117,A_Type_Volume!$A:$A,0),1),IF($E117="VAM",INDEX(C_Type_Volume!$G:$G,MATCH($D117,C_Type_Volume!$A:$A,0),1),"X")),"")</f>
        <v/>
      </c>
      <c r="BF117" s="19" t="str">
        <f>IFERROR(IF($E117="REC",INDEX(A_Type_Volume!$H:$H,MATCH($D117,A_Type_Volume!$A:$A,0),1),IF($E117="VAM",INDEX(C_Type_Volume!$H:$H,MATCH($D117,C_Type_Volume!$A:$A,0),1),"X")),"")</f>
        <v/>
      </c>
      <c r="BG117" s="19" t="str">
        <f>IFERROR(IF($E117="REC",INDEX(A_Type_Volume!$I:$I,MATCH($D117,A_Type_Volume!$A:$A,0),1),IF($E117="VAM",INDEX(C_Type_Volume!$I:$I,MATCH($D117,C_Type_Volume!$A:$A,0),1),"X")),"")</f>
        <v/>
      </c>
      <c r="BH117" s="19" t="str">
        <f>IFERROR(IF($E117="REC",INDEX(A_Type_Volume!$J:$J,MATCH($D117,A_Type_Volume!$A:$A,0),1),IF($E117="VAM",INDEX(C_Type_Volume!$J:$J,MATCH($D117,C_Type_Volume!$A:$A,0),1),"X")),"")</f>
        <v/>
      </c>
      <c r="BI117" s="19" t="str">
        <f>IFERROR(IF($E117="REC",INDEX(A_Type_Volume!$K:$K,MATCH($D117,A_Type_Volume!$A:$A,0),1),IF($E117="VAM",INDEX(C_Type_Volume!$K:$K,MATCH($D117,C_Type_Volume!$A:$A,0),1),"X")),"")</f>
        <v/>
      </c>
      <c r="BJ117" s="19" t="str">
        <f>IFERROR(IF($E117="REC",INDEX(A_Type_Volume!$L:$L,MATCH($D117,A_Type_Volume!$A:$A,0),1),IF($E117="VAM",INDEX(C_Type_Volume!$L:$L,MATCH($D117,C_Type_Volume!$A:$A,0),1),"X")),"")</f>
        <v/>
      </c>
      <c r="BK117" s="19" t="str">
        <f>IFERROR(IF($E117="REC",INDEX(A_Type_Volume!M:M,MATCH($D117,A_Type_Volume!$A:$A,0),1),IF($E117="VAM",INDEX(C_Type_Volume!M:M,MATCH($D117,C_Type_Volume!$A:$A,0),1),"X")),"")</f>
        <v/>
      </c>
      <c r="BL117" s="38">
        <f>SUM(Table1[[#This Row],[Jan_AVF]:[Dec_AVF]])</f>
        <v>0</v>
      </c>
      <c r="BM117" s="16" t="e">
        <f t="shared" si="90"/>
        <v>#VALUE!</v>
      </c>
      <c r="BN117" s="16" t="e">
        <f t="shared" si="91"/>
        <v>#VALUE!</v>
      </c>
      <c r="BO117" s="16" t="e">
        <f t="shared" si="92"/>
        <v>#VALUE!</v>
      </c>
      <c r="BP117" s="16" t="e">
        <f t="shared" si="93"/>
        <v>#VALUE!</v>
      </c>
      <c r="BQ117" s="16" t="e">
        <f t="shared" si="94"/>
        <v>#VALUE!</v>
      </c>
      <c r="BR117" s="16" t="e">
        <f t="shared" si="95"/>
        <v>#VALUE!</v>
      </c>
      <c r="BS117" s="16" t="e">
        <f t="shared" si="96"/>
        <v>#VALUE!</v>
      </c>
      <c r="BT117" s="16" t="e">
        <f t="shared" si="97"/>
        <v>#VALUE!</v>
      </c>
      <c r="BU117" s="16" t="e">
        <f t="shared" si="98"/>
        <v>#VALUE!</v>
      </c>
      <c r="BV117" s="16" t="e">
        <f t="shared" si="99"/>
        <v>#VALUE!</v>
      </c>
      <c r="BW117" s="16" t="e">
        <f t="shared" si="100"/>
        <v>#VALUE!</v>
      </c>
      <c r="BX117" s="16" t="e">
        <f t="shared" si="101"/>
        <v>#VALUE!</v>
      </c>
      <c r="BY117" s="10" t="str">
        <f t="shared" si="68"/>
        <v/>
      </c>
      <c r="BZ117" s="10" t="str">
        <f t="shared" si="69"/>
        <v/>
      </c>
      <c r="CA117" s="10" t="str">
        <f t="shared" si="70"/>
        <v/>
      </c>
      <c r="CB117" s="10" t="str">
        <f t="shared" si="71"/>
        <v/>
      </c>
      <c r="CC117" s="10">
        <f>IFERROR(Table1[[#This Row],[Labor
Saving]]*Table1[[#This Row],[Annual Volume]],"")</f>
        <v>0</v>
      </c>
      <c r="CD117" s="10">
        <f>IFERROR(Table1[[#This Row],[Annual Volume]]*Table1[[#This Row],[Yield
Saving]],"")</f>
        <v>0</v>
      </c>
      <c r="CE117" s="10">
        <f>IFERROR(Table1[[#This Row],[Annual Volume]]*Table1[[#This Row],[Material
Saving]],"")</f>
        <v>0</v>
      </c>
      <c r="CF117" s="10">
        <f>IFERROR(Table1[[#This Row],[OH
Saving]]*Table1[[#This Row],[Annual Volume]],"")</f>
        <v>0</v>
      </c>
      <c r="CG117" s="10">
        <f>SUM(Table1[[#This Row],[Labor_ASV]:[OH_ASV]])</f>
        <v>0</v>
      </c>
    </row>
    <row r="118" spans="1:85" x14ac:dyDescent="0.3">
      <c r="A118" t="str">
        <f>Table1[[#This Row],[Project Name]]&amp;Table1[[#This Row],[Part Number]]</f>
        <v>Diamond blade Supplier AR6</v>
      </c>
      <c r="B118" t="str">
        <f>IFERROR(Table1[[#This Row],[Project Number]]&amp;Table1[[#This Row],[Part Number]],"")</f>
        <v>AME25-030R6</v>
      </c>
      <c r="C118" s="22" t="s">
        <v>82</v>
      </c>
      <c r="D118" s="24" t="s">
        <v>244</v>
      </c>
      <c r="E118" s="25" t="s">
        <v>59</v>
      </c>
      <c r="F118" s="6">
        <f>INDEX(Proj_Reg!G:G,MATCH($C118,Proj_Reg!$B:$B,0),1)</f>
        <v>46113</v>
      </c>
      <c r="G118" s="6">
        <f>INDEX(Proj_Reg!H:H,MATCH($C118,Proj_Reg!$B:$B,0),1)</f>
        <v>46447</v>
      </c>
      <c r="H118" s="6" t="str">
        <f>IF(INDEX(Proj_Reg!C:C,MATCH($C118,Proj_Reg!$B:$B,0),1)=0,"",INDEX(Proj_Reg!C:C,MATCH($C118,Proj_Reg!$B:$B,0),1))</f>
        <v>Wafer Saw Dicing</v>
      </c>
      <c r="I118" s="6" t="str">
        <f>IF(INDEX(Proj_Reg!D:D,MATCH($C118,Proj_Reg!$B:$B,0),1)=0,"",INDEX(Proj_Reg!D:D,MATCH($C118,Proj_Reg!$B:$B,0),1))</f>
        <v>XCD</v>
      </c>
      <c r="J118" s="6" t="str">
        <f>INDEX(Proj_Reg!E:E,MATCH($C118,Proj_Reg!$B:$B,0),1)</f>
        <v>Diamond blade Supplier A</v>
      </c>
      <c r="K118" s="21">
        <v>1.0828147838875403E-3</v>
      </c>
      <c r="L118" s="21">
        <v>0</v>
      </c>
      <c r="M118" s="21">
        <v>0</v>
      </c>
      <c r="N118" s="21">
        <v>0</v>
      </c>
      <c r="O118" s="11">
        <f>SUM(Table1[[#This Row],[Labor
Saving]:[OH
Saving]])</f>
        <v>1.0828147838875403E-3</v>
      </c>
      <c r="Q118" s="40">
        <f t="shared" si="52"/>
        <v>0</v>
      </c>
      <c r="R118" s="40">
        <f t="shared" si="53"/>
        <v>0</v>
      </c>
      <c r="S118" s="40">
        <f t="shared" si="54"/>
        <v>0</v>
      </c>
      <c r="T118" s="40">
        <f t="shared" si="55"/>
        <v>27834.6</v>
      </c>
      <c r="U118" s="40">
        <f t="shared" si="56"/>
        <v>123265</v>
      </c>
      <c r="V118" s="40">
        <f t="shared" si="57"/>
        <v>115832</v>
      </c>
      <c r="W118" s="40">
        <f t="shared" si="58"/>
        <v>134937</v>
      </c>
      <c r="X118" s="40">
        <f t="shared" si="59"/>
        <v>83305</v>
      </c>
      <c r="Y118" s="40">
        <f t="shared" si="60"/>
        <v>103716</v>
      </c>
      <c r="Z118" s="40">
        <f t="shared" si="61"/>
        <v>62190</v>
      </c>
      <c r="AA118" s="40">
        <f t="shared" si="62"/>
        <v>58078</v>
      </c>
      <c r="AB118" s="40">
        <f t="shared" si="63"/>
        <v>62044</v>
      </c>
      <c r="AC118" s="37">
        <f>SUM(Table1[[#This Row],[Jan]:[Dec]])</f>
        <v>771201.6</v>
      </c>
      <c r="AD118" s="15">
        <f t="shared" si="72"/>
        <v>0</v>
      </c>
      <c r="AE118" s="15">
        <f t="shared" si="73"/>
        <v>0</v>
      </c>
      <c r="AF118" s="15">
        <f t="shared" si="74"/>
        <v>0</v>
      </c>
      <c r="AG118" s="15">
        <f t="shared" si="75"/>
        <v>30.139716383596127</v>
      </c>
      <c r="AH118" s="15">
        <f t="shared" si="76"/>
        <v>133.47316433589765</v>
      </c>
      <c r="AI118" s="15">
        <f t="shared" si="77"/>
        <v>125.42460204726156</v>
      </c>
      <c r="AJ118" s="15">
        <f t="shared" si="78"/>
        <v>146.11177849343301</v>
      </c>
      <c r="AK118" s="15">
        <f t="shared" si="79"/>
        <v>90.203885571751542</v>
      </c>
      <c r="AL118" s="15">
        <f t="shared" si="80"/>
        <v>112.30521812568013</v>
      </c>
      <c r="AM118" s="15">
        <f t="shared" si="81"/>
        <v>67.340251409966129</v>
      </c>
      <c r="AN118" s="15">
        <f t="shared" si="82"/>
        <v>62.887717018620563</v>
      </c>
      <c r="AO118" s="15">
        <f t="shared" si="83"/>
        <v>67.182160451518541</v>
      </c>
      <c r="AP118" s="10">
        <f t="shared" si="84"/>
        <v>0</v>
      </c>
      <c r="AQ118" s="10">
        <f t="shared" si="85"/>
        <v>289.03748276675532</v>
      </c>
      <c r="AR118" s="10">
        <f t="shared" si="86"/>
        <v>348.62088219086468</v>
      </c>
      <c r="AS118" s="10">
        <f t="shared" si="87"/>
        <v>197.41012888010522</v>
      </c>
      <c r="AT118" s="10" t="b">
        <f t="shared" si="88"/>
        <v>1</v>
      </c>
      <c r="AU118" s="10">
        <f t="shared" si="64"/>
        <v>835.06849383772521</v>
      </c>
      <c r="AV118" s="10">
        <f t="shared" si="65"/>
        <v>0</v>
      </c>
      <c r="AW118" s="10">
        <f t="shared" si="66"/>
        <v>0</v>
      </c>
      <c r="AX118" s="10">
        <f t="shared" si="67"/>
        <v>0</v>
      </c>
      <c r="AY118" s="10">
        <f t="shared" si="89"/>
        <v>835.06849383772521</v>
      </c>
      <c r="AZ118" s="19">
        <f>IFERROR(IF($E118="REC",INDEX(A_Type_Volume!$B:$B,MATCH($D118,A_Type_Volume!$A:$A,0),1),IF($E118="VAM",INDEX(C_Type_Volume!$B:$B,MATCH($D118,C_Type_Volume!$A:$A,0),1),"X")),"")</f>
        <v>128754</v>
      </c>
      <c r="BA118" s="19">
        <f>IFERROR(IF($E118="REC",INDEX(A_Type_Volume!$C:$C,MATCH($D118,A_Type_Volume!$A:$A,0),1),IF($E118="VAM",INDEX(C_Type_Volume!$C:$C,MATCH($D118,C_Type_Volume!$A:$A,0),1),"X")),"")</f>
        <v>121787</v>
      </c>
      <c r="BB118" s="19">
        <f>IFERROR(IF($E118="REC",INDEX(A_Type_Volume!$D:$D,MATCH($D118,A_Type_Volume!$A:$A,0),1),IF($E118="VAM",INDEX(C_Type_Volume!$D:$D,MATCH($D118,C_Type_Volume!$A:$A,0),1),"X")),"")</f>
        <v>148422</v>
      </c>
      <c r="BC118" s="19">
        <f>IFERROR(IF($E118="REC",INDEX(A_Type_Volume!$E:$E,MATCH($D118,A_Type_Volume!$A:$A,0),1),IF($E118="VAM",INDEX(C_Type_Volume!$E:$E,MATCH($D118,C_Type_Volume!$A:$A,0),1),"X")),"")</f>
        <v>92782</v>
      </c>
      <c r="BD118" s="19">
        <f>IFERROR(IF($E118="REC",INDEX(A_Type_Volume!$F:$F,MATCH($D118,A_Type_Volume!$A:$A,0),1),IF($E118="VAM",INDEX(C_Type_Volume!$F:$F,MATCH($D118,C_Type_Volume!$A:$A,0),1),"X")),"")</f>
        <v>123265</v>
      </c>
      <c r="BE118" s="19">
        <f>IFERROR(IF($E118="REC",INDEX(A_Type_Volume!$G:$G,MATCH($D118,A_Type_Volume!$A:$A,0),1),IF($E118="VAM",INDEX(C_Type_Volume!$G:$G,MATCH($D118,C_Type_Volume!$A:$A,0),1),"X")),"")</f>
        <v>115832</v>
      </c>
      <c r="BF118" s="19">
        <f>IFERROR(IF($E118="REC",INDEX(A_Type_Volume!$H:$H,MATCH($D118,A_Type_Volume!$A:$A,0),1),IF($E118="VAM",INDEX(C_Type_Volume!$H:$H,MATCH($D118,C_Type_Volume!$A:$A,0),1),"X")),"")</f>
        <v>134937</v>
      </c>
      <c r="BG118" s="19">
        <f>IFERROR(IF($E118="REC",INDEX(A_Type_Volume!$I:$I,MATCH($D118,A_Type_Volume!$A:$A,0),1),IF($E118="VAM",INDEX(C_Type_Volume!$I:$I,MATCH($D118,C_Type_Volume!$A:$A,0),1),"X")),"")</f>
        <v>83305</v>
      </c>
      <c r="BH118" s="19">
        <f>IFERROR(IF($E118="REC",INDEX(A_Type_Volume!$J:$J,MATCH($D118,A_Type_Volume!$A:$A,0),1),IF($E118="VAM",INDEX(C_Type_Volume!$J:$J,MATCH($D118,C_Type_Volume!$A:$A,0),1),"X")),"")</f>
        <v>103716</v>
      </c>
      <c r="BI118" s="19">
        <f>IFERROR(IF($E118="REC",INDEX(A_Type_Volume!$K:$K,MATCH($D118,A_Type_Volume!$A:$A,0),1),IF($E118="VAM",INDEX(C_Type_Volume!$K:$K,MATCH($D118,C_Type_Volume!$A:$A,0),1),"X")),"")</f>
        <v>62190</v>
      </c>
      <c r="BJ118" s="19">
        <f>IFERROR(IF($E118="REC",INDEX(A_Type_Volume!$L:$L,MATCH($D118,A_Type_Volume!$A:$A,0),1),IF($E118="VAM",INDEX(C_Type_Volume!$L:$L,MATCH($D118,C_Type_Volume!$A:$A,0),1),"X")),"")</f>
        <v>58078</v>
      </c>
      <c r="BK118" s="19">
        <f>IFERROR(IF($E118="REC",INDEX(A_Type_Volume!M:M,MATCH($D118,A_Type_Volume!$A:$A,0),1),IF($E118="VAM",INDEX(C_Type_Volume!M:M,MATCH($D118,C_Type_Volume!$A:$A,0),1),"X")),"")</f>
        <v>62044</v>
      </c>
      <c r="BL118" s="38">
        <f>SUM(Table1[[#This Row],[Jan_AVF]:[Dec_AVF]])</f>
        <v>1235112</v>
      </c>
      <c r="BM118" s="16">
        <f t="shared" si="90"/>
        <v>139.41673468465635</v>
      </c>
      <c r="BN118" s="16">
        <f t="shared" si="91"/>
        <v>131.87276408531187</v>
      </c>
      <c r="BO118" s="16">
        <f t="shared" si="92"/>
        <v>160.7135358541565</v>
      </c>
      <c r="BP118" s="16">
        <f t="shared" si="93"/>
        <v>100.46572127865376</v>
      </c>
      <c r="BQ118" s="16">
        <f t="shared" si="94"/>
        <v>133.47316433589765</v>
      </c>
      <c r="BR118" s="16">
        <f t="shared" si="95"/>
        <v>125.42460204726156</v>
      </c>
      <c r="BS118" s="16">
        <f t="shared" si="96"/>
        <v>146.11177849343301</v>
      </c>
      <c r="BT118" s="16">
        <f t="shared" si="97"/>
        <v>90.203885571751542</v>
      </c>
      <c r="BU118" s="16">
        <f t="shared" si="98"/>
        <v>112.30521812568013</v>
      </c>
      <c r="BV118" s="16">
        <f t="shared" si="99"/>
        <v>67.340251409966129</v>
      </c>
      <c r="BW118" s="16">
        <f t="shared" si="100"/>
        <v>62.887717018620563</v>
      </c>
      <c r="BX118" s="16">
        <f t="shared" si="101"/>
        <v>67.182160451518541</v>
      </c>
      <c r="BY118" s="10">
        <f t="shared" si="68"/>
        <v>432.00303462412467</v>
      </c>
      <c r="BZ118" s="10">
        <f t="shared" si="69"/>
        <v>359.36348766181294</v>
      </c>
      <c r="CA118" s="10">
        <f t="shared" si="70"/>
        <v>348.62088219086468</v>
      </c>
      <c r="CB118" s="10">
        <f t="shared" si="71"/>
        <v>197.41012888010522</v>
      </c>
      <c r="CC118" s="10">
        <f>IFERROR(Table1[[#This Row],[Labor
Saving]]*Table1[[#This Row],[Annual Volume]],"")</f>
        <v>1337.3975333569076</v>
      </c>
      <c r="CD118" s="10">
        <f>IFERROR(Table1[[#This Row],[Annual Volume]]*Table1[[#This Row],[Yield
Saving]],"")</f>
        <v>0</v>
      </c>
      <c r="CE118" s="10">
        <f>IFERROR(Table1[[#This Row],[Annual Volume]]*Table1[[#This Row],[Material
Saving]],"")</f>
        <v>0</v>
      </c>
      <c r="CF118" s="10">
        <f>IFERROR(Table1[[#This Row],[OH
Saving]]*Table1[[#This Row],[Annual Volume]],"")</f>
        <v>0</v>
      </c>
      <c r="CG118" s="10">
        <f>SUM(Table1[[#This Row],[Labor_ASV]:[OH_ASV]])</f>
        <v>1337.3975333569076</v>
      </c>
    </row>
    <row r="119" spans="1:85" x14ac:dyDescent="0.3">
      <c r="A119" t="str">
        <f>Table1[[#This Row],[Project Name]]&amp;Table1[[#This Row],[Part Number]]</f>
        <v>Diamond blade Supplier AR7</v>
      </c>
      <c r="B119" t="str">
        <f>IFERROR(Table1[[#This Row],[Project Number]]&amp;Table1[[#This Row],[Part Number]],"")</f>
        <v>AME25-030R7</v>
      </c>
      <c r="C119" s="22" t="s">
        <v>82</v>
      </c>
      <c r="D119" s="24" t="s">
        <v>245</v>
      </c>
      <c r="E119" s="25" t="s">
        <v>59</v>
      </c>
      <c r="F119" s="6">
        <f>INDEX(Proj_Reg!G:G,MATCH($C119,Proj_Reg!$B:$B,0),1)</f>
        <v>46113</v>
      </c>
      <c r="G119" s="6">
        <f>INDEX(Proj_Reg!H:H,MATCH($C119,Proj_Reg!$B:$B,0),1)</f>
        <v>46447</v>
      </c>
      <c r="H119" s="6" t="str">
        <f>IF(INDEX(Proj_Reg!C:C,MATCH($C119,Proj_Reg!$B:$B,0),1)=0,"",INDEX(Proj_Reg!C:C,MATCH($C119,Proj_Reg!$B:$B,0),1))</f>
        <v>Wafer Saw Dicing</v>
      </c>
      <c r="I119" s="6" t="str">
        <f>IF(INDEX(Proj_Reg!D:D,MATCH($C119,Proj_Reg!$B:$B,0),1)=0,"",INDEX(Proj_Reg!D:D,MATCH($C119,Proj_Reg!$B:$B,0),1))</f>
        <v>XCD</v>
      </c>
      <c r="J119" s="6" t="str">
        <f>INDEX(Proj_Reg!E:E,MATCH($C119,Proj_Reg!$B:$B,0),1)</f>
        <v>Diamond blade Supplier A</v>
      </c>
      <c r="K119" s="21">
        <v>5.912256000000002E-3</v>
      </c>
      <c r="L119" s="21">
        <v>0</v>
      </c>
      <c r="M119" s="21">
        <v>-5.8302508424000661E-4</v>
      </c>
      <c r="N119" s="21">
        <v>0</v>
      </c>
      <c r="O119" s="11">
        <f>SUM(Table1[[#This Row],[Labor
Saving]:[OH
Saving]])</f>
        <v>5.3292309157599955E-3</v>
      </c>
      <c r="Q119" s="40">
        <f t="shared" si="52"/>
        <v>0</v>
      </c>
      <c r="R119" s="40">
        <f t="shared" si="53"/>
        <v>0</v>
      </c>
      <c r="S119" s="40">
        <f t="shared" si="54"/>
        <v>0</v>
      </c>
      <c r="T119" s="40">
        <f t="shared" si="55"/>
        <v>27834.6</v>
      </c>
      <c r="U119" s="40">
        <f t="shared" si="56"/>
        <v>123265</v>
      </c>
      <c r="V119" s="40">
        <f t="shared" si="57"/>
        <v>115832</v>
      </c>
      <c r="W119" s="40">
        <f t="shared" si="58"/>
        <v>134937</v>
      </c>
      <c r="X119" s="40">
        <f t="shared" si="59"/>
        <v>83305</v>
      </c>
      <c r="Y119" s="40">
        <f t="shared" si="60"/>
        <v>103716</v>
      </c>
      <c r="Z119" s="40">
        <f t="shared" si="61"/>
        <v>62190</v>
      </c>
      <c r="AA119" s="40">
        <f t="shared" si="62"/>
        <v>58078</v>
      </c>
      <c r="AB119" s="40">
        <f t="shared" si="63"/>
        <v>62044</v>
      </c>
      <c r="AC119" s="37">
        <f>SUM(Table1[[#This Row],[Jan]:[Dec]])</f>
        <v>771201.6</v>
      </c>
      <c r="AD119" s="15">
        <f t="shared" si="72"/>
        <v>0</v>
      </c>
      <c r="AE119" s="15">
        <f t="shared" si="73"/>
        <v>0</v>
      </c>
      <c r="AF119" s="15">
        <f t="shared" si="74"/>
        <v>0</v>
      </c>
      <c r="AG119" s="15">
        <f t="shared" si="75"/>
        <v>148.33701084781316</v>
      </c>
      <c r="AH119" s="15">
        <f t="shared" si="76"/>
        <v>656.90764883115583</v>
      </c>
      <c r="AI119" s="15">
        <f t="shared" si="77"/>
        <v>617.29547543431181</v>
      </c>
      <c r="AJ119" s="15">
        <f t="shared" si="78"/>
        <v>719.11043207990656</v>
      </c>
      <c r="AK119" s="15">
        <f t="shared" si="79"/>
        <v>443.95158143738644</v>
      </c>
      <c r="AL119" s="15">
        <f t="shared" si="80"/>
        <v>552.72651365896365</v>
      </c>
      <c r="AM119" s="15">
        <f t="shared" si="81"/>
        <v>331.42487065111413</v>
      </c>
      <c r="AN119" s="15">
        <f t="shared" si="82"/>
        <v>309.51107312550903</v>
      </c>
      <c r="AO119" s="15">
        <f t="shared" si="83"/>
        <v>330.64680293741316</v>
      </c>
      <c r="AP119" s="10">
        <f t="shared" si="84"/>
        <v>0</v>
      </c>
      <c r="AQ119" s="10">
        <f t="shared" si="85"/>
        <v>1422.5401351132809</v>
      </c>
      <c r="AR119" s="10">
        <f t="shared" si="86"/>
        <v>1715.7885271762566</v>
      </c>
      <c r="AS119" s="10">
        <f t="shared" si="87"/>
        <v>971.58274671403638</v>
      </c>
      <c r="AT119" s="10" t="b">
        <f t="shared" si="88"/>
        <v>1</v>
      </c>
      <c r="AU119" s="10">
        <f t="shared" si="64"/>
        <v>4559.5412868096018</v>
      </c>
      <c r="AV119" s="10">
        <f t="shared" si="65"/>
        <v>0</v>
      </c>
      <c r="AW119" s="10">
        <f t="shared" si="66"/>
        <v>-449.62987780602788</v>
      </c>
      <c r="AX119" s="10">
        <f t="shared" si="67"/>
        <v>0</v>
      </c>
      <c r="AY119" s="10">
        <f t="shared" si="89"/>
        <v>4109.9114090035737</v>
      </c>
      <c r="AZ119" s="19">
        <f>IFERROR(IF($E119="REC",INDEX(A_Type_Volume!$B:$B,MATCH($D119,A_Type_Volume!$A:$A,0),1),IF($E119="VAM",INDEX(C_Type_Volume!$B:$B,MATCH($D119,C_Type_Volume!$A:$A,0),1),"X")),"")</f>
        <v>128754</v>
      </c>
      <c r="BA119" s="19">
        <f>IFERROR(IF($E119="REC",INDEX(A_Type_Volume!$C:$C,MATCH($D119,A_Type_Volume!$A:$A,0),1),IF($E119="VAM",INDEX(C_Type_Volume!$C:$C,MATCH($D119,C_Type_Volume!$A:$A,0),1),"X")),"")</f>
        <v>121787</v>
      </c>
      <c r="BB119" s="19">
        <f>IFERROR(IF($E119="REC",INDEX(A_Type_Volume!$D:$D,MATCH($D119,A_Type_Volume!$A:$A,0),1),IF($E119="VAM",INDEX(C_Type_Volume!$D:$D,MATCH($D119,C_Type_Volume!$A:$A,0),1),"X")),"")</f>
        <v>148422</v>
      </c>
      <c r="BC119" s="19">
        <f>IFERROR(IF($E119="REC",INDEX(A_Type_Volume!$E:$E,MATCH($D119,A_Type_Volume!$A:$A,0),1),IF($E119="VAM",INDEX(C_Type_Volume!$E:$E,MATCH($D119,C_Type_Volume!$A:$A,0),1),"X")),"")</f>
        <v>92782</v>
      </c>
      <c r="BD119" s="19">
        <f>IFERROR(IF($E119="REC",INDEX(A_Type_Volume!$F:$F,MATCH($D119,A_Type_Volume!$A:$A,0),1),IF($E119="VAM",INDEX(C_Type_Volume!$F:$F,MATCH($D119,C_Type_Volume!$A:$A,0),1),"X")),"")</f>
        <v>123265</v>
      </c>
      <c r="BE119" s="19">
        <f>IFERROR(IF($E119="REC",INDEX(A_Type_Volume!$G:$G,MATCH($D119,A_Type_Volume!$A:$A,0),1),IF($E119="VAM",INDEX(C_Type_Volume!$G:$G,MATCH($D119,C_Type_Volume!$A:$A,0),1),"X")),"")</f>
        <v>115832</v>
      </c>
      <c r="BF119" s="19">
        <f>IFERROR(IF($E119="REC",INDEX(A_Type_Volume!$H:$H,MATCH($D119,A_Type_Volume!$A:$A,0),1),IF($E119="VAM",INDEX(C_Type_Volume!$H:$H,MATCH($D119,C_Type_Volume!$A:$A,0),1),"X")),"")</f>
        <v>134937</v>
      </c>
      <c r="BG119" s="19">
        <f>IFERROR(IF($E119="REC",INDEX(A_Type_Volume!$I:$I,MATCH($D119,A_Type_Volume!$A:$A,0),1),IF($E119="VAM",INDEX(C_Type_Volume!$I:$I,MATCH($D119,C_Type_Volume!$A:$A,0),1),"X")),"")</f>
        <v>83305</v>
      </c>
      <c r="BH119" s="19">
        <f>IFERROR(IF($E119="REC",INDEX(A_Type_Volume!$J:$J,MATCH($D119,A_Type_Volume!$A:$A,0),1),IF($E119="VAM",INDEX(C_Type_Volume!$J:$J,MATCH($D119,C_Type_Volume!$A:$A,0),1),"X")),"")</f>
        <v>103716</v>
      </c>
      <c r="BI119" s="19">
        <f>IFERROR(IF($E119="REC",INDEX(A_Type_Volume!$K:$K,MATCH($D119,A_Type_Volume!$A:$A,0),1),IF($E119="VAM",INDEX(C_Type_Volume!$K:$K,MATCH($D119,C_Type_Volume!$A:$A,0),1),"X")),"")</f>
        <v>62190</v>
      </c>
      <c r="BJ119" s="19">
        <f>IFERROR(IF($E119="REC",INDEX(A_Type_Volume!$L:$L,MATCH($D119,A_Type_Volume!$A:$A,0),1),IF($E119="VAM",INDEX(C_Type_Volume!$L:$L,MATCH($D119,C_Type_Volume!$A:$A,0),1),"X")),"")</f>
        <v>58078</v>
      </c>
      <c r="BK119" s="19">
        <f>IFERROR(IF($E119="REC",INDEX(A_Type_Volume!M:M,MATCH($D119,A_Type_Volume!$A:$A,0),1),IF($E119="VAM",INDEX(C_Type_Volume!M:M,MATCH($D119,C_Type_Volume!$A:$A,0),1),"X")),"")</f>
        <v>62044</v>
      </c>
      <c r="BL119" s="38">
        <f>SUM(Table1[[#This Row],[Jan_AVF]:[Dec_AVF]])</f>
        <v>1235112</v>
      </c>
      <c r="BM119" s="16">
        <f t="shared" si="90"/>
        <v>686.15979732776248</v>
      </c>
      <c r="BN119" s="16">
        <f t="shared" si="91"/>
        <v>649.03104553766252</v>
      </c>
      <c r="BO119" s="16">
        <f t="shared" si="92"/>
        <v>790.97511097893005</v>
      </c>
      <c r="BP119" s="16">
        <f t="shared" si="93"/>
        <v>494.45670282604391</v>
      </c>
      <c r="BQ119" s="16">
        <f t="shared" si="94"/>
        <v>656.90764883115583</v>
      </c>
      <c r="BR119" s="16">
        <f t="shared" si="95"/>
        <v>617.29547543431181</v>
      </c>
      <c r="BS119" s="16">
        <f t="shared" si="96"/>
        <v>719.11043207990656</v>
      </c>
      <c r="BT119" s="16">
        <f t="shared" si="97"/>
        <v>443.95158143738644</v>
      </c>
      <c r="BU119" s="16">
        <f t="shared" si="98"/>
        <v>552.72651365896365</v>
      </c>
      <c r="BV119" s="16">
        <f t="shared" si="99"/>
        <v>331.42487065111413</v>
      </c>
      <c r="BW119" s="16">
        <f t="shared" si="100"/>
        <v>309.51107312550903</v>
      </c>
      <c r="BX119" s="16">
        <f t="shared" si="101"/>
        <v>330.64680293741316</v>
      </c>
      <c r="BY119" s="10">
        <f t="shared" si="68"/>
        <v>2126.165953844355</v>
      </c>
      <c r="BZ119" s="10">
        <f t="shared" si="69"/>
        <v>1768.6598270915115</v>
      </c>
      <c r="CA119" s="10">
        <f t="shared" si="70"/>
        <v>1715.7885271762566</v>
      </c>
      <c r="CB119" s="10">
        <f t="shared" si="71"/>
        <v>971.58274671403638</v>
      </c>
      <c r="CC119" s="10">
        <f>IFERROR(Table1[[#This Row],[Labor
Saving]]*Table1[[#This Row],[Annual Volume]],"")</f>
        <v>7302.2983326720023</v>
      </c>
      <c r="CD119" s="10">
        <f>IFERROR(Table1[[#This Row],[Annual Volume]]*Table1[[#This Row],[Yield
Saving]],"")</f>
        <v>0</v>
      </c>
      <c r="CE119" s="10">
        <f>IFERROR(Table1[[#This Row],[Annual Volume]]*Table1[[#This Row],[Material
Saving]],"")</f>
        <v>-720.10127784584301</v>
      </c>
      <c r="CF119" s="10">
        <f>IFERROR(Table1[[#This Row],[OH
Saving]]*Table1[[#This Row],[Annual Volume]],"")</f>
        <v>0</v>
      </c>
      <c r="CG119" s="10">
        <f>SUM(Table1[[#This Row],[Labor_ASV]:[OH_ASV]])</f>
        <v>6582.1970548261597</v>
      </c>
    </row>
    <row r="120" spans="1:85" x14ac:dyDescent="0.3">
      <c r="A120" t="str">
        <f>Table1[[#This Row],[Project Name]]&amp;Table1[[#This Row],[Part Number]]</f>
        <v>Thermal Release Tape 1R76</v>
      </c>
      <c r="B120" t="str">
        <f>IFERROR(Table1[[#This Row],[Project Number]]&amp;Table1[[#This Row],[Part Number]],"")</f>
        <v>AME25-038R76</v>
      </c>
      <c r="C120" s="22" t="s">
        <v>90</v>
      </c>
      <c r="D120" s="24" t="s">
        <v>314</v>
      </c>
      <c r="E120" s="25" t="s">
        <v>58</v>
      </c>
      <c r="F120" s="6">
        <f>INDEX(Proj_Reg!G:G,MATCH($C120,Proj_Reg!$B:$B,0),1)</f>
        <v>46113</v>
      </c>
      <c r="G120" s="6">
        <f>INDEX(Proj_Reg!H:H,MATCH($C120,Proj_Reg!$B:$B,0),1)</f>
        <v>46447</v>
      </c>
      <c r="H120" s="6" t="str">
        <f>IF(INDEX(Proj_Reg!C:C,MATCH($C120,Proj_Reg!$B:$B,0),1)=0,"",INDEX(Proj_Reg!C:C,MATCH($C120,Proj_Reg!$B:$B,0),1))</f>
        <v>Wafer Saw Dicing</v>
      </c>
      <c r="I120" s="6" t="str">
        <f>IF(INDEX(Proj_Reg!D:D,MATCH($C120,Proj_Reg!$B:$B,0),1)=0,"",INDEX(Proj_Reg!D:D,MATCH($C120,Proj_Reg!$B:$B,0),1))</f>
        <v>XCD</v>
      </c>
      <c r="J120" s="6" t="str">
        <f>INDEX(Proj_Reg!E:E,MATCH($C120,Proj_Reg!$B:$B,0),1)</f>
        <v>Thermal Release Tape 1</v>
      </c>
      <c r="K120" s="21">
        <v>5.912256000000002E-3</v>
      </c>
      <c r="L120" s="21">
        <v>0</v>
      </c>
      <c r="M120" s="21">
        <v>-5.8302508424000661E-4</v>
      </c>
      <c r="N120" s="21">
        <v>0</v>
      </c>
      <c r="O120" s="11">
        <f>SUM(Table1[[#This Row],[Labor
Saving]:[OH
Saving]])</f>
        <v>5.3292309157599955E-3</v>
      </c>
      <c r="Q120" s="40">
        <f t="shared" si="52"/>
        <v>0</v>
      </c>
      <c r="R120" s="40">
        <f t="shared" si="53"/>
        <v>0</v>
      </c>
      <c r="S120" s="40">
        <f t="shared" si="54"/>
        <v>0</v>
      </c>
      <c r="T120" s="40">
        <f t="shared" si="55"/>
        <v>8815.7999999999993</v>
      </c>
      <c r="U120" s="40">
        <f t="shared" si="56"/>
        <v>504</v>
      </c>
      <c r="V120" s="40">
        <f t="shared" si="57"/>
        <v>447</v>
      </c>
      <c r="W120" s="40">
        <f t="shared" si="58"/>
        <v>34310</v>
      </c>
      <c r="X120" s="40">
        <f t="shared" si="59"/>
        <v>24123</v>
      </c>
      <c r="Y120" s="40">
        <f t="shared" si="60"/>
        <v>21023</v>
      </c>
      <c r="Z120" s="40">
        <f t="shared" si="61"/>
        <v>20665</v>
      </c>
      <c r="AA120" s="40">
        <f t="shared" si="62"/>
        <v>19299</v>
      </c>
      <c r="AB120" s="40">
        <f t="shared" si="63"/>
        <v>13820</v>
      </c>
      <c r="AC120" s="37">
        <f>SUM(Table1[[#This Row],[Jan]:[Dec]])</f>
        <v>143006.79999999999</v>
      </c>
      <c r="AD120" s="15">
        <f t="shared" si="72"/>
        <v>0</v>
      </c>
      <c r="AE120" s="15">
        <f t="shared" si="73"/>
        <v>0</v>
      </c>
      <c r="AF120" s="15">
        <f t="shared" si="74"/>
        <v>0</v>
      </c>
      <c r="AG120" s="15">
        <f t="shared" si="75"/>
        <v>46.981433907156962</v>
      </c>
      <c r="AH120" s="15">
        <f t="shared" si="76"/>
        <v>2.6859323815430378</v>
      </c>
      <c r="AI120" s="15">
        <f t="shared" si="77"/>
        <v>2.3821662193447182</v>
      </c>
      <c r="AJ120" s="15">
        <f t="shared" si="78"/>
        <v>182.84591271972545</v>
      </c>
      <c r="AK120" s="15">
        <f t="shared" si="79"/>
        <v>128.55703738087837</v>
      </c>
      <c r="AL120" s="15">
        <f t="shared" si="80"/>
        <v>112.03642154202238</v>
      </c>
      <c r="AM120" s="15">
        <f t="shared" si="81"/>
        <v>110.1285568741803</v>
      </c>
      <c r="AN120" s="15">
        <f t="shared" si="82"/>
        <v>102.84882744325215</v>
      </c>
      <c r="AO120" s="15">
        <f t="shared" si="83"/>
        <v>73.649971255803138</v>
      </c>
      <c r="AP120" s="10">
        <f t="shared" si="84"/>
        <v>0</v>
      </c>
      <c r="AQ120" s="10">
        <f t="shared" si="85"/>
        <v>52.04953250804472</v>
      </c>
      <c r="AR120" s="10">
        <f t="shared" si="86"/>
        <v>423.43937164262616</v>
      </c>
      <c r="AS120" s="10">
        <f t="shared" si="87"/>
        <v>286.6273555732356</v>
      </c>
      <c r="AT120" s="10" t="b">
        <f t="shared" si="88"/>
        <v>1</v>
      </c>
      <c r="AU120" s="10">
        <f t="shared" si="64"/>
        <v>845.49281134080024</v>
      </c>
      <c r="AV120" s="10">
        <f t="shared" si="65"/>
        <v>0</v>
      </c>
      <c r="AW120" s="10">
        <f t="shared" si="66"/>
        <v>-83.376551616893764</v>
      </c>
      <c r="AX120" s="10">
        <f t="shared" si="67"/>
        <v>0</v>
      </c>
      <c r="AY120" s="10">
        <f t="shared" si="89"/>
        <v>762.11625972390652</v>
      </c>
      <c r="AZ120" s="19">
        <f>IFERROR(IF($E120="REC",INDEX(A_Type_Volume!$B:$B,MATCH($D120,A_Type_Volume!$A:$A,0),1),IF($E120="VAM",INDEX(C_Type_Volume!$B:$B,MATCH($D120,C_Type_Volume!$A:$A,0),1),"X")),"")</f>
        <v>545</v>
      </c>
      <c r="BA120" s="19">
        <f>IFERROR(IF($E120="REC",INDEX(A_Type_Volume!$C:$C,MATCH($D120,A_Type_Volume!$A:$A,0),1),IF($E120="VAM",INDEX(C_Type_Volume!$C:$C,MATCH($D120,C_Type_Volume!$A:$A,0),1),"X")),"")</f>
        <v>577</v>
      </c>
      <c r="BB120" s="19">
        <f>IFERROR(IF($E120="REC",INDEX(A_Type_Volume!$D:$D,MATCH($D120,A_Type_Volume!$A:$A,0),1),IF($E120="VAM",INDEX(C_Type_Volume!$D:$D,MATCH($D120,C_Type_Volume!$A:$A,0),1),"X")),"")</f>
        <v>32005</v>
      </c>
      <c r="BC120" s="19">
        <f>IFERROR(IF($E120="REC",INDEX(A_Type_Volume!$E:$E,MATCH($D120,A_Type_Volume!$A:$A,0),1),IF($E120="VAM",INDEX(C_Type_Volume!$E:$E,MATCH($D120,C_Type_Volume!$A:$A,0),1),"X")),"")</f>
        <v>29386</v>
      </c>
      <c r="BD120" s="19">
        <f>IFERROR(IF($E120="REC",INDEX(A_Type_Volume!$F:$F,MATCH($D120,A_Type_Volume!$A:$A,0),1),IF($E120="VAM",INDEX(C_Type_Volume!$F:$F,MATCH($D120,C_Type_Volume!$A:$A,0),1),"X")),"")</f>
        <v>504</v>
      </c>
      <c r="BE120" s="19">
        <f>IFERROR(IF($E120="REC",INDEX(A_Type_Volume!$G:$G,MATCH($D120,A_Type_Volume!$A:$A,0),1),IF($E120="VAM",INDEX(C_Type_Volume!$G:$G,MATCH($D120,C_Type_Volume!$A:$A,0),1),"X")),"")</f>
        <v>447</v>
      </c>
      <c r="BF120" s="19">
        <f>IFERROR(IF($E120="REC",INDEX(A_Type_Volume!$H:$H,MATCH($D120,A_Type_Volume!$A:$A,0),1),IF($E120="VAM",INDEX(C_Type_Volume!$H:$H,MATCH($D120,C_Type_Volume!$A:$A,0),1),"X")),"")</f>
        <v>34310</v>
      </c>
      <c r="BG120" s="19">
        <f>IFERROR(IF($E120="REC",INDEX(A_Type_Volume!$I:$I,MATCH($D120,A_Type_Volume!$A:$A,0),1),IF($E120="VAM",INDEX(C_Type_Volume!$I:$I,MATCH($D120,C_Type_Volume!$A:$A,0),1),"X")),"")</f>
        <v>24123</v>
      </c>
      <c r="BH120" s="19">
        <f>IFERROR(IF($E120="REC",INDEX(A_Type_Volume!$J:$J,MATCH($D120,A_Type_Volume!$A:$A,0),1),IF($E120="VAM",INDEX(C_Type_Volume!$J:$J,MATCH($D120,C_Type_Volume!$A:$A,0),1),"X")),"")</f>
        <v>21023</v>
      </c>
      <c r="BI120" s="19">
        <f>IFERROR(IF($E120="REC",INDEX(A_Type_Volume!$K:$K,MATCH($D120,A_Type_Volume!$A:$A,0),1),IF($E120="VAM",INDEX(C_Type_Volume!$K:$K,MATCH($D120,C_Type_Volume!$A:$A,0),1),"X")),"")</f>
        <v>20665</v>
      </c>
      <c r="BJ120" s="19">
        <f>IFERROR(IF($E120="REC",INDEX(A_Type_Volume!$L:$L,MATCH($D120,A_Type_Volume!$A:$A,0),1),IF($E120="VAM",INDEX(C_Type_Volume!$L:$L,MATCH($D120,C_Type_Volume!$A:$A,0),1),"X")),"")</f>
        <v>19299</v>
      </c>
      <c r="BK120" s="19">
        <f>IFERROR(IF($E120="REC",INDEX(A_Type_Volume!M:M,MATCH($D120,A_Type_Volume!$A:$A,0),1),IF($E120="VAM",INDEX(C_Type_Volume!M:M,MATCH($D120,C_Type_Volume!$A:$A,0),1),"X")),"")</f>
        <v>13820</v>
      </c>
      <c r="BL120" s="38">
        <f>SUM(Table1[[#This Row],[Jan_AVF]:[Dec_AVF]])</f>
        <v>196704</v>
      </c>
      <c r="BM120" s="16">
        <f t="shared" si="90"/>
        <v>2.9044308490891977</v>
      </c>
      <c r="BN120" s="16">
        <f t="shared" si="91"/>
        <v>3.0749662383935172</v>
      </c>
      <c r="BO120" s="16">
        <f t="shared" si="92"/>
        <v>170.56203545889866</v>
      </c>
      <c r="BP120" s="16">
        <f t="shared" si="93"/>
        <v>156.60477969052323</v>
      </c>
      <c r="BQ120" s="16">
        <f t="shared" si="94"/>
        <v>2.6859323815430378</v>
      </c>
      <c r="BR120" s="16">
        <f t="shared" si="95"/>
        <v>2.3821662193447182</v>
      </c>
      <c r="BS120" s="16">
        <f t="shared" si="96"/>
        <v>182.84591271972545</v>
      </c>
      <c r="BT120" s="16">
        <f t="shared" si="97"/>
        <v>128.55703738087837</v>
      </c>
      <c r="BU120" s="16">
        <f t="shared" si="98"/>
        <v>112.03642154202238</v>
      </c>
      <c r="BV120" s="16">
        <f t="shared" si="99"/>
        <v>110.1285568741803</v>
      </c>
      <c r="BW120" s="16">
        <f t="shared" si="100"/>
        <v>102.84882744325215</v>
      </c>
      <c r="BX120" s="16">
        <f t="shared" si="101"/>
        <v>73.649971255803138</v>
      </c>
      <c r="BY120" s="10">
        <f t="shared" si="68"/>
        <v>176.54143254638137</v>
      </c>
      <c r="BZ120" s="10">
        <f t="shared" si="69"/>
        <v>161.672878291411</v>
      </c>
      <c r="CA120" s="10">
        <f t="shared" si="70"/>
        <v>423.43937164262616</v>
      </c>
      <c r="CB120" s="10">
        <f t="shared" si="71"/>
        <v>286.6273555732356</v>
      </c>
      <c r="CC120" s="10">
        <f>IFERROR(Table1[[#This Row],[Labor
Saving]]*Table1[[#This Row],[Annual Volume]],"")</f>
        <v>1162.9644042240004</v>
      </c>
      <c r="CD120" s="10">
        <f>IFERROR(Table1[[#This Row],[Annual Volume]]*Table1[[#This Row],[Yield
Saving]],"")</f>
        <v>0</v>
      </c>
      <c r="CE120" s="10">
        <f>IFERROR(Table1[[#This Row],[Annual Volume]]*Table1[[#This Row],[Material
Saving]],"")</f>
        <v>-114.68336617034626</v>
      </c>
      <c r="CF120" s="10">
        <f>IFERROR(Table1[[#This Row],[OH
Saving]]*Table1[[#This Row],[Annual Volume]],"")</f>
        <v>0</v>
      </c>
      <c r="CG120" s="10">
        <f>SUM(Table1[[#This Row],[Labor_ASV]:[OH_ASV]])</f>
        <v>1048.2810380536541</v>
      </c>
    </row>
    <row r="121" spans="1:85" x14ac:dyDescent="0.3">
      <c r="A121" t="str">
        <f>Table1[[#This Row],[Project Name]]&amp;Table1[[#This Row],[Part Number]]</f>
        <v>Tape Dicing 5R144</v>
      </c>
      <c r="B121" t="str">
        <f>IFERROR(Table1[[#This Row],[Project Number]]&amp;Table1[[#This Row],[Part Number]],"")</f>
        <v>AME25-090R144</v>
      </c>
      <c r="C121" s="22" t="s">
        <v>137</v>
      </c>
      <c r="D121" s="24" t="s">
        <v>382</v>
      </c>
      <c r="E121" s="25" t="s">
        <v>58</v>
      </c>
      <c r="F121" s="6">
        <f>INDEX(Proj_Reg!G:G,MATCH($C121,Proj_Reg!$B:$B,0),1)</f>
        <v>46143</v>
      </c>
      <c r="G121" s="6">
        <f>INDEX(Proj_Reg!H:H,MATCH($C121,Proj_Reg!$B:$B,0),1)</f>
        <v>46478</v>
      </c>
      <c r="H121" s="6" t="str">
        <f>IF(INDEX(Proj_Reg!C:C,MATCH($C121,Proj_Reg!$B:$B,0),1)=0,"",INDEX(Proj_Reg!C:C,MATCH($C121,Proj_Reg!$B:$B,0),1))</f>
        <v>Wafer Saw Dicing</v>
      </c>
      <c r="I121" s="6" t="str">
        <f>IF(INDEX(Proj_Reg!D:D,MATCH($C121,Proj_Reg!$B:$B,0),1)=0,"",INDEX(Proj_Reg!D:D,MATCH($C121,Proj_Reg!$B:$B,0),1))</f>
        <v>XCD</v>
      </c>
      <c r="J121" s="6" t="str">
        <f>INDEX(Proj_Reg!E:E,MATCH($C121,Proj_Reg!$B:$B,0),1)</f>
        <v>Tape Dicing 5</v>
      </c>
      <c r="K121" s="21">
        <v>5.912256000000002E-3</v>
      </c>
      <c r="L121" s="21">
        <v>0</v>
      </c>
      <c r="M121" s="21">
        <v>-5.8302508424000661E-4</v>
      </c>
      <c r="N121" s="21">
        <v>0</v>
      </c>
      <c r="O121" s="11">
        <f>SUM(Table1[[#This Row],[Labor
Saving]:[OH
Saving]])</f>
        <v>5.3292309157599955E-3</v>
      </c>
      <c r="Q121" s="40">
        <f t="shared" si="52"/>
        <v>0</v>
      </c>
      <c r="R121" s="40">
        <f t="shared" si="53"/>
        <v>0</v>
      </c>
      <c r="S121" s="40">
        <f t="shared" si="54"/>
        <v>0</v>
      </c>
      <c r="T121" s="40">
        <f t="shared" si="55"/>
        <v>0</v>
      </c>
      <c r="U121" s="40">
        <f t="shared" si="56"/>
        <v>0</v>
      </c>
      <c r="V121" s="40">
        <f t="shared" si="57"/>
        <v>0</v>
      </c>
      <c r="W121" s="40">
        <f t="shared" si="58"/>
        <v>0</v>
      </c>
      <c r="X121" s="40">
        <f t="shared" si="59"/>
        <v>0</v>
      </c>
      <c r="Y121" s="40">
        <f t="shared" si="60"/>
        <v>0</v>
      </c>
      <c r="Z121" s="40">
        <f t="shared" si="61"/>
        <v>0</v>
      </c>
      <c r="AA121" s="40">
        <f t="shared" si="62"/>
        <v>0</v>
      </c>
      <c r="AB121" s="40">
        <f t="shared" si="63"/>
        <v>0</v>
      </c>
      <c r="AC121" s="37">
        <f>SUM(Table1[[#This Row],[Jan]:[Dec]])</f>
        <v>0</v>
      </c>
      <c r="AD121" s="15">
        <f t="shared" si="72"/>
        <v>0</v>
      </c>
      <c r="AE121" s="15">
        <f t="shared" si="73"/>
        <v>0</v>
      </c>
      <c r="AF121" s="15">
        <f t="shared" si="74"/>
        <v>0</v>
      </c>
      <c r="AG121" s="15">
        <f t="shared" si="75"/>
        <v>0</v>
      </c>
      <c r="AH121" s="15">
        <f t="shared" si="76"/>
        <v>0</v>
      </c>
      <c r="AI121" s="15">
        <f t="shared" si="77"/>
        <v>0</v>
      </c>
      <c r="AJ121" s="15">
        <f t="shared" si="78"/>
        <v>0</v>
      </c>
      <c r="AK121" s="15">
        <f t="shared" si="79"/>
        <v>0</v>
      </c>
      <c r="AL121" s="15">
        <f t="shared" si="80"/>
        <v>0</v>
      </c>
      <c r="AM121" s="15">
        <f t="shared" si="81"/>
        <v>0</v>
      </c>
      <c r="AN121" s="15">
        <f t="shared" si="82"/>
        <v>0</v>
      </c>
      <c r="AO121" s="15">
        <f t="shared" si="83"/>
        <v>0</v>
      </c>
      <c r="AP121" s="10">
        <f t="shared" si="84"/>
        <v>0</v>
      </c>
      <c r="AQ121" s="10">
        <f t="shared" si="85"/>
        <v>0</v>
      </c>
      <c r="AR121" s="10">
        <f t="shared" si="86"/>
        <v>0</v>
      </c>
      <c r="AS121" s="10">
        <f t="shared" si="87"/>
        <v>0</v>
      </c>
      <c r="AT121" s="10" t="b">
        <f t="shared" si="88"/>
        <v>1</v>
      </c>
      <c r="AU121" s="10">
        <f t="shared" si="64"/>
        <v>0</v>
      </c>
      <c r="AV121" s="10">
        <f t="shared" si="65"/>
        <v>0</v>
      </c>
      <c r="AW121" s="10">
        <f t="shared" si="66"/>
        <v>0</v>
      </c>
      <c r="AX121" s="10">
        <f t="shared" si="67"/>
        <v>0</v>
      </c>
      <c r="AY121" s="10">
        <f t="shared" si="89"/>
        <v>0</v>
      </c>
      <c r="AZ121" s="19">
        <f>IFERROR(IF($E121="REC",INDEX(A_Type_Volume!$B:$B,MATCH($D121,A_Type_Volume!$A:$A,0),1),IF($E121="VAM",INDEX(C_Type_Volume!$B:$B,MATCH($D121,C_Type_Volume!$A:$A,0),1),"X")),"")</f>
        <v>0</v>
      </c>
      <c r="BA121" s="19">
        <f>IFERROR(IF($E121="REC",INDEX(A_Type_Volume!$C:$C,MATCH($D121,A_Type_Volume!$A:$A,0),1),IF($E121="VAM",INDEX(C_Type_Volume!$C:$C,MATCH($D121,C_Type_Volume!$A:$A,0),1),"X")),"")</f>
        <v>0</v>
      </c>
      <c r="BB121" s="19">
        <f>IFERROR(IF($E121="REC",INDEX(A_Type_Volume!$D:$D,MATCH($D121,A_Type_Volume!$A:$A,0),1),IF($E121="VAM",INDEX(C_Type_Volume!$D:$D,MATCH($D121,C_Type_Volume!$A:$A,0),1),"X")),"")</f>
        <v>0</v>
      </c>
      <c r="BC121" s="19">
        <f>IFERROR(IF($E121="REC",INDEX(A_Type_Volume!$E:$E,MATCH($D121,A_Type_Volume!$A:$A,0),1),IF($E121="VAM",INDEX(C_Type_Volume!$E:$E,MATCH($D121,C_Type_Volume!$A:$A,0),1),"X")),"")</f>
        <v>0</v>
      </c>
      <c r="BD121" s="19">
        <f>IFERROR(IF($E121="REC",INDEX(A_Type_Volume!$F:$F,MATCH($D121,A_Type_Volume!$A:$A,0),1),IF($E121="VAM",INDEX(C_Type_Volume!$F:$F,MATCH($D121,C_Type_Volume!$A:$A,0),1),"X")),"")</f>
        <v>0</v>
      </c>
      <c r="BE121" s="19">
        <f>IFERROR(IF($E121="REC",INDEX(A_Type_Volume!$G:$G,MATCH($D121,A_Type_Volume!$A:$A,0),1),IF($E121="VAM",INDEX(C_Type_Volume!$G:$G,MATCH($D121,C_Type_Volume!$A:$A,0),1),"X")),"")</f>
        <v>0</v>
      </c>
      <c r="BF121" s="19">
        <f>IFERROR(IF($E121="REC",INDEX(A_Type_Volume!$H:$H,MATCH($D121,A_Type_Volume!$A:$A,0),1),IF($E121="VAM",INDEX(C_Type_Volume!$H:$H,MATCH($D121,C_Type_Volume!$A:$A,0),1),"X")),"")</f>
        <v>0</v>
      </c>
      <c r="BG121" s="19">
        <f>IFERROR(IF($E121="REC",INDEX(A_Type_Volume!$I:$I,MATCH($D121,A_Type_Volume!$A:$A,0),1),IF($E121="VAM",INDEX(C_Type_Volume!$I:$I,MATCH($D121,C_Type_Volume!$A:$A,0),1),"X")),"")</f>
        <v>0</v>
      </c>
      <c r="BH121" s="19">
        <f>IFERROR(IF($E121="REC",INDEX(A_Type_Volume!$J:$J,MATCH($D121,A_Type_Volume!$A:$A,0),1),IF($E121="VAM",INDEX(C_Type_Volume!$J:$J,MATCH($D121,C_Type_Volume!$A:$A,0),1),"X")),"")</f>
        <v>0</v>
      </c>
      <c r="BI121" s="19">
        <f>IFERROR(IF($E121="REC",INDEX(A_Type_Volume!$K:$K,MATCH($D121,A_Type_Volume!$A:$A,0),1),IF($E121="VAM",INDEX(C_Type_Volume!$K:$K,MATCH($D121,C_Type_Volume!$A:$A,0),1),"X")),"")</f>
        <v>0</v>
      </c>
      <c r="BJ121" s="19">
        <f>IFERROR(IF($E121="REC",INDEX(A_Type_Volume!$L:$L,MATCH($D121,A_Type_Volume!$A:$A,0),1),IF($E121="VAM",INDEX(C_Type_Volume!$L:$L,MATCH($D121,C_Type_Volume!$A:$A,0),1),"X")),"")</f>
        <v>0</v>
      </c>
      <c r="BK121" s="19">
        <f>IFERROR(IF($E121="REC",INDEX(A_Type_Volume!M:M,MATCH($D121,A_Type_Volume!$A:$A,0),1),IF($E121="VAM",INDEX(C_Type_Volume!M:M,MATCH($D121,C_Type_Volume!$A:$A,0),1),"X")),"")</f>
        <v>0</v>
      </c>
      <c r="BL121" s="38">
        <f>SUM(Table1[[#This Row],[Jan_AVF]:[Dec_AVF]])</f>
        <v>0</v>
      </c>
      <c r="BM121" s="16">
        <f t="shared" si="90"/>
        <v>0</v>
      </c>
      <c r="BN121" s="16">
        <f t="shared" si="91"/>
        <v>0</v>
      </c>
      <c r="BO121" s="16">
        <f t="shared" si="92"/>
        <v>0</v>
      </c>
      <c r="BP121" s="16">
        <f t="shared" si="93"/>
        <v>0</v>
      </c>
      <c r="BQ121" s="16">
        <f t="shared" si="94"/>
        <v>0</v>
      </c>
      <c r="BR121" s="16">
        <f t="shared" si="95"/>
        <v>0</v>
      </c>
      <c r="BS121" s="16">
        <f t="shared" si="96"/>
        <v>0</v>
      </c>
      <c r="BT121" s="16">
        <f t="shared" si="97"/>
        <v>0</v>
      </c>
      <c r="BU121" s="16">
        <f t="shared" si="98"/>
        <v>0</v>
      </c>
      <c r="BV121" s="16">
        <f t="shared" si="99"/>
        <v>0</v>
      </c>
      <c r="BW121" s="16">
        <f t="shared" si="100"/>
        <v>0</v>
      </c>
      <c r="BX121" s="16">
        <f t="shared" si="101"/>
        <v>0</v>
      </c>
      <c r="BY121" s="10">
        <f t="shared" si="68"/>
        <v>0</v>
      </c>
      <c r="BZ121" s="10">
        <f t="shared" si="69"/>
        <v>0</v>
      </c>
      <c r="CA121" s="10">
        <f t="shared" si="70"/>
        <v>0</v>
      </c>
      <c r="CB121" s="10">
        <f t="shared" si="71"/>
        <v>0</v>
      </c>
      <c r="CC121" s="10">
        <f>IFERROR(Table1[[#This Row],[Labor
Saving]]*Table1[[#This Row],[Annual Volume]],"")</f>
        <v>0</v>
      </c>
      <c r="CD121" s="10">
        <f>IFERROR(Table1[[#This Row],[Annual Volume]]*Table1[[#This Row],[Yield
Saving]],"")</f>
        <v>0</v>
      </c>
      <c r="CE121" s="10">
        <f>IFERROR(Table1[[#This Row],[Annual Volume]]*Table1[[#This Row],[Material
Saving]],"")</f>
        <v>0</v>
      </c>
      <c r="CF121" s="10">
        <f>IFERROR(Table1[[#This Row],[OH
Saving]]*Table1[[#This Row],[Annual Volume]],"")</f>
        <v>0</v>
      </c>
      <c r="CG121" s="10">
        <f>SUM(Table1[[#This Row],[Labor_ASV]:[OH_ASV]])</f>
        <v>0</v>
      </c>
    </row>
    <row r="122" spans="1:85" x14ac:dyDescent="0.3">
      <c r="A122" t="str">
        <f>Table1[[#This Row],[Project Name]]&amp;Table1[[#This Row],[Part Number]]</f>
        <v>Tape Dicing 5R145</v>
      </c>
      <c r="B122" t="str">
        <f>IFERROR(Table1[[#This Row],[Project Number]]&amp;Table1[[#This Row],[Part Number]],"")</f>
        <v>AME25-090R145</v>
      </c>
      <c r="C122" s="22" t="s">
        <v>137</v>
      </c>
      <c r="D122" s="24" t="s">
        <v>383</v>
      </c>
      <c r="E122" s="25" t="s">
        <v>58</v>
      </c>
      <c r="F122" s="6">
        <f>INDEX(Proj_Reg!G:G,MATCH($C122,Proj_Reg!$B:$B,0),1)</f>
        <v>46143</v>
      </c>
      <c r="G122" s="6">
        <f>INDEX(Proj_Reg!H:H,MATCH($C122,Proj_Reg!$B:$B,0),1)</f>
        <v>46478</v>
      </c>
      <c r="H122" s="6" t="str">
        <f>IF(INDEX(Proj_Reg!C:C,MATCH($C122,Proj_Reg!$B:$B,0),1)=0,"",INDEX(Proj_Reg!C:C,MATCH($C122,Proj_Reg!$B:$B,0),1))</f>
        <v>Wafer Saw Dicing</v>
      </c>
      <c r="I122" s="6" t="str">
        <f>IF(INDEX(Proj_Reg!D:D,MATCH($C122,Proj_Reg!$B:$B,0),1)=0,"",INDEX(Proj_Reg!D:D,MATCH($C122,Proj_Reg!$B:$B,0),1))</f>
        <v>XCD</v>
      </c>
      <c r="J122" s="6" t="str">
        <f>INDEX(Proj_Reg!E:E,MATCH($C122,Proj_Reg!$B:$B,0),1)</f>
        <v>Tape Dicing 5</v>
      </c>
      <c r="K122" s="21">
        <v>1.7194975588760087E-2</v>
      </c>
      <c r="L122" s="21">
        <v>0</v>
      </c>
      <c r="M122" s="21">
        <v>0.02</v>
      </c>
      <c r="N122" s="21">
        <v>0</v>
      </c>
      <c r="O122" s="11">
        <f>SUM(Table1[[#This Row],[Labor
Saving]:[OH
Saving]])</f>
        <v>3.7194975588760087E-2</v>
      </c>
      <c r="Q122" s="40">
        <f t="shared" si="52"/>
        <v>0</v>
      </c>
      <c r="R122" s="40">
        <f t="shared" si="53"/>
        <v>0</v>
      </c>
      <c r="S122" s="40">
        <f t="shared" si="54"/>
        <v>0</v>
      </c>
      <c r="T122" s="40">
        <f t="shared" si="55"/>
        <v>0</v>
      </c>
      <c r="U122" s="40">
        <f t="shared" si="56"/>
        <v>0</v>
      </c>
      <c r="V122" s="40">
        <f t="shared" si="57"/>
        <v>0</v>
      </c>
      <c r="W122" s="40">
        <f t="shared" si="58"/>
        <v>0</v>
      </c>
      <c r="X122" s="40">
        <f t="shared" si="59"/>
        <v>0</v>
      </c>
      <c r="Y122" s="40">
        <f t="shared" si="60"/>
        <v>0</v>
      </c>
      <c r="Z122" s="40">
        <f t="shared" si="61"/>
        <v>0</v>
      </c>
      <c r="AA122" s="40">
        <f t="shared" si="62"/>
        <v>0</v>
      </c>
      <c r="AB122" s="40">
        <f t="shared" si="63"/>
        <v>0</v>
      </c>
      <c r="AC122" s="37">
        <f>SUM(Table1[[#This Row],[Jan]:[Dec]])</f>
        <v>0</v>
      </c>
      <c r="AD122" s="15">
        <f t="shared" si="72"/>
        <v>0</v>
      </c>
      <c r="AE122" s="15">
        <f t="shared" si="73"/>
        <v>0</v>
      </c>
      <c r="AF122" s="15">
        <f t="shared" si="74"/>
        <v>0</v>
      </c>
      <c r="AG122" s="15">
        <f t="shared" si="75"/>
        <v>0</v>
      </c>
      <c r="AH122" s="15">
        <f t="shared" si="76"/>
        <v>0</v>
      </c>
      <c r="AI122" s="15">
        <f t="shared" si="77"/>
        <v>0</v>
      </c>
      <c r="AJ122" s="15">
        <f t="shared" si="78"/>
        <v>0</v>
      </c>
      <c r="AK122" s="15">
        <f t="shared" si="79"/>
        <v>0</v>
      </c>
      <c r="AL122" s="15">
        <f t="shared" si="80"/>
        <v>0</v>
      </c>
      <c r="AM122" s="15">
        <f t="shared" si="81"/>
        <v>0</v>
      </c>
      <c r="AN122" s="15">
        <f t="shared" si="82"/>
        <v>0</v>
      </c>
      <c r="AO122" s="15">
        <f t="shared" si="83"/>
        <v>0</v>
      </c>
      <c r="AP122" s="10">
        <f t="shared" si="84"/>
        <v>0</v>
      </c>
      <c r="AQ122" s="10">
        <f t="shared" si="85"/>
        <v>0</v>
      </c>
      <c r="AR122" s="10">
        <f t="shared" si="86"/>
        <v>0</v>
      </c>
      <c r="AS122" s="10">
        <f t="shared" si="87"/>
        <v>0</v>
      </c>
      <c r="AT122" s="10" t="b">
        <f t="shared" si="88"/>
        <v>1</v>
      </c>
      <c r="AU122" s="10">
        <f t="shared" si="64"/>
        <v>0</v>
      </c>
      <c r="AV122" s="10">
        <f t="shared" si="65"/>
        <v>0</v>
      </c>
      <c r="AW122" s="10">
        <f t="shared" si="66"/>
        <v>0</v>
      </c>
      <c r="AX122" s="10">
        <f t="shared" si="67"/>
        <v>0</v>
      </c>
      <c r="AY122" s="10">
        <f t="shared" si="89"/>
        <v>0</v>
      </c>
      <c r="AZ122" s="19">
        <f>IFERROR(IF($E122="REC",INDEX(A_Type_Volume!$B:$B,MATCH($D122,A_Type_Volume!$A:$A,0),1),IF($E122="VAM",INDEX(C_Type_Volume!$B:$B,MATCH($D122,C_Type_Volume!$A:$A,0),1),"X")),"")</f>
        <v>3293</v>
      </c>
      <c r="BA122" s="19">
        <f>IFERROR(IF($E122="REC",INDEX(A_Type_Volume!$C:$C,MATCH($D122,A_Type_Volume!$A:$A,0),1),IF($E122="VAM",INDEX(C_Type_Volume!$C:$C,MATCH($D122,C_Type_Volume!$A:$A,0),1),"X")),"")</f>
        <v>8814</v>
      </c>
      <c r="BB122" s="19">
        <f>IFERROR(IF($E122="REC",INDEX(A_Type_Volume!$D:$D,MATCH($D122,A_Type_Volume!$A:$A,0),1),IF($E122="VAM",INDEX(C_Type_Volume!$D:$D,MATCH($D122,C_Type_Volume!$A:$A,0),1),"X")),"")</f>
        <v>1029</v>
      </c>
      <c r="BC122" s="19">
        <f>IFERROR(IF($E122="REC",INDEX(A_Type_Volume!$E:$E,MATCH($D122,A_Type_Volume!$A:$A,0),1),IF($E122="VAM",INDEX(C_Type_Volume!$E:$E,MATCH($D122,C_Type_Volume!$A:$A,0),1),"X")),"")</f>
        <v>0</v>
      </c>
      <c r="BD122" s="19">
        <f>IFERROR(IF($E122="REC",INDEX(A_Type_Volume!$F:$F,MATCH($D122,A_Type_Volume!$A:$A,0),1),IF($E122="VAM",INDEX(C_Type_Volume!$F:$F,MATCH($D122,C_Type_Volume!$A:$A,0),1),"X")),"")</f>
        <v>0</v>
      </c>
      <c r="BE122" s="19">
        <f>IFERROR(IF($E122="REC",INDEX(A_Type_Volume!$G:$G,MATCH($D122,A_Type_Volume!$A:$A,0),1),IF($E122="VAM",INDEX(C_Type_Volume!$G:$G,MATCH($D122,C_Type_Volume!$A:$A,0),1),"X")),"")</f>
        <v>0</v>
      </c>
      <c r="BF122" s="19">
        <f>IFERROR(IF($E122="REC",INDEX(A_Type_Volume!$H:$H,MATCH($D122,A_Type_Volume!$A:$A,0),1),IF($E122="VAM",INDEX(C_Type_Volume!$H:$H,MATCH($D122,C_Type_Volume!$A:$A,0),1),"X")),"")</f>
        <v>0</v>
      </c>
      <c r="BG122" s="19">
        <f>IFERROR(IF($E122="REC",INDEX(A_Type_Volume!$I:$I,MATCH($D122,A_Type_Volume!$A:$A,0),1),IF($E122="VAM",INDEX(C_Type_Volume!$I:$I,MATCH($D122,C_Type_Volume!$A:$A,0),1),"X")),"")</f>
        <v>0</v>
      </c>
      <c r="BH122" s="19">
        <f>IFERROR(IF($E122="REC",INDEX(A_Type_Volume!$J:$J,MATCH($D122,A_Type_Volume!$A:$A,0),1),IF($E122="VAM",INDEX(C_Type_Volume!$J:$J,MATCH($D122,C_Type_Volume!$A:$A,0),1),"X")),"")</f>
        <v>0</v>
      </c>
      <c r="BI122" s="19">
        <f>IFERROR(IF($E122="REC",INDEX(A_Type_Volume!$K:$K,MATCH($D122,A_Type_Volume!$A:$A,0),1),IF($E122="VAM",INDEX(C_Type_Volume!$K:$K,MATCH($D122,C_Type_Volume!$A:$A,0),1),"X")),"")</f>
        <v>0</v>
      </c>
      <c r="BJ122" s="19">
        <f>IFERROR(IF($E122="REC",INDEX(A_Type_Volume!$L:$L,MATCH($D122,A_Type_Volume!$A:$A,0),1),IF($E122="VAM",INDEX(C_Type_Volume!$L:$L,MATCH($D122,C_Type_Volume!$A:$A,0),1),"X")),"")</f>
        <v>0</v>
      </c>
      <c r="BK122" s="19">
        <f>IFERROR(IF($E122="REC",INDEX(A_Type_Volume!M:M,MATCH($D122,A_Type_Volume!$A:$A,0),1),IF($E122="VAM",INDEX(C_Type_Volume!M:M,MATCH($D122,C_Type_Volume!$A:$A,0),1),"X")),"")</f>
        <v>0</v>
      </c>
      <c r="BL122" s="38">
        <f>SUM(Table1[[#This Row],[Jan_AVF]:[Dec_AVF]])</f>
        <v>13136</v>
      </c>
      <c r="BM122" s="16">
        <f t="shared" si="90"/>
        <v>122.48305461378696</v>
      </c>
      <c r="BN122" s="16">
        <f t="shared" si="91"/>
        <v>327.83651483933141</v>
      </c>
      <c r="BO122" s="16">
        <f t="shared" si="92"/>
        <v>38.273629880834129</v>
      </c>
      <c r="BP122" s="16">
        <f t="shared" si="93"/>
        <v>0</v>
      </c>
      <c r="BQ122" s="16">
        <f t="shared" si="94"/>
        <v>0</v>
      </c>
      <c r="BR122" s="16">
        <f t="shared" si="95"/>
        <v>0</v>
      </c>
      <c r="BS122" s="16">
        <f t="shared" si="96"/>
        <v>0</v>
      </c>
      <c r="BT122" s="16">
        <f t="shared" si="97"/>
        <v>0</v>
      </c>
      <c r="BU122" s="16">
        <f t="shared" si="98"/>
        <v>0</v>
      </c>
      <c r="BV122" s="16">
        <f t="shared" si="99"/>
        <v>0</v>
      </c>
      <c r="BW122" s="16">
        <f t="shared" si="100"/>
        <v>0</v>
      </c>
      <c r="BX122" s="16">
        <f t="shared" si="101"/>
        <v>0</v>
      </c>
      <c r="BY122" s="10">
        <f t="shared" si="68"/>
        <v>488.5931993339525</v>
      </c>
      <c r="BZ122" s="10">
        <f t="shared" si="69"/>
        <v>0</v>
      </c>
      <c r="CA122" s="10">
        <f t="shared" si="70"/>
        <v>0</v>
      </c>
      <c r="CB122" s="10">
        <f t="shared" si="71"/>
        <v>0</v>
      </c>
      <c r="CC122" s="10">
        <f>IFERROR(Table1[[#This Row],[Labor
Saving]]*Table1[[#This Row],[Annual Volume]],"")</f>
        <v>225.8731993339525</v>
      </c>
      <c r="CD122" s="10">
        <f>IFERROR(Table1[[#This Row],[Annual Volume]]*Table1[[#This Row],[Yield
Saving]],"")</f>
        <v>0</v>
      </c>
      <c r="CE122" s="10">
        <f>IFERROR(Table1[[#This Row],[Annual Volume]]*Table1[[#This Row],[Material
Saving]],"")</f>
        <v>262.72000000000003</v>
      </c>
      <c r="CF122" s="10">
        <f>IFERROR(Table1[[#This Row],[OH
Saving]]*Table1[[#This Row],[Annual Volume]],"")</f>
        <v>0</v>
      </c>
      <c r="CG122" s="10">
        <f>SUM(Table1[[#This Row],[Labor_ASV]:[OH_ASV]])</f>
        <v>488.5931993339525</v>
      </c>
    </row>
    <row r="123" spans="1:85" x14ac:dyDescent="0.3">
      <c r="A123" t="str">
        <f>Table1[[#This Row],[Project Name]]&amp;Table1[[#This Row],[Part Number]]</f>
        <v>Tape Dicing 5R179</v>
      </c>
      <c r="B123" t="str">
        <f>IFERROR(Table1[[#This Row],[Project Number]]&amp;Table1[[#This Row],[Part Number]],"")</f>
        <v>AME25-090R179</v>
      </c>
      <c r="C123" s="22" t="s">
        <v>137</v>
      </c>
      <c r="D123" s="24" t="s">
        <v>417</v>
      </c>
      <c r="E123" s="25" t="s">
        <v>58</v>
      </c>
      <c r="F123" s="6">
        <f>INDEX(Proj_Reg!G:G,MATCH($C123,Proj_Reg!$B:$B,0),1)</f>
        <v>46143</v>
      </c>
      <c r="G123" s="6">
        <f>INDEX(Proj_Reg!H:H,MATCH($C123,Proj_Reg!$B:$B,0),1)</f>
        <v>46478</v>
      </c>
      <c r="H123" s="6" t="str">
        <f>IF(INDEX(Proj_Reg!C:C,MATCH($C123,Proj_Reg!$B:$B,0),1)=0,"",INDEX(Proj_Reg!C:C,MATCH($C123,Proj_Reg!$B:$B,0),1))</f>
        <v>Wafer Saw Dicing</v>
      </c>
      <c r="I123" s="6" t="str">
        <f>IF(INDEX(Proj_Reg!D:D,MATCH($C123,Proj_Reg!$B:$B,0),1)=0,"",INDEX(Proj_Reg!D:D,MATCH($C123,Proj_Reg!$B:$B,0),1))</f>
        <v>XCD</v>
      </c>
      <c r="J123" s="6" t="str">
        <f>INDEX(Proj_Reg!E:E,MATCH($C123,Proj_Reg!$B:$B,0),1)</f>
        <v>Tape Dicing 5</v>
      </c>
      <c r="K123" s="21">
        <v>1.7194975588760087E-2</v>
      </c>
      <c r="L123" s="21">
        <v>0</v>
      </c>
      <c r="M123" s="21">
        <v>0.02</v>
      </c>
      <c r="N123" s="21">
        <v>0</v>
      </c>
      <c r="O123" s="11">
        <f>SUM(Table1[[#This Row],[Labor
Saving]:[OH
Saving]])</f>
        <v>3.7194975588760087E-2</v>
      </c>
      <c r="Q123" s="40">
        <f t="shared" si="52"/>
        <v>0</v>
      </c>
      <c r="R123" s="40">
        <f t="shared" si="53"/>
        <v>0</v>
      </c>
      <c r="S123" s="40">
        <f t="shared" si="54"/>
        <v>0</v>
      </c>
      <c r="T123" s="40">
        <f t="shared" si="55"/>
        <v>0</v>
      </c>
      <c r="U123" s="40">
        <f t="shared" si="56"/>
        <v>0</v>
      </c>
      <c r="V123" s="40">
        <f t="shared" si="57"/>
        <v>0</v>
      </c>
      <c r="W123" s="40">
        <f t="shared" si="58"/>
        <v>0</v>
      </c>
      <c r="X123" s="40">
        <f t="shared" si="59"/>
        <v>0</v>
      </c>
      <c r="Y123" s="40">
        <f t="shared" si="60"/>
        <v>0</v>
      </c>
      <c r="Z123" s="40">
        <f t="shared" si="61"/>
        <v>0</v>
      </c>
      <c r="AA123" s="40">
        <f t="shared" si="62"/>
        <v>0</v>
      </c>
      <c r="AB123" s="40">
        <f t="shared" si="63"/>
        <v>0</v>
      </c>
      <c r="AC123" s="37">
        <f>SUM(Table1[[#This Row],[Jan]:[Dec]])</f>
        <v>0</v>
      </c>
      <c r="AD123" s="15">
        <f t="shared" si="72"/>
        <v>0</v>
      </c>
      <c r="AE123" s="15">
        <f t="shared" si="73"/>
        <v>0</v>
      </c>
      <c r="AF123" s="15">
        <f t="shared" si="74"/>
        <v>0</v>
      </c>
      <c r="AG123" s="15">
        <f t="shared" si="75"/>
        <v>0</v>
      </c>
      <c r="AH123" s="15">
        <f t="shared" si="76"/>
        <v>0</v>
      </c>
      <c r="AI123" s="15">
        <f t="shared" si="77"/>
        <v>0</v>
      </c>
      <c r="AJ123" s="15">
        <f t="shared" si="78"/>
        <v>0</v>
      </c>
      <c r="AK123" s="15">
        <f t="shared" si="79"/>
        <v>0</v>
      </c>
      <c r="AL123" s="15">
        <f t="shared" si="80"/>
        <v>0</v>
      </c>
      <c r="AM123" s="15">
        <f t="shared" si="81"/>
        <v>0</v>
      </c>
      <c r="AN123" s="15">
        <f t="shared" si="82"/>
        <v>0</v>
      </c>
      <c r="AO123" s="15">
        <f t="shared" si="83"/>
        <v>0</v>
      </c>
      <c r="AP123" s="10">
        <f t="shared" si="84"/>
        <v>0</v>
      </c>
      <c r="AQ123" s="10">
        <f t="shared" si="85"/>
        <v>0</v>
      </c>
      <c r="AR123" s="10">
        <f t="shared" si="86"/>
        <v>0</v>
      </c>
      <c r="AS123" s="10">
        <f t="shared" si="87"/>
        <v>0</v>
      </c>
      <c r="AT123" s="10" t="b">
        <f t="shared" si="88"/>
        <v>1</v>
      </c>
      <c r="AU123" s="10">
        <f t="shared" si="64"/>
        <v>0</v>
      </c>
      <c r="AV123" s="10">
        <f t="shared" si="65"/>
        <v>0</v>
      </c>
      <c r="AW123" s="10">
        <f t="shared" si="66"/>
        <v>0</v>
      </c>
      <c r="AX123" s="10">
        <f t="shared" si="67"/>
        <v>0</v>
      </c>
      <c r="AY123" s="10">
        <f t="shared" si="89"/>
        <v>0</v>
      </c>
      <c r="AZ123" s="19">
        <f>IFERROR(IF($E123="REC",INDEX(A_Type_Volume!$B:$B,MATCH($D123,A_Type_Volume!$A:$A,0),1),IF($E123="VAM",INDEX(C_Type_Volume!$B:$B,MATCH($D123,C_Type_Volume!$A:$A,0),1),"X")),"")</f>
        <v>0</v>
      </c>
      <c r="BA123" s="19">
        <f>IFERROR(IF($E123="REC",INDEX(A_Type_Volume!$C:$C,MATCH($D123,A_Type_Volume!$A:$A,0),1),IF($E123="VAM",INDEX(C_Type_Volume!$C:$C,MATCH($D123,C_Type_Volume!$A:$A,0),1),"X")),"")</f>
        <v>0</v>
      </c>
      <c r="BB123" s="19">
        <f>IFERROR(IF($E123="REC",INDEX(A_Type_Volume!$D:$D,MATCH($D123,A_Type_Volume!$A:$A,0),1),IF($E123="VAM",INDEX(C_Type_Volume!$D:$D,MATCH($D123,C_Type_Volume!$A:$A,0),1),"X")),"")</f>
        <v>0</v>
      </c>
      <c r="BC123" s="19">
        <f>IFERROR(IF($E123="REC",INDEX(A_Type_Volume!$E:$E,MATCH($D123,A_Type_Volume!$A:$A,0),1),IF($E123="VAM",INDEX(C_Type_Volume!$E:$E,MATCH($D123,C_Type_Volume!$A:$A,0),1),"X")),"")</f>
        <v>0</v>
      </c>
      <c r="BD123" s="19">
        <f>IFERROR(IF($E123="REC",INDEX(A_Type_Volume!$F:$F,MATCH($D123,A_Type_Volume!$A:$A,0),1),IF($E123="VAM",INDEX(C_Type_Volume!$F:$F,MATCH($D123,C_Type_Volume!$A:$A,0),1),"X")),"")</f>
        <v>0</v>
      </c>
      <c r="BE123" s="19">
        <f>IFERROR(IF($E123="REC",INDEX(A_Type_Volume!$G:$G,MATCH($D123,A_Type_Volume!$A:$A,0),1),IF($E123="VAM",INDEX(C_Type_Volume!$G:$G,MATCH($D123,C_Type_Volume!$A:$A,0),1),"X")),"")</f>
        <v>0</v>
      </c>
      <c r="BF123" s="19">
        <f>IFERROR(IF($E123="REC",INDEX(A_Type_Volume!$H:$H,MATCH($D123,A_Type_Volume!$A:$A,0),1),IF($E123="VAM",INDEX(C_Type_Volume!$H:$H,MATCH($D123,C_Type_Volume!$A:$A,0),1),"X")),"")</f>
        <v>0</v>
      </c>
      <c r="BG123" s="19">
        <f>IFERROR(IF($E123="REC",INDEX(A_Type_Volume!$I:$I,MATCH($D123,A_Type_Volume!$A:$A,0),1),IF($E123="VAM",INDEX(C_Type_Volume!$I:$I,MATCH($D123,C_Type_Volume!$A:$A,0),1),"X")),"")</f>
        <v>0</v>
      </c>
      <c r="BH123" s="19">
        <f>IFERROR(IF($E123="REC",INDEX(A_Type_Volume!$J:$J,MATCH($D123,A_Type_Volume!$A:$A,0),1),IF($E123="VAM",INDEX(C_Type_Volume!$J:$J,MATCH($D123,C_Type_Volume!$A:$A,0),1),"X")),"")</f>
        <v>0</v>
      </c>
      <c r="BI123" s="19">
        <f>IFERROR(IF($E123="REC",INDEX(A_Type_Volume!$K:$K,MATCH($D123,A_Type_Volume!$A:$A,0),1),IF($E123="VAM",INDEX(C_Type_Volume!$K:$K,MATCH($D123,C_Type_Volume!$A:$A,0),1),"X")),"")</f>
        <v>0</v>
      </c>
      <c r="BJ123" s="19">
        <f>IFERROR(IF($E123="REC",INDEX(A_Type_Volume!$L:$L,MATCH($D123,A_Type_Volume!$A:$A,0),1),IF($E123="VAM",INDEX(C_Type_Volume!$L:$L,MATCH($D123,C_Type_Volume!$A:$A,0),1),"X")),"")</f>
        <v>0</v>
      </c>
      <c r="BK123" s="19">
        <f>IFERROR(IF($E123="REC",INDEX(A_Type_Volume!M:M,MATCH($D123,A_Type_Volume!$A:$A,0),1),IF($E123="VAM",INDEX(C_Type_Volume!M:M,MATCH($D123,C_Type_Volume!$A:$A,0),1),"X")),"")</f>
        <v>0</v>
      </c>
      <c r="BL123" s="38">
        <f>SUM(Table1[[#This Row],[Jan_AVF]:[Dec_AVF]])</f>
        <v>0</v>
      </c>
      <c r="BM123" s="16">
        <f t="shared" si="90"/>
        <v>0</v>
      </c>
      <c r="BN123" s="16">
        <f t="shared" si="91"/>
        <v>0</v>
      </c>
      <c r="BO123" s="16">
        <f t="shared" si="92"/>
        <v>0</v>
      </c>
      <c r="BP123" s="16">
        <f t="shared" si="93"/>
        <v>0</v>
      </c>
      <c r="BQ123" s="16">
        <f t="shared" si="94"/>
        <v>0</v>
      </c>
      <c r="BR123" s="16">
        <f t="shared" si="95"/>
        <v>0</v>
      </c>
      <c r="BS123" s="16">
        <f t="shared" si="96"/>
        <v>0</v>
      </c>
      <c r="BT123" s="16">
        <f t="shared" si="97"/>
        <v>0</v>
      </c>
      <c r="BU123" s="16">
        <f t="shared" si="98"/>
        <v>0</v>
      </c>
      <c r="BV123" s="16">
        <f t="shared" si="99"/>
        <v>0</v>
      </c>
      <c r="BW123" s="16">
        <f t="shared" si="100"/>
        <v>0</v>
      </c>
      <c r="BX123" s="16">
        <f t="shared" si="101"/>
        <v>0</v>
      </c>
      <c r="BY123" s="10">
        <f t="shared" si="68"/>
        <v>0</v>
      </c>
      <c r="BZ123" s="10">
        <f t="shared" si="69"/>
        <v>0</v>
      </c>
      <c r="CA123" s="10">
        <f t="shared" si="70"/>
        <v>0</v>
      </c>
      <c r="CB123" s="10">
        <f t="shared" si="71"/>
        <v>0</v>
      </c>
      <c r="CC123" s="10">
        <f>IFERROR(Table1[[#This Row],[Labor
Saving]]*Table1[[#This Row],[Annual Volume]],"")</f>
        <v>0</v>
      </c>
      <c r="CD123" s="10">
        <f>IFERROR(Table1[[#This Row],[Annual Volume]]*Table1[[#This Row],[Yield
Saving]],"")</f>
        <v>0</v>
      </c>
      <c r="CE123" s="10">
        <f>IFERROR(Table1[[#This Row],[Annual Volume]]*Table1[[#This Row],[Material
Saving]],"")</f>
        <v>0</v>
      </c>
      <c r="CF123" s="10">
        <f>IFERROR(Table1[[#This Row],[OH
Saving]]*Table1[[#This Row],[Annual Volume]],"")</f>
        <v>0</v>
      </c>
      <c r="CG123" s="10">
        <f>SUM(Table1[[#This Row],[Labor_ASV]:[OH_ASV]])</f>
        <v>0</v>
      </c>
    </row>
    <row r="124" spans="1:85" x14ac:dyDescent="0.3">
      <c r="A124" t="str">
        <f>Table1[[#This Row],[Project Name]]&amp;Table1[[#This Row],[Part Number]]</f>
        <v>Ti Target Supplier YR180</v>
      </c>
      <c r="B124" t="str">
        <f>IFERROR(Table1[[#This Row],[Project Number]]&amp;Table1[[#This Row],[Part Number]],"")</f>
        <v>AME25-013R180</v>
      </c>
      <c r="C124" s="22" t="s">
        <v>73</v>
      </c>
      <c r="D124" s="24" t="s">
        <v>418</v>
      </c>
      <c r="E124" s="25" t="s">
        <v>58</v>
      </c>
      <c r="F124" s="6">
        <f>INDEX(Proj_Reg!G:G,MATCH($C124,Proj_Reg!$B:$B,0),1)</f>
        <v>46174</v>
      </c>
      <c r="G124" s="6">
        <f>INDEX(Proj_Reg!H:H,MATCH($C124,Proj_Reg!$B:$B,0),1)</f>
        <v>46508</v>
      </c>
      <c r="H124" s="6" t="str">
        <f>IF(INDEX(Proj_Reg!C:C,MATCH($C124,Proj_Reg!$B:$B,0),1)=0,"",INDEX(Proj_Reg!C:C,MATCH($C124,Proj_Reg!$B:$B,0),1))</f>
        <v>Sputtering</v>
      </c>
      <c r="I124" s="6" t="str">
        <f>IF(INDEX(Proj_Reg!D:D,MATCH($C124,Proj_Reg!$B:$B,0),1)=0,"",INDEX(Proj_Reg!D:D,MATCH($C124,Proj_Reg!$B:$B,0),1))</f>
        <v>XWP</v>
      </c>
      <c r="J124" s="6" t="str">
        <f>INDEX(Proj_Reg!E:E,MATCH($C124,Proj_Reg!$B:$B,0),1)</f>
        <v>Ti Target Supplier Y</v>
      </c>
      <c r="K124" s="21">
        <v>1.7194975588760087E-2</v>
      </c>
      <c r="L124" s="21">
        <v>0</v>
      </c>
      <c r="M124" s="21">
        <v>0.02</v>
      </c>
      <c r="N124" s="21">
        <v>0</v>
      </c>
      <c r="O124" s="11">
        <f>SUM(Table1[[#This Row],[Labor
Saving]:[OH
Saving]])</f>
        <v>3.7194975588760087E-2</v>
      </c>
      <c r="Q124" s="40">
        <f t="shared" si="52"/>
        <v>0</v>
      </c>
      <c r="R124" s="40">
        <f t="shared" si="53"/>
        <v>0</v>
      </c>
      <c r="S124" s="40">
        <f t="shared" si="54"/>
        <v>0</v>
      </c>
      <c r="T124" s="40">
        <f t="shared" si="55"/>
        <v>0</v>
      </c>
      <c r="U124" s="40">
        <f t="shared" si="56"/>
        <v>0</v>
      </c>
      <c r="V124" s="40">
        <f t="shared" si="57"/>
        <v>0</v>
      </c>
      <c r="W124" s="40">
        <f t="shared" si="58"/>
        <v>0</v>
      </c>
      <c r="X124" s="40">
        <f t="shared" si="59"/>
        <v>0</v>
      </c>
      <c r="Y124" s="40">
        <f t="shared" si="60"/>
        <v>0</v>
      </c>
      <c r="Z124" s="40">
        <f t="shared" si="61"/>
        <v>0</v>
      </c>
      <c r="AA124" s="40">
        <f t="shared" si="62"/>
        <v>0</v>
      </c>
      <c r="AB124" s="40">
        <f t="shared" si="63"/>
        <v>0</v>
      </c>
      <c r="AC124" s="37">
        <f>SUM(Table1[[#This Row],[Jan]:[Dec]])</f>
        <v>0</v>
      </c>
      <c r="AD124" s="15">
        <f t="shared" si="72"/>
        <v>0</v>
      </c>
      <c r="AE124" s="15">
        <f t="shared" si="73"/>
        <v>0</v>
      </c>
      <c r="AF124" s="15">
        <f t="shared" si="74"/>
        <v>0</v>
      </c>
      <c r="AG124" s="15">
        <f t="shared" si="75"/>
        <v>0</v>
      </c>
      <c r="AH124" s="15">
        <f t="shared" si="76"/>
        <v>0</v>
      </c>
      <c r="AI124" s="15">
        <f t="shared" si="77"/>
        <v>0</v>
      </c>
      <c r="AJ124" s="15">
        <f t="shared" si="78"/>
        <v>0</v>
      </c>
      <c r="AK124" s="15">
        <f t="shared" si="79"/>
        <v>0</v>
      </c>
      <c r="AL124" s="15">
        <f t="shared" si="80"/>
        <v>0</v>
      </c>
      <c r="AM124" s="15">
        <f t="shared" si="81"/>
        <v>0</v>
      </c>
      <c r="AN124" s="15">
        <f t="shared" si="82"/>
        <v>0</v>
      </c>
      <c r="AO124" s="15">
        <f t="shared" si="83"/>
        <v>0</v>
      </c>
      <c r="AP124" s="10">
        <f t="shared" si="84"/>
        <v>0</v>
      </c>
      <c r="AQ124" s="10">
        <f t="shared" si="85"/>
        <v>0</v>
      </c>
      <c r="AR124" s="10">
        <f t="shared" si="86"/>
        <v>0</v>
      </c>
      <c r="AS124" s="10">
        <f t="shared" si="87"/>
        <v>0</v>
      </c>
      <c r="AT124" s="10" t="b">
        <f t="shared" si="88"/>
        <v>1</v>
      </c>
      <c r="AU124" s="10">
        <f t="shared" si="64"/>
        <v>0</v>
      </c>
      <c r="AV124" s="10">
        <f t="shared" si="65"/>
        <v>0</v>
      </c>
      <c r="AW124" s="10">
        <f t="shared" si="66"/>
        <v>0</v>
      </c>
      <c r="AX124" s="10">
        <f t="shared" si="67"/>
        <v>0</v>
      </c>
      <c r="AY124" s="10">
        <f t="shared" si="89"/>
        <v>0</v>
      </c>
      <c r="AZ124" s="19">
        <f>IFERROR(IF($E124="REC",INDEX(A_Type_Volume!$B:$B,MATCH($D124,A_Type_Volume!$A:$A,0),1),IF($E124="VAM",INDEX(C_Type_Volume!$B:$B,MATCH($D124,C_Type_Volume!$A:$A,0),1),"X")),"")</f>
        <v>0</v>
      </c>
      <c r="BA124" s="19">
        <f>IFERROR(IF($E124="REC",INDEX(A_Type_Volume!$C:$C,MATCH($D124,A_Type_Volume!$A:$A,0),1),IF($E124="VAM",INDEX(C_Type_Volume!$C:$C,MATCH($D124,C_Type_Volume!$A:$A,0),1),"X")),"")</f>
        <v>0</v>
      </c>
      <c r="BB124" s="19">
        <f>IFERROR(IF($E124="REC",INDEX(A_Type_Volume!$D:$D,MATCH($D124,A_Type_Volume!$A:$A,0),1),IF($E124="VAM",INDEX(C_Type_Volume!$D:$D,MATCH($D124,C_Type_Volume!$A:$A,0),1),"X")),"")</f>
        <v>0</v>
      </c>
      <c r="BC124" s="19">
        <f>IFERROR(IF($E124="REC",INDEX(A_Type_Volume!$E:$E,MATCH($D124,A_Type_Volume!$A:$A,0),1),IF($E124="VAM",INDEX(C_Type_Volume!$E:$E,MATCH($D124,C_Type_Volume!$A:$A,0),1),"X")),"")</f>
        <v>0</v>
      </c>
      <c r="BD124" s="19">
        <f>IFERROR(IF($E124="REC",INDEX(A_Type_Volume!$F:$F,MATCH($D124,A_Type_Volume!$A:$A,0),1),IF($E124="VAM",INDEX(C_Type_Volume!$F:$F,MATCH($D124,C_Type_Volume!$A:$A,0),1),"X")),"")</f>
        <v>0</v>
      </c>
      <c r="BE124" s="19">
        <f>IFERROR(IF($E124="REC",INDEX(A_Type_Volume!$G:$G,MATCH($D124,A_Type_Volume!$A:$A,0),1),IF($E124="VAM",INDEX(C_Type_Volume!$G:$G,MATCH($D124,C_Type_Volume!$A:$A,0),1),"X")),"")</f>
        <v>0</v>
      </c>
      <c r="BF124" s="19">
        <f>IFERROR(IF($E124="REC",INDEX(A_Type_Volume!$H:$H,MATCH($D124,A_Type_Volume!$A:$A,0),1),IF($E124="VAM",INDEX(C_Type_Volume!$H:$H,MATCH($D124,C_Type_Volume!$A:$A,0),1),"X")),"")</f>
        <v>0</v>
      </c>
      <c r="BG124" s="19">
        <f>IFERROR(IF($E124="REC",INDEX(A_Type_Volume!$I:$I,MATCH($D124,A_Type_Volume!$A:$A,0),1),IF($E124="VAM",INDEX(C_Type_Volume!$I:$I,MATCH($D124,C_Type_Volume!$A:$A,0),1),"X")),"")</f>
        <v>0</v>
      </c>
      <c r="BH124" s="19">
        <f>IFERROR(IF($E124="REC",INDEX(A_Type_Volume!$J:$J,MATCH($D124,A_Type_Volume!$A:$A,0),1),IF($E124="VAM",INDEX(C_Type_Volume!$J:$J,MATCH($D124,C_Type_Volume!$A:$A,0),1),"X")),"")</f>
        <v>0</v>
      </c>
      <c r="BI124" s="19">
        <f>IFERROR(IF($E124="REC",INDEX(A_Type_Volume!$K:$K,MATCH($D124,A_Type_Volume!$A:$A,0),1),IF($E124="VAM",INDEX(C_Type_Volume!$K:$K,MATCH($D124,C_Type_Volume!$A:$A,0),1),"X")),"")</f>
        <v>0</v>
      </c>
      <c r="BJ124" s="19">
        <f>IFERROR(IF($E124="REC",INDEX(A_Type_Volume!$L:$L,MATCH($D124,A_Type_Volume!$A:$A,0),1),IF($E124="VAM",INDEX(C_Type_Volume!$L:$L,MATCH($D124,C_Type_Volume!$A:$A,0),1),"X")),"")</f>
        <v>0</v>
      </c>
      <c r="BK124" s="19">
        <f>IFERROR(IF($E124="REC",INDEX(A_Type_Volume!M:M,MATCH($D124,A_Type_Volume!$A:$A,0),1),IF($E124="VAM",INDEX(C_Type_Volume!M:M,MATCH($D124,C_Type_Volume!$A:$A,0),1),"X")),"")</f>
        <v>0</v>
      </c>
      <c r="BL124" s="38">
        <f>SUM(Table1[[#This Row],[Jan_AVF]:[Dec_AVF]])</f>
        <v>0</v>
      </c>
      <c r="BM124" s="16">
        <f t="shared" si="90"/>
        <v>0</v>
      </c>
      <c r="BN124" s="16">
        <f t="shared" si="91"/>
        <v>0</v>
      </c>
      <c r="BO124" s="16">
        <f t="shared" si="92"/>
        <v>0</v>
      </c>
      <c r="BP124" s="16">
        <f t="shared" si="93"/>
        <v>0</v>
      </c>
      <c r="BQ124" s="16">
        <f t="shared" si="94"/>
        <v>0</v>
      </c>
      <c r="BR124" s="16">
        <f t="shared" si="95"/>
        <v>0</v>
      </c>
      <c r="BS124" s="16">
        <f t="shared" si="96"/>
        <v>0</v>
      </c>
      <c r="BT124" s="16">
        <f t="shared" si="97"/>
        <v>0</v>
      </c>
      <c r="BU124" s="16">
        <f t="shared" si="98"/>
        <v>0</v>
      </c>
      <c r="BV124" s="16">
        <f t="shared" si="99"/>
        <v>0</v>
      </c>
      <c r="BW124" s="16">
        <f t="shared" si="100"/>
        <v>0</v>
      </c>
      <c r="BX124" s="16">
        <f t="shared" si="101"/>
        <v>0</v>
      </c>
      <c r="BY124" s="10">
        <f t="shared" si="68"/>
        <v>0</v>
      </c>
      <c r="BZ124" s="10">
        <f t="shared" si="69"/>
        <v>0</v>
      </c>
      <c r="CA124" s="10">
        <f t="shared" si="70"/>
        <v>0</v>
      </c>
      <c r="CB124" s="10">
        <f t="shared" si="71"/>
        <v>0</v>
      </c>
      <c r="CC124" s="10">
        <f>IFERROR(Table1[[#This Row],[Labor
Saving]]*Table1[[#This Row],[Annual Volume]],"")</f>
        <v>0</v>
      </c>
      <c r="CD124" s="10">
        <f>IFERROR(Table1[[#This Row],[Annual Volume]]*Table1[[#This Row],[Yield
Saving]],"")</f>
        <v>0</v>
      </c>
      <c r="CE124" s="10">
        <f>IFERROR(Table1[[#This Row],[Annual Volume]]*Table1[[#This Row],[Material
Saving]],"")</f>
        <v>0</v>
      </c>
      <c r="CF124" s="10">
        <f>IFERROR(Table1[[#This Row],[OH
Saving]]*Table1[[#This Row],[Annual Volume]],"")</f>
        <v>0</v>
      </c>
      <c r="CG124" s="10">
        <f>SUM(Table1[[#This Row],[Labor_ASV]:[OH_ASV]])</f>
        <v>0</v>
      </c>
    </row>
    <row r="125" spans="1:85" x14ac:dyDescent="0.3">
      <c r="A125" t="str">
        <f>Table1[[#This Row],[Project Name]]&amp;Table1[[#This Row],[Part Number]]</f>
        <v>Ti Target Supplier YR181</v>
      </c>
      <c r="B125" t="str">
        <f>IFERROR(Table1[[#This Row],[Project Number]]&amp;Table1[[#This Row],[Part Number]],"")</f>
        <v>AME25-013R181</v>
      </c>
      <c r="C125" s="22" t="s">
        <v>73</v>
      </c>
      <c r="D125" s="24" t="s">
        <v>419</v>
      </c>
      <c r="E125" s="25" t="s">
        <v>58</v>
      </c>
      <c r="F125" s="6">
        <f>INDEX(Proj_Reg!G:G,MATCH($C125,Proj_Reg!$B:$B,0),1)</f>
        <v>46174</v>
      </c>
      <c r="G125" s="6">
        <f>INDEX(Proj_Reg!H:H,MATCH($C125,Proj_Reg!$B:$B,0),1)</f>
        <v>46508</v>
      </c>
      <c r="H125" s="6" t="str">
        <f>IF(INDEX(Proj_Reg!C:C,MATCH($C125,Proj_Reg!$B:$B,0),1)=0,"",INDEX(Proj_Reg!C:C,MATCH($C125,Proj_Reg!$B:$B,0),1))</f>
        <v>Sputtering</v>
      </c>
      <c r="I125" s="6" t="str">
        <f>IF(INDEX(Proj_Reg!D:D,MATCH($C125,Proj_Reg!$B:$B,0),1)=0,"",INDEX(Proj_Reg!D:D,MATCH($C125,Proj_Reg!$B:$B,0),1))</f>
        <v>XWP</v>
      </c>
      <c r="J125" s="6" t="str">
        <f>INDEX(Proj_Reg!E:E,MATCH($C125,Proj_Reg!$B:$B,0),1)</f>
        <v>Ti Target Supplier Y</v>
      </c>
      <c r="K125" s="21">
        <v>3.8074818399999995E-2</v>
      </c>
      <c r="L125" s="21">
        <v>0</v>
      </c>
      <c r="M125" s="21">
        <v>-1.0478671151700001E-3</v>
      </c>
      <c r="N125" s="21">
        <v>0</v>
      </c>
      <c r="O125" s="11">
        <f>SUM(Table1[[#This Row],[Labor
Saving]:[OH
Saving]])</f>
        <v>3.7026951284829995E-2</v>
      </c>
      <c r="Q125" s="40">
        <f t="shared" si="52"/>
        <v>0</v>
      </c>
      <c r="R125" s="40">
        <f t="shared" si="53"/>
        <v>0</v>
      </c>
      <c r="S125" s="40">
        <f t="shared" si="54"/>
        <v>0</v>
      </c>
      <c r="T125" s="40">
        <f t="shared" si="55"/>
        <v>0</v>
      </c>
      <c r="U125" s="40">
        <f t="shared" si="56"/>
        <v>0</v>
      </c>
      <c r="V125" s="40">
        <f t="shared" si="57"/>
        <v>0</v>
      </c>
      <c r="W125" s="40">
        <f t="shared" si="58"/>
        <v>0</v>
      </c>
      <c r="X125" s="40">
        <f t="shared" si="59"/>
        <v>0</v>
      </c>
      <c r="Y125" s="40">
        <f t="shared" si="60"/>
        <v>0</v>
      </c>
      <c r="Z125" s="40">
        <f t="shared" si="61"/>
        <v>0</v>
      </c>
      <c r="AA125" s="40">
        <f t="shared" si="62"/>
        <v>0</v>
      </c>
      <c r="AB125" s="40">
        <f t="shared" si="63"/>
        <v>0</v>
      </c>
      <c r="AC125" s="37">
        <f>SUM(Table1[[#This Row],[Jan]:[Dec]])</f>
        <v>0</v>
      </c>
      <c r="AD125" s="15">
        <f t="shared" si="72"/>
        <v>0</v>
      </c>
      <c r="AE125" s="15">
        <f t="shared" si="73"/>
        <v>0</v>
      </c>
      <c r="AF125" s="15">
        <f t="shared" si="74"/>
        <v>0</v>
      </c>
      <c r="AG125" s="15">
        <f t="shared" si="75"/>
        <v>0</v>
      </c>
      <c r="AH125" s="15">
        <f t="shared" si="76"/>
        <v>0</v>
      </c>
      <c r="AI125" s="15">
        <f t="shared" si="77"/>
        <v>0</v>
      </c>
      <c r="AJ125" s="15">
        <f t="shared" si="78"/>
        <v>0</v>
      </c>
      <c r="AK125" s="15">
        <f t="shared" si="79"/>
        <v>0</v>
      </c>
      <c r="AL125" s="15">
        <f t="shared" si="80"/>
        <v>0</v>
      </c>
      <c r="AM125" s="15">
        <f t="shared" si="81"/>
        <v>0</v>
      </c>
      <c r="AN125" s="15">
        <f t="shared" si="82"/>
        <v>0</v>
      </c>
      <c r="AO125" s="15">
        <f t="shared" si="83"/>
        <v>0</v>
      </c>
      <c r="AP125" s="10">
        <f t="shared" si="84"/>
        <v>0</v>
      </c>
      <c r="AQ125" s="10">
        <f t="shared" si="85"/>
        <v>0</v>
      </c>
      <c r="AR125" s="10">
        <f t="shared" si="86"/>
        <v>0</v>
      </c>
      <c r="AS125" s="10">
        <f t="shared" si="87"/>
        <v>0</v>
      </c>
      <c r="AT125" s="10" t="b">
        <f t="shared" si="88"/>
        <v>1</v>
      </c>
      <c r="AU125" s="10">
        <f t="shared" si="64"/>
        <v>0</v>
      </c>
      <c r="AV125" s="10">
        <f t="shared" si="65"/>
        <v>0</v>
      </c>
      <c r="AW125" s="10">
        <f t="shared" si="66"/>
        <v>0</v>
      </c>
      <c r="AX125" s="10">
        <f t="shared" si="67"/>
        <v>0</v>
      </c>
      <c r="AY125" s="10">
        <f t="shared" si="89"/>
        <v>0</v>
      </c>
      <c r="AZ125" s="19">
        <f>IFERROR(IF($E125="REC",INDEX(A_Type_Volume!$B:$B,MATCH($D125,A_Type_Volume!$A:$A,0),1),IF($E125="VAM",INDEX(C_Type_Volume!$B:$B,MATCH($D125,C_Type_Volume!$A:$A,0),1),"X")),"")</f>
        <v>0</v>
      </c>
      <c r="BA125" s="19">
        <f>IFERROR(IF($E125="REC",INDEX(A_Type_Volume!$C:$C,MATCH($D125,A_Type_Volume!$A:$A,0),1),IF($E125="VAM",INDEX(C_Type_Volume!$C:$C,MATCH($D125,C_Type_Volume!$A:$A,0),1),"X")),"")</f>
        <v>0</v>
      </c>
      <c r="BB125" s="19">
        <f>IFERROR(IF($E125="REC",INDEX(A_Type_Volume!$D:$D,MATCH($D125,A_Type_Volume!$A:$A,0),1),IF($E125="VAM",INDEX(C_Type_Volume!$D:$D,MATCH($D125,C_Type_Volume!$A:$A,0),1),"X")),"")</f>
        <v>0</v>
      </c>
      <c r="BC125" s="19">
        <f>IFERROR(IF($E125="REC",INDEX(A_Type_Volume!$E:$E,MATCH($D125,A_Type_Volume!$A:$A,0),1),IF($E125="VAM",INDEX(C_Type_Volume!$E:$E,MATCH($D125,C_Type_Volume!$A:$A,0),1),"X")),"")</f>
        <v>0</v>
      </c>
      <c r="BD125" s="19">
        <f>IFERROR(IF($E125="REC",INDEX(A_Type_Volume!$F:$F,MATCH($D125,A_Type_Volume!$A:$A,0),1),IF($E125="VAM",INDEX(C_Type_Volume!$F:$F,MATCH($D125,C_Type_Volume!$A:$A,0),1),"X")),"")</f>
        <v>0</v>
      </c>
      <c r="BE125" s="19">
        <f>IFERROR(IF($E125="REC",INDEX(A_Type_Volume!$G:$G,MATCH($D125,A_Type_Volume!$A:$A,0),1),IF($E125="VAM",INDEX(C_Type_Volume!$G:$G,MATCH($D125,C_Type_Volume!$A:$A,0),1),"X")),"")</f>
        <v>0</v>
      </c>
      <c r="BF125" s="19">
        <f>IFERROR(IF($E125="REC",INDEX(A_Type_Volume!$H:$H,MATCH($D125,A_Type_Volume!$A:$A,0),1),IF($E125="VAM",INDEX(C_Type_Volume!$H:$H,MATCH($D125,C_Type_Volume!$A:$A,0),1),"X")),"")</f>
        <v>0</v>
      </c>
      <c r="BG125" s="19">
        <f>IFERROR(IF($E125="REC",INDEX(A_Type_Volume!$I:$I,MATCH($D125,A_Type_Volume!$A:$A,0),1),IF($E125="VAM",INDEX(C_Type_Volume!$I:$I,MATCH($D125,C_Type_Volume!$A:$A,0),1),"X")),"")</f>
        <v>0</v>
      </c>
      <c r="BH125" s="19">
        <f>IFERROR(IF($E125="REC",INDEX(A_Type_Volume!$J:$J,MATCH($D125,A_Type_Volume!$A:$A,0),1),IF($E125="VAM",INDEX(C_Type_Volume!$J:$J,MATCH($D125,C_Type_Volume!$A:$A,0),1),"X")),"")</f>
        <v>0</v>
      </c>
      <c r="BI125" s="19">
        <f>IFERROR(IF($E125="REC",INDEX(A_Type_Volume!$K:$K,MATCH($D125,A_Type_Volume!$A:$A,0),1),IF($E125="VAM",INDEX(C_Type_Volume!$K:$K,MATCH($D125,C_Type_Volume!$A:$A,0),1),"X")),"")</f>
        <v>0</v>
      </c>
      <c r="BJ125" s="19">
        <f>IFERROR(IF($E125="REC",INDEX(A_Type_Volume!$L:$L,MATCH($D125,A_Type_Volume!$A:$A,0),1),IF($E125="VAM",INDEX(C_Type_Volume!$L:$L,MATCH($D125,C_Type_Volume!$A:$A,0),1),"X")),"")</f>
        <v>0</v>
      </c>
      <c r="BK125" s="19">
        <f>IFERROR(IF($E125="REC",INDEX(A_Type_Volume!M:M,MATCH($D125,A_Type_Volume!$A:$A,0),1),IF($E125="VAM",INDEX(C_Type_Volume!M:M,MATCH($D125,C_Type_Volume!$A:$A,0),1),"X")),"")</f>
        <v>0</v>
      </c>
      <c r="BL125" s="38">
        <f>SUM(Table1[[#This Row],[Jan_AVF]:[Dec_AVF]])</f>
        <v>0</v>
      </c>
      <c r="BM125" s="16">
        <f t="shared" si="90"/>
        <v>0</v>
      </c>
      <c r="BN125" s="16">
        <f t="shared" si="91"/>
        <v>0</v>
      </c>
      <c r="BO125" s="16">
        <f t="shared" si="92"/>
        <v>0</v>
      </c>
      <c r="BP125" s="16">
        <f t="shared" si="93"/>
        <v>0</v>
      </c>
      <c r="BQ125" s="16">
        <f t="shared" si="94"/>
        <v>0</v>
      </c>
      <c r="BR125" s="16">
        <f t="shared" si="95"/>
        <v>0</v>
      </c>
      <c r="BS125" s="16">
        <f t="shared" si="96"/>
        <v>0</v>
      </c>
      <c r="BT125" s="16">
        <f t="shared" si="97"/>
        <v>0</v>
      </c>
      <c r="BU125" s="16">
        <f t="shared" si="98"/>
        <v>0</v>
      </c>
      <c r="BV125" s="16">
        <f t="shared" si="99"/>
        <v>0</v>
      </c>
      <c r="BW125" s="16">
        <f t="shared" si="100"/>
        <v>0</v>
      </c>
      <c r="BX125" s="16">
        <f t="shared" si="101"/>
        <v>0</v>
      </c>
      <c r="BY125" s="10">
        <f t="shared" si="68"/>
        <v>0</v>
      </c>
      <c r="BZ125" s="10">
        <f t="shared" si="69"/>
        <v>0</v>
      </c>
      <c r="CA125" s="10">
        <f t="shared" si="70"/>
        <v>0</v>
      </c>
      <c r="CB125" s="10">
        <f t="shared" si="71"/>
        <v>0</v>
      </c>
      <c r="CC125" s="10">
        <f>IFERROR(Table1[[#This Row],[Labor
Saving]]*Table1[[#This Row],[Annual Volume]],"")</f>
        <v>0</v>
      </c>
      <c r="CD125" s="10">
        <f>IFERROR(Table1[[#This Row],[Annual Volume]]*Table1[[#This Row],[Yield
Saving]],"")</f>
        <v>0</v>
      </c>
      <c r="CE125" s="10">
        <f>IFERROR(Table1[[#This Row],[Annual Volume]]*Table1[[#This Row],[Material
Saving]],"")</f>
        <v>0</v>
      </c>
      <c r="CF125" s="10">
        <f>IFERROR(Table1[[#This Row],[OH
Saving]]*Table1[[#This Row],[Annual Volume]],"")</f>
        <v>0</v>
      </c>
      <c r="CG125" s="10">
        <f>SUM(Table1[[#This Row],[Labor_ASV]:[OH_ASV]])</f>
        <v>0</v>
      </c>
    </row>
    <row r="126" spans="1:85" x14ac:dyDescent="0.3">
      <c r="A126" t="str">
        <f>Table1[[#This Row],[Project Name]]&amp;Table1[[#This Row],[Part Number]]</f>
        <v>Diamond blade Supplier ER157</v>
      </c>
      <c r="B126" t="str">
        <f>IFERROR(Table1[[#This Row],[Project Number]]&amp;Table1[[#This Row],[Part Number]],"")</f>
        <v>AME25-034R157</v>
      </c>
      <c r="C126" s="22" t="s">
        <v>86</v>
      </c>
      <c r="D126" s="24" t="s">
        <v>395</v>
      </c>
      <c r="E126" s="25" t="s">
        <v>58</v>
      </c>
      <c r="F126" s="6">
        <f>INDEX(Proj_Reg!G:G,MATCH($C126,Proj_Reg!$B:$B,0),1)</f>
        <v>46113</v>
      </c>
      <c r="G126" s="6">
        <f>INDEX(Proj_Reg!H:H,MATCH($C126,Proj_Reg!$B:$B,0),1)</f>
        <v>46447</v>
      </c>
      <c r="H126" s="6" t="str">
        <f>IF(INDEX(Proj_Reg!C:C,MATCH($C126,Proj_Reg!$B:$B,0),1)=0,"",INDEX(Proj_Reg!C:C,MATCH($C126,Proj_Reg!$B:$B,0),1))</f>
        <v>Wafer Saw Dicing</v>
      </c>
      <c r="I126" s="6" t="str">
        <f>IF(INDEX(Proj_Reg!D:D,MATCH($C126,Proj_Reg!$B:$B,0),1)=0,"",INDEX(Proj_Reg!D:D,MATCH($C126,Proj_Reg!$B:$B,0),1))</f>
        <v>XCD</v>
      </c>
      <c r="J126" s="6" t="str">
        <f>INDEX(Proj_Reg!E:E,MATCH($C126,Proj_Reg!$B:$B,0),1)</f>
        <v>Diamond blade Supplier E</v>
      </c>
      <c r="K126" s="21">
        <v>3.7749822399999994E-2</v>
      </c>
      <c r="L126" s="21">
        <v>0</v>
      </c>
      <c r="M126" s="21">
        <v>-1.0478671151700001E-3</v>
      </c>
      <c r="N126" s="21">
        <v>0</v>
      </c>
      <c r="O126" s="11">
        <f>SUM(Table1[[#This Row],[Labor
Saving]:[OH
Saving]])</f>
        <v>3.6701955284829994E-2</v>
      </c>
      <c r="Q126" s="40">
        <f t="shared" si="52"/>
        <v>0</v>
      </c>
      <c r="R126" s="40">
        <f t="shared" si="53"/>
        <v>0</v>
      </c>
      <c r="S126" s="40">
        <f t="shared" si="54"/>
        <v>0</v>
      </c>
      <c r="T126" s="40">
        <f t="shared" si="55"/>
        <v>8906.4</v>
      </c>
      <c r="U126" s="40">
        <f t="shared" si="56"/>
        <v>34679</v>
      </c>
      <c r="V126" s="40">
        <f t="shared" si="57"/>
        <v>34861</v>
      </c>
      <c r="W126" s="40">
        <f t="shared" si="58"/>
        <v>36051</v>
      </c>
      <c r="X126" s="40">
        <f t="shared" si="59"/>
        <v>13213</v>
      </c>
      <c r="Y126" s="40">
        <f t="shared" si="60"/>
        <v>15416</v>
      </c>
      <c r="Z126" s="40">
        <f t="shared" si="61"/>
        <v>4379</v>
      </c>
      <c r="AA126" s="40">
        <f t="shared" si="62"/>
        <v>2986</v>
      </c>
      <c r="AB126" s="40">
        <f t="shared" si="63"/>
        <v>2613</v>
      </c>
      <c r="AC126" s="37">
        <f>SUM(Table1[[#This Row],[Jan]:[Dec]])</f>
        <v>153104.4</v>
      </c>
      <c r="AD126" s="15">
        <f t="shared" si="72"/>
        <v>0</v>
      </c>
      <c r="AE126" s="15">
        <f t="shared" si="73"/>
        <v>0</v>
      </c>
      <c r="AF126" s="15">
        <f t="shared" si="74"/>
        <v>0</v>
      </c>
      <c r="AG126" s="15">
        <f t="shared" si="75"/>
        <v>326.88229454880985</v>
      </c>
      <c r="AH126" s="15">
        <f t="shared" si="76"/>
        <v>1272.7871073226195</v>
      </c>
      <c r="AI126" s="15">
        <f t="shared" si="77"/>
        <v>1279.4668631844584</v>
      </c>
      <c r="AJ126" s="15">
        <f t="shared" si="78"/>
        <v>1323.1421899734062</v>
      </c>
      <c r="AK126" s="15">
        <f t="shared" si="79"/>
        <v>484.9429351784587</v>
      </c>
      <c r="AL126" s="15">
        <f t="shared" si="80"/>
        <v>565.7973426709392</v>
      </c>
      <c r="AM126" s="15">
        <f t="shared" si="81"/>
        <v>160.71786219227056</v>
      </c>
      <c r="AN126" s="15">
        <f t="shared" si="82"/>
        <v>109.59203848050237</v>
      </c>
      <c r="AO126" s="15">
        <f t="shared" si="83"/>
        <v>95.902209159260778</v>
      </c>
      <c r="AP126" s="10">
        <f t="shared" si="84"/>
        <v>0</v>
      </c>
      <c r="AQ126" s="10">
        <f t="shared" si="85"/>
        <v>2879.1362650558876</v>
      </c>
      <c r="AR126" s="10">
        <f t="shared" si="86"/>
        <v>2373.8824678228038</v>
      </c>
      <c r="AS126" s="10">
        <f t="shared" si="87"/>
        <v>366.21210983203372</v>
      </c>
      <c r="AT126" s="10" t="b">
        <f t="shared" si="88"/>
        <v>0</v>
      </c>
      <c r="AU126" s="10">
        <f t="shared" si="64"/>
        <v>5779.6639086585592</v>
      </c>
      <c r="AV126" s="10">
        <f t="shared" si="65"/>
        <v>0</v>
      </c>
      <c r="AW126" s="10">
        <f t="shared" si="66"/>
        <v>-160.43306594783377</v>
      </c>
      <c r="AX126" s="10">
        <f t="shared" si="67"/>
        <v>0</v>
      </c>
      <c r="AY126" s="10">
        <f t="shared" si="89"/>
        <v>5619.2308427107255</v>
      </c>
      <c r="AZ126" s="19">
        <f>IFERROR(IF($E126="REC",INDEX(A_Type_Volume!$B:$B,MATCH($D126,A_Type_Volume!$A:$A,0),1),IF($E126="VAM",INDEX(C_Type_Volume!$B:$B,MATCH($D126,C_Type_Volume!$A:$A,0),1),"X")),"")</f>
        <v>11332</v>
      </c>
      <c r="BA126" s="19">
        <f>IFERROR(IF($E126="REC",INDEX(A_Type_Volume!$C:$C,MATCH($D126,A_Type_Volume!$A:$A,0),1),IF($E126="VAM",INDEX(C_Type_Volume!$C:$C,MATCH($D126,C_Type_Volume!$A:$A,0),1),"X")),"")</f>
        <v>28163</v>
      </c>
      <c r="BB126" s="19">
        <f>IFERROR(IF($E126="REC",INDEX(A_Type_Volume!$D:$D,MATCH($D126,A_Type_Volume!$A:$A,0),1),IF($E126="VAM",INDEX(C_Type_Volume!$D:$D,MATCH($D126,C_Type_Volume!$A:$A,0),1),"X")),"")</f>
        <v>33166</v>
      </c>
      <c r="BC126" s="19">
        <f>IFERROR(IF($E126="REC",INDEX(A_Type_Volume!$E:$E,MATCH($D126,A_Type_Volume!$A:$A,0),1),IF($E126="VAM",INDEX(C_Type_Volume!$E:$E,MATCH($D126,C_Type_Volume!$A:$A,0),1),"X")),"")</f>
        <v>29688</v>
      </c>
      <c r="BD126" s="19">
        <f>IFERROR(IF($E126="REC",INDEX(A_Type_Volume!$F:$F,MATCH($D126,A_Type_Volume!$A:$A,0),1),IF($E126="VAM",INDEX(C_Type_Volume!$F:$F,MATCH($D126,C_Type_Volume!$A:$A,0),1),"X")),"")</f>
        <v>34679</v>
      </c>
      <c r="BE126" s="19">
        <f>IFERROR(IF($E126="REC",INDEX(A_Type_Volume!$G:$G,MATCH($D126,A_Type_Volume!$A:$A,0),1),IF($E126="VAM",INDEX(C_Type_Volume!$G:$G,MATCH($D126,C_Type_Volume!$A:$A,0),1),"X")),"")</f>
        <v>34861</v>
      </c>
      <c r="BF126" s="19">
        <f>IFERROR(IF($E126="REC",INDEX(A_Type_Volume!$H:$H,MATCH($D126,A_Type_Volume!$A:$A,0),1),IF($E126="VAM",INDEX(C_Type_Volume!$H:$H,MATCH($D126,C_Type_Volume!$A:$A,0),1),"X")),"")</f>
        <v>36051</v>
      </c>
      <c r="BG126" s="19">
        <f>IFERROR(IF($E126="REC",INDEX(A_Type_Volume!$I:$I,MATCH($D126,A_Type_Volume!$A:$A,0),1),IF($E126="VAM",INDEX(C_Type_Volume!$I:$I,MATCH($D126,C_Type_Volume!$A:$A,0),1),"X")),"")</f>
        <v>13213</v>
      </c>
      <c r="BH126" s="19">
        <f>IFERROR(IF($E126="REC",INDEX(A_Type_Volume!$J:$J,MATCH($D126,A_Type_Volume!$A:$A,0),1),IF($E126="VAM",INDEX(C_Type_Volume!$J:$J,MATCH($D126,C_Type_Volume!$A:$A,0),1),"X")),"")</f>
        <v>15416</v>
      </c>
      <c r="BI126" s="19">
        <f>IFERROR(IF($E126="REC",INDEX(A_Type_Volume!$K:$K,MATCH($D126,A_Type_Volume!$A:$A,0),1),IF($E126="VAM",INDEX(C_Type_Volume!$K:$K,MATCH($D126,C_Type_Volume!$A:$A,0),1),"X")),"")</f>
        <v>4379</v>
      </c>
      <c r="BJ126" s="19">
        <f>IFERROR(IF($E126="REC",INDEX(A_Type_Volume!$L:$L,MATCH($D126,A_Type_Volume!$A:$A,0),1),IF($E126="VAM",INDEX(C_Type_Volume!$L:$L,MATCH($D126,C_Type_Volume!$A:$A,0),1),"X")),"")</f>
        <v>2986</v>
      </c>
      <c r="BK126" s="19">
        <f>IFERROR(IF($E126="REC",INDEX(A_Type_Volume!M:M,MATCH($D126,A_Type_Volume!$A:$A,0),1),IF($E126="VAM",INDEX(C_Type_Volume!M:M,MATCH($D126,C_Type_Volume!$A:$A,0),1),"X")),"")</f>
        <v>2613</v>
      </c>
      <c r="BL126" s="38">
        <f>SUM(Table1[[#This Row],[Jan_AVF]:[Dec_AVF]])</f>
        <v>246547</v>
      </c>
      <c r="BM126" s="16">
        <f t="shared" si="90"/>
        <v>415.90655728769349</v>
      </c>
      <c r="BN126" s="16">
        <f t="shared" si="91"/>
        <v>1033.6371666866671</v>
      </c>
      <c r="BO126" s="16">
        <f t="shared" si="92"/>
        <v>1217.2570489766715</v>
      </c>
      <c r="BP126" s="16">
        <f t="shared" si="93"/>
        <v>1089.6076484960329</v>
      </c>
      <c r="BQ126" s="16">
        <f t="shared" si="94"/>
        <v>1272.7871073226195</v>
      </c>
      <c r="BR126" s="16">
        <f t="shared" si="95"/>
        <v>1279.4668631844584</v>
      </c>
      <c r="BS126" s="16">
        <f t="shared" si="96"/>
        <v>1323.1421899734062</v>
      </c>
      <c r="BT126" s="16">
        <f t="shared" si="97"/>
        <v>484.9429351784587</v>
      </c>
      <c r="BU126" s="16">
        <f t="shared" si="98"/>
        <v>565.7973426709392</v>
      </c>
      <c r="BV126" s="16">
        <f t="shared" si="99"/>
        <v>160.71786219227056</v>
      </c>
      <c r="BW126" s="16">
        <f t="shared" si="100"/>
        <v>109.59203848050237</v>
      </c>
      <c r="BX126" s="16">
        <f t="shared" si="101"/>
        <v>95.902209159260778</v>
      </c>
      <c r="BY126" s="10">
        <f t="shared" si="68"/>
        <v>2666.8007729510318</v>
      </c>
      <c r="BZ126" s="10">
        <f t="shared" si="69"/>
        <v>3641.8616190031107</v>
      </c>
      <c r="CA126" s="10">
        <f t="shared" si="70"/>
        <v>2373.8824678228038</v>
      </c>
      <c r="CB126" s="10">
        <f t="shared" si="71"/>
        <v>366.21210983203372</v>
      </c>
      <c r="CC126" s="10">
        <f>IFERROR(Table1[[#This Row],[Labor
Saving]]*Table1[[#This Row],[Annual Volume]],"")</f>
        <v>9307.1054632527976</v>
      </c>
      <c r="CD126" s="10">
        <f>IFERROR(Table1[[#This Row],[Annual Volume]]*Table1[[#This Row],[Yield
Saving]],"")</f>
        <v>0</v>
      </c>
      <c r="CE126" s="10">
        <f>IFERROR(Table1[[#This Row],[Annual Volume]]*Table1[[#This Row],[Material
Saving]],"")</f>
        <v>-258.34849364381802</v>
      </c>
      <c r="CF126" s="10">
        <f>IFERROR(Table1[[#This Row],[OH
Saving]]*Table1[[#This Row],[Annual Volume]],"")</f>
        <v>0</v>
      </c>
      <c r="CG126" s="10">
        <f>SUM(Table1[[#This Row],[Labor_ASV]:[OH_ASV]])</f>
        <v>9048.7569696089795</v>
      </c>
    </row>
    <row r="127" spans="1:85" x14ac:dyDescent="0.3">
      <c r="A127" t="str">
        <f>Table1[[#This Row],[Project Name]]&amp;Table1[[#This Row],[Part Number]]</f>
        <v>Diamond blade Supplier ER158</v>
      </c>
      <c r="B127" t="str">
        <f>IFERROR(Table1[[#This Row],[Project Number]]&amp;Table1[[#This Row],[Part Number]],"")</f>
        <v>AME25-034R158</v>
      </c>
      <c r="C127" s="22" t="s">
        <v>86</v>
      </c>
      <c r="D127" s="24" t="s">
        <v>396</v>
      </c>
      <c r="E127" s="25" t="s">
        <v>58</v>
      </c>
      <c r="F127" s="6">
        <f>INDEX(Proj_Reg!G:G,MATCH($C127,Proj_Reg!$B:$B,0),1)</f>
        <v>46113</v>
      </c>
      <c r="G127" s="6">
        <f>INDEX(Proj_Reg!H:H,MATCH($C127,Proj_Reg!$B:$B,0),1)</f>
        <v>46447</v>
      </c>
      <c r="H127" s="6" t="str">
        <f>IF(INDEX(Proj_Reg!C:C,MATCH($C127,Proj_Reg!$B:$B,0),1)=0,"",INDEX(Proj_Reg!C:C,MATCH($C127,Proj_Reg!$B:$B,0),1))</f>
        <v>Wafer Saw Dicing</v>
      </c>
      <c r="I127" s="6" t="str">
        <f>IF(INDEX(Proj_Reg!D:D,MATCH($C127,Proj_Reg!$B:$B,0),1)=0,"",INDEX(Proj_Reg!D:D,MATCH($C127,Proj_Reg!$B:$B,0),1))</f>
        <v>XCD</v>
      </c>
      <c r="J127" s="6" t="str">
        <f>INDEX(Proj_Reg!E:E,MATCH($C127,Proj_Reg!$B:$B,0),1)</f>
        <v>Diamond blade Supplier E</v>
      </c>
      <c r="K127" s="21">
        <v>1.3110928000000004E-2</v>
      </c>
      <c r="L127" s="21">
        <v>0</v>
      </c>
      <c r="M127" s="21">
        <v>0.02</v>
      </c>
      <c r="N127" s="21">
        <v>0</v>
      </c>
      <c r="O127" s="11">
        <f>SUM(Table1[[#This Row],[Labor
Saving]:[OH
Saving]])</f>
        <v>3.3110928000000005E-2</v>
      </c>
      <c r="Q127" s="40">
        <f t="shared" si="52"/>
        <v>0</v>
      </c>
      <c r="R127" s="40">
        <f t="shared" si="53"/>
        <v>0</v>
      </c>
      <c r="S127" s="40">
        <f t="shared" si="54"/>
        <v>0</v>
      </c>
      <c r="T127" s="40">
        <f t="shared" si="55"/>
        <v>50475.299999999996</v>
      </c>
      <c r="U127" s="40">
        <f t="shared" si="56"/>
        <v>196749</v>
      </c>
      <c r="V127" s="40">
        <f t="shared" si="57"/>
        <v>197439</v>
      </c>
      <c r="W127" s="40">
        <f t="shared" si="58"/>
        <v>213929</v>
      </c>
      <c r="X127" s="40">
        <f t="shared" si="59"/>
        <v>78409</v>
      </c>
      <c r="Y127" s="40">
        <f t="shared" si="60"/>
        <v>91478</v>
      </c>
      <c r="Z127" s="40">
        <f t="shared" si="61"/>
        <v>12509</v>
      </c>
      <c r="AA127" s="40">
        <f t="shared" si="62"/>
        <v>8529</v>
      </c>
      <c r="AB127" s="40">
        <f t="shared" si="63"/>
        <v>7463</v>
      </c>
      <c r="AC127" s="37">
        <f>SUM(Table1[[#This Row],[Jan]:[Dec]])</f>
        <v>856980.3</v>
      </c>
      <c r="AD127" s="15">
        <f t="shared" si="72"/>
        <v>0</v>
      </c>
      <c r="AE127" s="15">
        <f t="shared" si="73"/>
        <v>0</v>
      </c>
      <c r="AF127" s="15">
        <f t="shared" si="74"/>
        <v>0</v>
      </c>
      <c r="AG127" s="15">
        <f t="shared" si="75"/>
        <v>1671.2840240784001</v>
      </c>
      <c r="AH127" s="15">
        <f t="shared" si="76"/>
        <v>6514.5419730720014</v>
      </c>
      <c r="AI127" s="15">
        <f t="shared" si="77"/>
        <v>6537.3885133920012</v>
      </c>
      <c r="AJ127" s="15">
        <f t="shared" si="78"/>
        <v>7083.3877161120008</v>
      </c>
      <c r="AK127" s="15">
        <f t="shared" si="79"/>
        <v>2596.1947535520003</v>
      </c>
      <c r="AL127" s="15">
        <f t="shared" si="80"/>
        <v>3028.9214715840003</v>
      </c>
      <c r="AM127" s="15">
        <f t="shared" si="81"/>
        <v>414.18459835200008</v>
      </c>
      <c r="AN127" s="15">
        <f t="shared" si="82"/>
        <v>282.40310491200006</v>
      </c>
      <c r="AO127" s="15">
        <f t="shared" si="83"/>
        <v>247.10685566400002</v>
      </c>
      <c r="AP127" s="10">
        <f t="shared" si="84"/>
        <v>0</v>
      </c>
      <c r="AQ127" s="10">
        <f t="shared" si="85"/>
        <v>14723.214510542402</v>
      </c>
      <c r="AR127" s="10">
        <f t="shared" si="86"/>
        <v>12708.503941248002</v>
      </c>
      <c r="AS127" s="10">
        <f t="shared" si="87"/>
        <v>943.69455892800011</v>
      </c>
      <c r="AT127" s="10" t="b">
        <f t="shared" si="88"/>
        <v>1</v>
      </c>
      <c r="AU127" s="10">
        <f t="shared" si="64"/>
        <v>11235.807010718405</v>
      </c>
      <c r="AV127" s="10">
        <f t="shared" si="65"/>
        <v>0</v>
      </c>
      <c r="AW127" s="10">
        <f t="shared" si="66"/>
        <v>17139.606</v>
      </c>
      <c r="AX127" s="10">
        <f t="shared" si="67"/>
        <v>0</v>
      </c>
      <c r="AY127" s="10">
        <f t="shared" si="89"/>
        <v>28375.413010718403</v>
      </c>
      <c r="AZ127" s="19">
        <f>IFERROR(IF($E127="REC",INDEX(A_Type_Volume!$B:$B,MATCH($D127,A_Type_Volume!$A:$A,0),1),IF($E127="VAM",INDEX(C_Type_Volume!$B:$B,MATCH($D127,C_Type_Volume!$A:$A,0),1),"X")),"")</f>
        <v>151426</v>
      </c>
      <c r="BA127" s="19">
        <f>IFERROR(IF($E127="REC",INDEX(A_Type_Volume!$C:$C,MATCH($D127,A_Type_Volume!$A:$A,0),1),IF($E127="VAM",INDEX(C_Type_Volume!$C:$C,MATCH($D127,C_Type_Volume!$A:$A,0),1),"X")),"")</f>
        <v>154079</v>
      </c>
      <c r="BB127" s="19">
        <f>IFERROR(IF($E127="REC",INDEX(A_Type_Volume!$D:$D,MATCH($D127,A_Type_Volume!$A:$A,0),1),IF($E127="VAM",INDEX(C_Type_Volume!$D:$D,MATCH($D127,C_Type_Volume!$A:$A,0),1),"X")),"")</f>
        <v>187967</v>
      </c>
      <c r="BC127" s="19">
        <f>IFERROR(IF($E127="REC",INDEX(A_Type_Volume!$E:$E,MATCH($D127,A_Type_Volume!$A:$A,0),1),IF($E127="VAM",INDEX(C_Type_Volume!$E:$E,MATCH($D127,C_Type_Volume!$A:$A,0),1),"X")),"")</f>
        <v>168251</v>
      </c>
      <c r="BD127" s="19">
        <f>IFERROR(IF($E127="REC",INDEX(A_Type_Volume!$F:$F,MATCH($D127,A_Type_Volume!$A:$A,0),1),IF($E127="VAM",INDEX(C_Type_Volume!$F:$F,MATCH($D127,C_Type_Volume!$A:$A,0),1),"X")),"")</f>
        <v>196749</v>
      </c>
      <c r="BE127" s="19">
        <f>IFERROR(IF($E127="REC",INDEX(A_Type_Volume!$G:$G,MATCH($D127,A_Type_Volume!$A:$A,0),1),IF($E127="VAM",INDEX(C_Type_Volume!$G:$G,MATCH($D127,C_Type_Volume!$A:$A,0),1),"X")),"")</f>
        <v>197439</v>
      </c>
      <c r="BF127" s="19">
        <f>IFERROR(IF($E127="REC",INDEX(A_Type_Volume!$H:$H,MATCH($D127,A_Type_Volume!$A:$A,0),1),IF($E127="VAM",INDEX(C_Type_Volume!$H:$H,MATCH($D127,C_Type_Volume!$A:$A,0),1),"X")),"")</f>
        <v>213929</v>
      </c>
      <c r="BG127" s="19">
        <f>IFERROR(IF($E127="REC",INDEX(A_Type_Volume!$I:$I,MATCH($D127,A_Type_Volume!$A:$A,0),1),IF($E127="VAM",INDEX(C_Type_Volume!$I:$I,MATCH($D127,C_Type_Volume!$A:$A,0),1),"X")),"")</f>
        <v>78409</v>
      </c>
      <c r="BH127" s="19">
        <f>IFERROR(IF($E127="REC",INDEX(A_Type_Volume!$J:$J,MATCH($D127,A_Type_Volume!$A:$A,0),1),IF($E127="VAM",INDEX(C_Type_Volume!$J:$J,MATCH($D127,C_Type_Volume!$A:$A,0),1),"X")),"")</f>
        <v>91478</v>
      </c>
      <c r="BI127" s="19">
        <f>IFERROR(IF($E127="REC",INDEX(A_Type_Volume!$K:$K,MATCH($D127,A_Type_Volume!$A:$A,0),1),IF($E127="VAM",INDEX(C_Type_Volume!$K:$K,MATCH($D127,C_Type_Volume!$A:$A,0),1),"X")),"")</f>
        <v>12509</v>
      </c>
      <c r="BJ127" s="19">
        <f>IFERROR(IF($E127="REC",INDEX(A_Type_Volume!$L:$L,MATCH($D127,A_Type_Volume!$A:$A,0),1),IF($E127="VAM",INDEX(C_Type_Volume!$L:$L,MATCH($D127,C_Type_Volume!$A:$A,0),1),"X")),"")</f>
        <v>8529</v>
      </c>
      <c r="BK127" s="19">
        <f>IFERROR(IF($E127="REC",INDEX(A_Type_Volume!M:M,MATCH($D127,A_Type_Volume!$A:$A,0),1),IF($E127="VAM",INDEX(C_Type_Volume!M:M,MATCH($D127,C_Type_Volume!$A:$A,0),1),"X")),"")</f>
        <v>7463</v>
      </c>
      <c r="BL127" s="38">
        <f>SUM(Table1[[#This Row],[Jan_AVF]:[Dec_AVF]])</f>
        <v>1468228</v>
      </c>
      <c r="BM127" s="16">
        <f t="shared" si="90"/>
        <v>5013.8553833280012</v>
      </c>
      <c r="BN127" s="16">
        <f t="shared" si="91"/>
        <v>5101.6986753120009</v>
      </c>
      <c r="BO127" s="16">
        <f t="shared" si="92"/>
        <v>6223.7618033760009</v>
      </c>
      <c r="BP127" s="16">
        <f t="shared" si="93"/>
        <v>5570.9467469280007</v>
      </c>
      <c r="BQ127" s="16">
        <f t="shared" si="94"/>
        <v>6514.5419730720014</v>
      </c>
      <c r="BR127" s="16">
        <f t="shared" si="95"/>
        <v>6537.3885133920012</v>
      </c>
      <c r="BS127" s="16">
        <f t="shared" si="96"/>
        <v>7083.3877161120008</v>
      </c>
      <c r="BT127" s="16">
        <f t="shared" si="97"/>
        <v>2596.1947535520003</v>
      </c>
      <c r="BU127" s="16">
        <f t="shared" si="98"/>
        <v>3028.9214715840003</v>
      </c>
      <c r="BV127" s="16">
        <f t="shared" si="99"/>
        <v>414.18459835200008</v>
      </c>
      <c r="BW127" s="16">
        <f t="shared" si="100"/>
        <v>282.40310491200006</v>
      </c>
      <c r="BX127" s="16">
        <f t="shared" si="101"/>
        <v>247.10685566400002</v>
      </c>
      <c r="BY127" s="10">
        <f t="shared" si="68"/>
        <v>16339.315862016003</v>
      </c>
      <c r="BZ127" s="10">
        <f t="shared" si="69"/>
        <v>18622.877233392002</v>
      </c>
      <c r="CA127" s="10">
        <f t="shared" si="70"/>
        <v>12708.503941248002</v>
      </c>
      <c r="CB127" s="10">
        <f t="shared" si="71"/>
        <v>943.69455892800011</v>
      </c>
      <c r="CC127" s="10">
        <f>IFERROR(Table1[[#This Row],[Labor
Saving]]*Table1[[#This Row],[Annual Volume]],"")</f>
        <v>19249.831595584008</v>
      </c>
      <c r="CD127" s="10">
        <f>IFERROR(Table1[[#This Row],[Annual Volume]]*Table1[[#This Row],[Yield
Saving]],"")</f>
        <v>0</v>
      </c>
      <c r="CE127" s="10">
        <f>IFERROR(Table1[[#This Row],[Annual Volume]]*Table1[[#This Row],[Material
Saving]],"")</f>
        <v>29364.560000000001</v>
      </c>
      <c r="CF127" s="10">
        <f>IFERROR(Table1[[#This Row],[OH
Saving]]*Table1[[#This Row],[Annual Volume]],"")</f>
        <v>0</v>
      </c>
      <c r="CG127" s="10">
        <f>SUM(Table1[[#This Row],[Labor_ASV]:[OH_ASV]])</f>
        <v>48614.391595584006</v>
      </c>
    </row>
    <row r="128" spans="1:85" x14ac:dyDescent="0.3">
      <c r="A128" t="str">
        <f>Table1[[#This Row],[Project Name]]&amp;Table1[[#This Row],[Part Number]]</f>
        <v>Diamond blade Supplier ER160</v>
      </c>
      <c r="B128" t="str">
        <f>IFERROR(Table1[[#This Row],[Project Number]]&amp;Table1[[#This Row],[Part Number]],"")</f>
        <v>AME25-034R160</v>
      </c>
      <c r="C128" s="22" t="s">
        <v>86</v>
      </c>
      <c r="D128" s="24" t="s">
        <v>398</v>
      </c>
      <c r="E128" s="25" t="s">
        <v>58</v>
      </c>
      <c r="F128" s="6">
        <f>INDEX(Proj_Reg!G:G,MATCH($C128,Proj_Reg!$B:$B,0),1)</f>
        <v>46113</v>
      </c>
      <c r="G128" s="6">
        <f>INDEX(Proj_Reg!H:H,MATCH($C128,Proj_Reg!$B:$B,0),1)</f>
        <v>46447</v>
      </c>
      <c r="H128" s="6" t="str">
        <f>IF(INDEX(Proj_Reg!C:C,MATCH($C128,Proj_Reg!$B:$B,0),1)=0,"",INDEX(Proj_Reg!C:C,MATCH($C128,Proj_Reg!$B:$B,0),1))</f>
        <v>Wafer Saw Dicing</v>
      </c>
      <c r="I128" s="6" t="str">
        <f>IF(INDEX(Proj_Reg!D:D,MATCH($C128,Proj_Reg!$B:$B,0),1)=0,"",INDEX(Proj_Reg!D:D,MATCH($C128,Proj_Reg!$B:$B,0),1))</f>
        <v>XCD</v>
      </c>
      <c r="J128" s="6" t="str">
        <f>INDEX(Proj_Reg!E:E,MATCH($C128,Proj_Reg!$B:$B,0),1)</f>
        <v>Diamond blade Supplier E</v>
      </c>
      <c r="K128" s="21">
        <v>1.3110928000000004E-2</v>
      </c>
      <c r="L128" s="21">
        <v>0</v>
      </c>
      <c r="M128" s="21">
        <v>0.02</v>
      </c>
      <c r="N128" s="21">
        <v>0</v>
      </c>
      <c r="O128" s="11">
        <f>SUM(Table1[[#This Row],[Labor
Saving]:[OH
Saving]])</f>
        <v>3.3110928000000005E-2</v>
      </c>
      <c r="Q128" s="40">
        <f t="shared" si="52"/>
        <v>0</v>
      </c>
      <c r="R128" s="40">
        <f t="shared" si="53"/>
        <v>0</v>
      </c>
      <c r="S128" s="40">
        <f t="shared" si="54"/>
        <v>0</v>
      </c>
      <c r="T128" s="40">
        <f t="shared" si="55"/>
        <v>0</v>
      </c>
      <c r="U128" s="40">
        <f t="shared" si="56"/>
        <v>0</v>
      </c>
      <c r="V128" s="40">
        <f t="shared" si="57"/>
        <v>0</v>
      </c>
      <c r="W128" s="40">
        <f t="shared" si="58"/>
        <v>0</v>
      </c>
      <c r="X128" s="40">
        <f t="shared" si="59"/>
        <v>0</v>
      </c>
      <c r="Y128" s="40">
        <f t="shared" si="60"/>
        <v>0</v>
      </c>
      <c r="Z128" s="40">
        <f t="shared" si="61"/>
        <v>0</v>
      </c>
      <c r="AA128" s="40">
        <f t="shared" si="62"/>
        <v>0</v>
      </c>
      <c r="AB128" s="40">
        <f t="shared" si="63"/>
        <v>0</v>
      </c>
      <c r="AC128" s="37">
        <f>SUM(Table1[[#This Row],[Jan]:[Dec]])</f>
        <v>0</v>
      </c>
      <c r="AD128" s="15">
        <f t="shared" si="72"/>
        <v>0</v>
      </c>
      <c r="AE128" s="15">
        <f t="shared" si="73"/>
        <v>0</v>
      </c>
      <c r="AF128" s="15">
        <f t="shared" si="74"/>
        <v>0</v>
      </c>
      <c r="AG128" s="15">
        <f t="shared" si="75"/>
        <v>0</v>
      </c>
      <c r="AH128" s="15">
        <f t="shared" si="76"/>
        <v>0</v>
      </c>
      <c r="AI128" s="15">
        <f t="shared" si="77"/>
        <v>0</v>
      </c>
      <c r="AJ128" s="15">
        <f t="shared" si="78"/>
        <v>0</v>
      </c>
      <c r="AK128" s="15">
        <f t="shared" si="79"/>
        <v>0</v>
      </c>
      <c r="AL128" s="15">
        <f t="shared" si="80"/>
        <v>0</v>
      </c>
      <c r="AM128" s="15">
        <f t="shared" si="81"/>
        <v>0</v>
      </c>
      <c r="AN128" s="15">
        <f t="shared" si="82"/>
        <v>0</v>
      </c>
      <c r="AO128" s="15">
        <f t="shared" si="83"/>
        <v>0</v>
      </c>
      <c r="AP128" s="10">
        <f t="shared" si="84"/>
        <v>0</v>
      </c>
      <c r="AQ128" s="10">
        <f t="shared" si="85"/>
        <v>0</v>
      </c>
      <c r="AR128" s="10">
        <f t="shared" si="86"/>
        <v>0</v>
      </c>
      <c r="AS128" s="10">
        <f t="shared" si="87"/>
        <v>0</v>
      </c>
      <c r="AT128" s="10" t="b">
        <f t="shared" si="88"/>
        <v>1</v>
      </c>
      <c r="AU128" s="10">
        <f t="shared" si="64"/>
        <v>0</v>
      </c>
      <c r="AV128" s="10">
        <f t="shared" si="65"/>
        <v>0</v>
      </c>
      <c r="AW128" s="10">
        <f t="shared" si="66"/>
        <v>0</v>
      </c>
      <c r="AX128" s="10">
        <f t="shared" si="67"/>
        <v>0</v>
      </c>
      <c r="AY128" s="10">
        <f t="shared" si="89"/>
        <v>0</v>
      </c>
      <c r="AZ128" s="19">
        <f>IFERROR(IF($E128="REC",INDEX(A_Type_Volume!$B:$B,MATCH($D128,A_Type_Volume!$A:$A,0),1),IF($E128="VAM",INDEX(C_Type_Volume!$B:$B,MATCH($D128,C_Type_Volume!$A:$A,0),1),"X")),"")</f>
        <v>0</v>
      </c>
      <c r="BA128" s="19">
        <f>IFERROR(IF($E128="REC",INDEX(A_Type_Volume!$C:$C,MATCH($D128,A_Type_Volume!$A:$A,0),1),IF($E128="VAM",INDEX(C_Type_Volume!$C:$C,MATCH($D128,C_Type_Volume!$A:$A,0),1),"X")),"")</f>
        <v>0</v>
      </c>
      <c r="BB128" s="19">
        <f>IFERROR(IF($E128="REC",INDEX(A_Type_Volume!$D:$D,MATCH($D128,A_Type_Volume!$A:$A,0),1),IF($E128="VAM",INDEX(C_Type_Volume!$D:$D,MATCH($D128,C_Type_Volume!$A:$A,0),1),"X")),"")</f>
        <v>0</v>
      </c>
      <c r="BC128" s="19">
        <f>IFERROR(IF($E128="REC",INDEX(A_Type_Volume!$E:$E,MATCH($D128,A_Type_Volume!$A:$A,0),1),IF($E128="VAM",INDEX(C_Type_Volume!$E:$E,MATCH($D128,C_Type_Volume!$A:$A,0),1),"X")),"")</f>
        <v>0</v>
      </c>
      <c r="BD128" s="19">
        <f>IFERROR(IF($E128="REC",INDEX(A_Type_Volume!$F:$F,MATCH($D128,A_Type_Volume!$A:$A,0),1),IF($E128="VAM",INDEX(C_Type_Volume!$F:$F,MATCH($D128,C_Type_Volume!$A:$A,0),1),"X")),"")</f>
        <v>0</v>
      </c>
      <c r="BE128" s="19">
        <f>IFERROR(IF($E128="REC",INDEX(A_Type_Volume!$G:$G,MATCH($D128,A_Type_Volume!$A:$A,0),1),IF($E128="VAM",INDEX(C_Type_Volume!$G:$G,MATCH($D128,C_Type_Volume!$A:$A,0),1),"X")),"")</f>
        <v>0</v>
      </c>
      <c r="BF128" s="19">
        <f>IFERROR(IF($E128="REC",INDEX(A_Type_Volume!$H:$H,MATCH($D128,A_Type_Volume!$A:$A,0),1),IF($E128="VAM",INDEX(C_Type_Volume!$H:$H,MATCH($D128,C_Type_Volume!$A:$A,0),1),"X")),"")</f>
        <v>0</v>
      </c>
      <c r="BG128" s="19">
        <f>IFERROR(IF($E128="REC",INDEX(A_Type_Volume!$I:$I,MATCH($D128,A_Type_Volume!$A:$A,0),1),IF($E128="VAM",INDEX(C_Type_Volume!$I:$I,MATCH($D128,C_Type_Volume!$A:$A,0),1),"X")),"")</f>
        <v>0</v>
      </c>
      <c r="BH128" s="19">
        <f>IFERROR(IF($E128="REC",INDEX(A_Type_Volume!$J:$J,MATCH($D128,A_Type_Volume!$A:$A,0),1),IF($E128="VAM",INDEX(C_Type_Volume!$J:$J,MATCH($D128,C_Type_Volume!$A:$A,0),1),"X")),"")</f>
        <v>0</v>
      </c>
      <c r="BI128" s="19">
        <f>IFERROR(IF($E128="REC",INDEX(A_Type_Volume!$K:$K,MATCH($D128,A_Type_Volume!$A:$A,0),1),IF($E128="VAM",INDEX(C_Type_Volume!$K:$K,MATCH($D128,C_Type_Volume!$A:$A,0),1),"X")),"")</f>
        <v>0</v>
      </c>
      <c r="BJ128" s="19">
        <f>IFERROR(IF($E128="REC",INDEX(A_Type_Volume!$L:$L,MATCH($D128,A_Type_Volume!$A:$A,0),1),IF($E128="VAM",INDEX(C_Type_Volume!$L:$L,MATCH($D128,C_Type_Volume!$A:$A,0),1),"X")),"")</f>
        <v>0</v>
      </c>
      <c r="BK128" s="19">
        <f>IFERROR(IF($E128="REC",INDEX(A_Type_Volume!M:M,MATCH($D128,A_Type_Volume!$A:$A,0),1),IF($E128="VAM",INDEX(C_Type_Volume!M:M,MATCH($D128,C_Type_Volume!$A:$A,0),1),"X")),"")</f>
        <v>0</v>
      </c>
      <c r="BL128" s="38">
        <f>SUM(Table1[[#This Row],[Jan_AVF]:[Dec_AVF]])</f>
        <v>0</v>
      </c>
      <c r="BM128" s="16">
        <f t="shared" si="90"/>
        <v>0</v>
      </c>
      <c r="BN128" s="16">
        <f t="shared" si="91"/>
        <v>0</v>
      </c>
      <c r="BO128" s="16">
        <f t="shared" si="92"/>
        <v>0</v>
      </c>
      <c r="BP128" s="16">
        <f t="shared" si="93"/>
        <v>0</v>
      </c>
      <c r="BQ128" s="16">
        <f t="shared" si="94"/>
        <v>0</v>
      </c>
      <c r="BR128" s="16">
        <f t="shared" si="95"/>
        <v>0</v>
      </c>
      <c r="BS128" s="16">
        <f t="shared" si="96"/>
        <v>0</v>
      </c>
      <c r="BT128" s="16">
        <f t="shared" si="97"/>
        <v>0</v>
      </c>
      <c r="BU128" s="16">
        <f t="shared" si="98"/>
        <v>0</v>
      </c>
      <c r="BV128" s="16">
        <f t="shared" si="99"/>
        <v>0</v>
      </c>
      <c r="BW128" s="16">
        <f t="shared" si="100"/>
        <v>0</v>
      </c>
      <c r="BX128" s="16">
        <f t="shared" si="101"/>
        <v>0</v>
      </c>
      <c r="BY128" s="10">
        <f t="shared" si="68"/>
        <v>0</v>
      </c>
      <c r="BZ128" s="10">
        <f t="shared" si="69"/>
        <v>0</v>
      </c>
      <c r="CA128" s="10">
        <f t="shared" si="70"/>
        <v>0</v>
      </c>
      <c r="CB128" s="10">
        <f t="shared" si="71"/>
        <v>0</v>
      </c>
      <c r="CC128" s="10">
        <f>IFERROR(Table1[[#This Row],[Labor
Saving]]*Table1[[#This Row],[Annual Volume]],"")</f>
        <v>0</v>
      </c>
      <c r="CD128" s="10">
        <f>IFERROR(Table1[[#This Row],[Annual Volume]]*Table1[[#This Row],[Yield
Saving]],"")</f>
        <v>0</v>
      </c>
      <c r="CE128" s="10">
        <f>IFERROR(Table1[[#This Row],[Annual Volume]]*Table1[[#This Row],[Material
Saving]],"")</f>
        <v>0</v>
      </c>
      <c r="CF128" s="10">
        <f>IFERROR(Table1[[#This Row],[OH
Saving]]*Table1[[#This Row],[Annual Volume]],"")</f>
        <v>0</v>
      </c>
      <c r="CG128" s="10">
        <f>SUM(Table1[[#This Row],[Labor_ASV]:[OH_ASV]])</f>
        <v>0</v>
      </c>
    </row>
    <row r="129" spans="1:85" x14ac:dyDescent="0.3">
      <c r="A129" t="str">
        <f>Table1[[#This Row],[Project Name]]&amp;Table1[[#This Row],[Part Number]]</f>
        <v>Diamond blade Supplier ER162</v>
      </c>
      <c r="B129" t="str">
        <f>IFERROR(Table1[[#This Row],[Project Number]]&amp;Table1[[#This Row],[Part Number]],"")</f>
        <v>AME25-034R162</v>
      </c>
      <c r="C129" s="22" t="s">
        <v>86</v>
      </c>
      <c r="D129" s="24" t="s">
        <v>400</v>
      </c>
      <c r="E129" s="25" t="s">
        <v>58</v>
      </c>
      <c r="F129" s="6">
        <f>INDEX(Proj_Reg!G:G,MATCH($C129,Proj_Reg!$B:$B,0),1)</f>
        <v>46113</v>
      </c>
      <c r="G129" s="6">
        <f>INDEX(Proj_Reg!H:H,MATCH($C129,Proj_Reg!$B:$B,0),1)</f>
        <v>46447</v>
      </c>
      <c r="H129" s="6" t="str">
        <f>IF(INDEX(Proj_Reg!C:C,MATCH($C129,Proj_Reg!$B:$B,0),1)=0,"",INDEX(Proj_Reg!C:C,MATCH($C129,Proj_Reg!$B:$B,0),1))</f>
        <v>Wafer Saw Dicing</v>
      </c>
      <c r="I129" s="6" t="str">
        <f>IF(INDEX(Proj_Reg!D:D,MATCH($C129,Proj_Reg!$B:$B,0),1)=0,"",INDEX(Proj_Reg!D:D,MATCH($C129,Proj_Reg!$B:$B,0),1))</f>
        <v>XCD</v>
      </c>
      <c r="J129" s="6" t="str">
        <f>INDEX(Proj_Reg!E:E,MATCH($C129,Proj_Reg!$B:$B,0),1)</f>
        <v>Diamond blade Supplier E</v>
      </c>
      <c r="K129" s="21">
        <v>1.3110928000000004E-2</v>
      </c>
      <c r="L129" s="21">
        <v>0</v>
      </c>
      <c r="M129" s="21">
        <v>0.02</v>
      </c>
      <c r="N129" s="21">
        <v>0</v>
      </c>
      <c r="O129" s="11">
        <f>SUM(Table1[[#This Row],[Labor
Saving]:[OH
Saving]])</f>
        <v>3.3110928000000005E-2</v>
      </c>
      <c r="Q129" s="40">
        <f t="shared" si="52"/>
        <v>0</v>
      </c>
      <c r="R129" s="40">
        <f t="shared" si="53"/>
        <v>0</v>
      </c>
      <c r="S129" s="40">
        <f t="shared" si="54"/>
        <v>0</v>
      </c>
      <c r="T129" s="40">
        <f t="shared" si="55"/>
        <v>0</v>
      </c>
      <c r="U129" s="40">
        <f t="shared" si="56"/>
        <v>0</v>
      </c>
      <c r="V129" s="40">
        <f t="shared" si="57"/>
        <v>0</v>
      </c>
      <c r="W129" s="40">
        <f t="shared" si="58"/>
        <v>0</v>
      </c>
      <c r="X129" s="40">
        <f t="shared" si="59"/>
        <v>0</v>
      </c>
      <c r="Y129" s="40">
        <f t="shared" si="60"/>
        <v>0</v>
      </c>
      <c r="Z129" s="40">
        <f t="shared" si="61"/>
        <v>0</v>
      </c>
      <c r="AA129" s="40">
        <f t="shared" si="62"/>
        <v>0</v>
      </c>
      <c r="AB129" s="40">
        <f t="shared" si="63"/>
        <v>0</v>
      </c>
      <c r="AC129" s="37">
        <f>SUM(Table1[[#This Row],[Jan]:[Dec]])</f>
        <v>0</v>
      </c>
      <c r="AD129" s="15">
        <f t="shared" si="72"/>
        <v>0</v>
      </c>
      <c r="AE129" s="15">
        <f t="shared" si="73"/>
        <v>0</v>
      </c>
      <c r="AF129" s="15">
        <f t="shared" si="74"/>
        <v>0</v>
      </c>
      <c r="AG129" s="15">
        <f t="shared" si="75"/>
        <v>0</v>
      </c>
      <c r="AH129" s="15">
        <f t="shared" si="76"/>
        <v>0</v>
      </c>
      <c r="AI129" s="15">
        <f t="shared" si="77"/>
        <v>0</v>
      </c>
      <c r="AJ129" s="15">
        <f t="shared" si="78"/>
        <v>0</v>
      </c>
      <c r="AK129" s="15">
        <f t="shared" si="79"/>
        <v>0</v>
      </c>
      <c r="AL129" s="15">
        <f t="shared" si="80"/>
        <v>0</v>
      </c>
      <c r="AM129" s="15">
        <f t="shared" si="81"/>
        <v>0</v>
      </c>
      <c r="AN129" s="15">
        <f t="shared" si="82"/>
        <v>0</v>
      </c>
      <c r="AO129" s="15">
        <f t="shared" si="83"/>
        <v>0</v>
      </c>
      <c r="AP129" s="10">
        <f t="shared" si="84"/>
        <v>0</v>
      </c>
      <c r="AQ129" s="10">
        <f t="shared" si="85"/>
        <v>0</v>
      </c>
      <c r="AR129" s="10">
        <f t="shared" si="86"/>
        <v>0</v>
      </c>
      <c r="AS129" s="10">
        <f t="shared" si="87"/>
        <v>0</v>
      </c>
      <c r="AT129" s="10" t="b">
        <f t="shared" si="88"/>
        <v>1</v>
      </c>
      <c r="AU129" s="10">
        <f t="shared" si="64"/>
        <v>0</v>
      </c>
      <c r="AV129" s="10">
        <f t="shared" si="65"/>
        <v>0</v>
      </c>
      <c r="AW129" s="10">
        <f t="shared" si="66"/>
        <v>0</v>
      </c>
      <c r="AX129" s="10">
        <f t="shared" si="67"/>
        <v>0</v>
      </c>
      <c r="AY129" s="10">
        <f t="shared" si="89"/>
        <v>0</v>
      </c>
      <c r="AZ129" s="19">
        <f>IFERROR(IF($E129="REC",INDEX(A_Type_Volume!$B:$B,MATCH($D129,A_Type_Volume!$A:$A,0),1),IF($E129="VAM",INDEX(C_Type_Volume!$B:$B,MATCH($D129,C_Type_Volume!$A:$A,0),1),"X")),"")</f>
        <v>0</v>
      </c>
      <c r="BA129" s="19">
        <f>IFERROR(IF($E129="REC",INDEX(A_Type_Volume!$C:$C,MATCH($D129,A_Type_Volume!$A:$A,0),1),IF($E129="VAM",INDEX(C_Type_Volume!$C:$C,MATCH($D129,C_Type_Volume!$A:$A,0),1),"X")),"")</f>
        <v>0</v>
      </c>
      <c r="BB129" s="19">
        <f>IFERROR(IF($E129="REC",INDEX(A_Type_Volume!$D:$D,MATCH($D129,A_Type_Volume!$A:$A,0),1),IF($E129="VAM",INDEX(C_Type_Volume!$D:$D,MATCH($D129,C_Type_Volume!$A:$A,0),1),"X")),"")</f>
        <v>0</v>
      </c>
      <c r="BC129" s="19">
        <f>IFERROR(IF($E129="REC",INDEX(A_Type_Volume!$E:$E,MATCH($D129,A_Type_Volume!$A:$A,0),1),IF($E129="VAM",INDEX(C_Type_Volume!$E:$E,MATCH($D129,C_Type_Volume!$A:$A,0),1),"X")),"")</f>
        <v>0</v>
      </c>
      <c r="BD129" s="19">
        <f>IFERROR(IF($E129="REC",INDEX(A_Type_Volume!$F:$F,MATCH($D129,A_Type_Volume!$A:$A,0),1),IF($E129="VAM",INDEX(C_Type_Volume!$F:$F,MATCH($D129,C_Type_Volume!$A:$A,0),1),"X")),"")</f>
        <v>0</v>
      </c>
      <c r="BE129" s="19">
        <f>IFERROR(IF($E129="REC",INDEX(A_Type_Volume!$G:$G,MATCH($D129,A_Type_Volume!$A:$A,0),1),IF($E129="VAM",INDEX(C_Type_Volume!$G:$G,MATCH($D129,C_Type_Volume!$A:$A,0),1),"X")),"")</f>
        <v>0</v>
      </c>
      <c r="BF129" s="19">
        <f>IFERROR(IF($E129="REC",INDEX(A_Type_Volume!$H:$H,MATCH($D129,A_Type_Volume!$A:$A,0),1),IF($E129="VAM",INDEX(C_Type_Volume!$H:$H,MATCH($D129,C_Type_Volume!$A:$A,0),1),"X")),"")</f>
        <v>0</v>
      </c>
      <c r="BG129" s="19">
        <f>IFERROR(IF($E129="REC",INDEX(A_Type_Volume!$I:$I,MATCH($D129,A_Type_Volume!$A:$A,0),1),IF($E129="VAM",INDEX(C_Type_Volume!$I:$I,MATCH($D129,C_Type_Volume!$A:$A,0),1),"X")),"")</f>
        <v>0</v>
      </c>
      <c r="BH129" s="19">
        <f>IFERROR(IF($E129="REC",INDEX(A_Type_Volume!$J:$J,MATCH($D129,A_Type_Volume!$A:$A,0),1),IF($E129="VAM",INDEX(C_Type_Volume!$J:$J,MATCH($D129,C_Type_Volume!$A:$A,0),1),"X")),"")</f>
        <v>0</v>
      </c>
      <c r="BI129" s="19">
        <f>IFERROR(IF($E129="REC",INDEX(A_Type_Volume!$K:$K,MATCH($D129,A_Type_Volume!$A:$A,0),1),IF($E129="VAM",INDEX(C_Type_Volume!$K:$K,MATCH($D129,C_Type_Volume!$A:$A,0),1),"X")),"")</f>
        <v>0</v>
      </c>
      <c r="BJ129" s="19">
        <f>IFERROR(IF($E129="REC",INDEX(A_Type_Volume!$L:$L,MATCH($D129,A_Type_Volume!$A:$A,0),1),IF($E129="VAM",INDEX(C_Type_Volume!$L:$L,MATCH($D129,C_Type_Volume!$A:$A,0),1),"X")),"")</f>
        <v>0</v>
      </c>
      <c r="BK129" s="19">
        <f>IFERROR(IF($E129="REC",INDEX(A_Type_Volume!M:M,MATCH($D129,A_Type_Volume!$A:$A,0),1),IF($E129="VAM",INDEX(C_Type_Volume!M:M,MATCH($D129,C_Type_Volume!$A:$A,0),1),"X")),"")</f>
        <v>0</v>
      </c>
      <c r="BL129" s="38">
        <f>SUM(Table1[[#This Row],[Jan_AVF]:[Dec_AVF]])</f>
        <v>0</v>
      </c>
      <c r="BM129" s="16">
        <f t="shared" si="90"/>
        <v>0</v>
      </c>
      <c r="BN129" s="16">
        <f t="shared" si="91"/>
        <v>0</v>
      </c>
      <c r="BO129" s="16">
        <f t="shared" si="92"/>
        <v>0</v>
      </c>
      <c r="BP129" s="16">
        <f t="shared" si="93"/>
        <v>0</v>
      </c>
      <c r="BQ129" s="16">
        <f t="shared" si="94"/>
        <v>0</v>
      </c>
      <c r="BR129" s="16">
        <f t="shared" si="95"/>
        <v>0</v>
      </c>
      <c r="BS129" s="16">
        <f t="shared" si="96"/>
        <v>0</v>
      </c>
      <c r="BT129" s="16">
        <f t="shared" si="97"/>
        <v>0</v>
      </c>
      <c r="BU129" s="16">
        <f t="shared" si="98"/>
        <v>0</v>
      </c>
      <c r="BV129" s="16">
        <f t="shared" si="99"/>
        <v>0</v>
      </c>
      <c r="BW129" s="16">
        <f t="shared" si="100"/>
        <v>0</v>
      </c>
      <c r="BX129" s="16">
        <f t="shared" si="101"/>
        <v>0</v>
      </c>
      <c r="BY129" s="10">
        <f t="shared" si="68"/>
        <v>0</v>
      </c>
      <c r="BZ129" s="10">
        <f t="shared" si="69"/>
        <v>0</v>
      </c>
      <c r="CA129" s="10">
        <f t="shared" si="70"/>
        <v>0</v>
      </c>
      <c r="CB129" s="10">
        <f t="shared" si="71"/>
        <v>0</v>
      </c>
      <c r="CC129" s="10">
        <f>IFERROR(Table1[[#This Row],[Labor
Saving]]*Table1[[#This Row],[Annual Volume]],"")</f>
        <v>0</v>
      </c>
      <c r="CD129" s="10">
        <f>IFERROR(Table1[[#This Row],[Annual Volume]]*Table1[[#This Row],[Yield
Saving]],"")</f>
        <v>0</v>
      </c>
      <c r="CE129" s="10">
        <f>IFERROR(Table1[[#This Row],[Annual Volume]]*Table1[[#This Row],[Material
Saving]],"")</f>
        <v>0</v>
      </c>
      <c r="CF129" s="10">
        <f>IFERROR(Table1[[#This Row],[OH
Saving]]*Table1[[#This Row],[Annual Volume]],"")</f>
        <v>0</v>
      </c>
      <c r="CG129" s="10">
        <f>SUM(Table1[[#This Row],[Labor_ASV]:[OH_ASV]])</f>
        <v>0</v>
      </c>
    </row>
    <row r="130" spans="1:85" x14ac:dyDescent="0.3">
      <c r="A130" t="str">
        <f>Table1[[#This Row],[Project Name]]&amp;Table1[[#This Row],[Part Number]]</f>
        <v>Diamond blade Supplier ER164</v>
      </c>
      <c r="B130" t="str">
        <f>IFERROR(Table1[[#This Row],[Project Number]]&amp;Table1[[#This Row],[Part Number]],"")</f>
        <v>AME25-034R164</v>
      </c>
      <c r="C130" s="22" t="s">
        <v>86</v>
      </c>
      <c r="D130" s="24" t="s">
        <v>402</v>
      </c>
      <c r="E130" s="25" t="s">
        <v>58</v>
      </c>
      <c r="F130" s="6">
        <f>INDEX(Proj_Reg!G:G,MATCH($C130,Proj_Reg!$B:$B,0),1)</f>
        <v>46113</v>
      </c>
      <c r="G130" s="6">
        <f>INDEX(Proj_Reg!H:H,MATCH($C130,Proj_Reg!$B:$B,0),1)</f>
        <v>46447</v>
      </c>
      <c r="H130" s="6" t="str">
        <f>IF(INDEX(Proj_Reg!C:C,MATCH($C130,Proj_Reg!$B:$B,0),1)=0,"",INDEX(Proj_Reg!C:C,MATCH($C130,Proj_Reg!$B:$B,0),1))</f>
        <v>Wafer Saw Dicing</v>
      </c>
      <c r="I130" s="6" t="str">
        <f>IF(INDEX(Proj_Reg!D:D,MATCH($C130,Proj_Reg!$B:$B,0),1)=0,"",INDEX(Proj_Reg!D:D,MATCH($C130,Proj_Reg!$B:$B,0),1))</f>
        <v>XCD</v>
      </c>
      <c r="J130" s="6" t="str">
        <f>INDEX(Proj_Reg!E:E,MATCH($C130,Proj_Reg!$B:$B,0),1)</f>
        <v>Diamond blade Supplier E</v>
      </c>
      <c r="K130" s="21">
        <v>1.3110928000000004E-2</v>
      </c>
      <c r="L130" s="21">
        <v>0</v>
      </c>
      <c r="M130" s="21">
        <v>0.02</v>
      </c>
      <c r="N130" s="21">
        <v>0</v>
      </c>
      <c r="O130" s="11">
        <f>SUM(Table1[[#This Row],[Labor
Saving]:[OH
Saving]])</f>
        <v>3.3110928000000005E-2</v>
      </c>
      <c r="Q130" s="40">
        <f t="shared" ref="Q130:Q192" si="102">IFERROR(IF($F130=Q$1,0.3,IF(AND(Q$1&gt;$F130,Q$1&lt;=$G130),100%,0))*AZ130,"")</f>
        <v>0</v>
      </c>
      <c r="R130" s="40">
        <f t="shared" ref="R130:R192" si="103">IFERROR(IF($F130=R$1,0.3,IF(AND(R$1&gt;$F130,R$1&lt;=$G130),100%,0))*BA130,"")</f>
        <v>0</v>
      </c>
      <c r="S130" s="40">
        <f t="shared" ref="S130:S192" si="104">IFERROR(IF($F130=S$1,0.3,IF(AND(S$1&gt;$F130,S$1&lt;=$G130),100%,0))*BB130,"")</f>
        <v>0</v>
      </c>
      <c r="T130" s="40">
        <f t="shared" ref="T130:T192" si="105">IFERROR(IF($F130=T$1,0.3,IF(AND(T$1&gt;$F130,T$1&lt;=$G130),100%,0))*BC130,"")</f>
        <v>0</v>
      </c>
      <c r="U130" s="40">
        <f t="shared" ref="U130:U192" si="106">IFERROR(IF($F130=U$1,0.3,IF(AND(U$1&gt;$F130,U$1&lt;=$G130),100%,0))*BD130,"")</f>
        <v>0</v>
      </c>
      <c r="V130" s="40">
        <f t="shared" ref="V130:V192" si="107">IFERROR(IF($F130=V$1,0.3,IF(AND(V$1&gt;$F130,V$1&lt;=$G130),100%,0))*BE130,"")</f>
        <v>0</v>
      </c>
      <c r="W130" s="40">
        <f t="shared" ref="W130:W192" si="108">IFERROR(IF($F130=W$1,0.3,IF(AND(W$1&gt;$F130,W$1&lt;=$G130),100%,0))*BF130,"")</f>
        <v>0</v>
      </c>
      <c r="X130" s="40">
        <f t="shared" ref="X130:X192" si="109">IFERROR(IF($F130=X$1,0.3,IF(AND(X$1&gt;$F130,X$1&lt;=$G130),100%,0))*BG130,"")</f>
        <v>0</v>
      </c>
      <c r="Y130" s="40">
        <f t="shared" ref="Y130:Y192" si="110">IFERROR(IF($F130=Y$1,0.7,IF(AND(Y$1&gt;$F130,Y$1&lt;=$G130),100%,0))*BH130,"")</f>
        <v>0</v>
      </c>
      <c r="Z130" s="40">
        <f t="shared" ref="Z130:Z192" si="111">IFERROR(IF($F130=Z$1,0.3,IF(AND(Z$1&gt;$F130,Z$1&lt;=$G130),100%,0))*BI130,"")</f>
        <v>0</v>
      </c>
      <c r="AA130" s="40">
        <f t="shared" ref="AA130:AA192" si="112">IFERROR(IF($F130=AA$1,0.3,IF(AND(AA$1&gt;$F130,AA$1&lt;=$G130),100%,0))*BJ130,"")</f>
        <v>0</v>
      </c>
      <c r="AB130" s="40">
        <f t="shared" ref="AB130:AB192" si="113">IFERROR(IF($F130=AB$1,0.3,IF(AND(AB$1&gt;$F130,AB$1&lt;=$G130),100%,0))*BK130,"")</f>
        <v>0</v>
      </c>
      <c r="AC130" s="37">
        <f>SUM(Table1[[#This Row],[Jan]:[Dec]])</f>
        <v>0</v>
      </c>
      <c r="AD130" s="15">
        <f t="shared" si="72"/>
        <v>0</v>
      </c>
      <c r="AE130" s="15">
        <f t="shared" si="73"/>
        <v>0</v>
      </c>
      <c r="AF130" s="15">
        <f t="shared" si="74"/>
        <v>0</v>
      </c>
      <c r="AG130" s="15">
        <f t="shared" si="75"/>
        <v>0</v>
      </c>
      <c r="AH130" s="15">
        <f t="shared" si="76"/>
        <v>0</v>
      </c>
      <c r="AI130" s="15">
        <f t="shared" si="77"/>
        <v>0</v>
      </c>
      <c r="AJ130" s="15">
        <f t="shared" si="78"/>
        <v>0</v>
      </c>
      <c r="AK130" s="15">
        <f t="shared" si="79"/>
        <v>0</v>
      </c>
      <c r="AL130" s="15">
        <f t="shared" si="80"/>
        <v>0</v>
      </c>
      <c r="AM130" s="15">
        <f t="shared" si="81"/>
        <v>0</v>
      </c>
      <c r="AN130" s="15">
        <f t="shared" si="82"/>
        <v>0</v>
      </c>
      <c r="AO130" s="15">
        <f t="shared" si="83"/>
        <v>0</v>
      </c>
      <c r="AP130" s="10">
        <f t="shared" si="84"/>
        <v>0</v>
      </c>
      <c r="AQ130" s="10">
        <f t="shared" si="85"/>
        <v>0</v>
      </c>
      <c r="AR130" s="10">
        <f t="shared" si="86"/>
        <v>0</v>
      </c>
      <c r="AS130" s="10">
        <f t="shared" si="87"/>
        <v>0</v>
      </c>
      <c r="AT130" s="10" t="b">
        <f t="shared" si="88"/>
        <v>1</v>
      </c>
      <c r="AU130" s="10">
        <f t="shared" ref="AU130:AU192" si="114">IFERROR(K130*SUM($Q130:$AB130),"")</f>
        <v>0</v>
      </c>
      <c r="AV130" s="10">
        <f t="shared" ref="AV130:AV192" si="115">IFERROR(L130*SUM($Q130:$AB130),"")</f>
        <v>0</v>
      </c>
      <c r="AW130" s="10">
        <f t="shared" ref="AW130:AW192" si="116">IFERROR(M130*SUM($Q130:$AB130),"")</f>
        <v>0</v>
      </c>
      <c r="AX130" s="10">
        <f t="shared" ref="AX130:AX192" si="117">IFERROR(N130*SUM($Q130:$AB130),"")</f>
        <v>0</v>
      </c>
      <c r="AY130" s="10">
        <f t="shared" si="89"/>
        <v>0</v>
      </c>
      <c r="AZ130" s="19">
        <f>IFERROR(IF($E130="REC",INDEX(A_Type_Volume!$B:$B,MATCH($D130,A_Type_Volume!$A:$A,0),1),IF($E130="VAM",INDEX(C_Type_Volume!$B:$B,MATCH($D130,C_Type_Volume!$A:$A,0),1),"X")),"")</f>
        <v>0</v>
      </c>
      <c r="BA130" s="19">
        <f>IFERROR(IF($E130="REC",INDEX(A_Type_Volume!$C:$C,MATCH($D130,A_Type_Volume!$A:$A,0),1),IF($E130="VAM",INDEX(C_Type_Volume!$C:$C,MATCH($D130,C_Type_Volume!$A:$A,0),1),"X")),"")</f>
        <v>0</v>
      </c>
      <c r="BB130" s="19">
        <f>IFERROR(IF($E130="REC",INDEX(A_Type_Volume!$D:$D,MATCH($D130,A_Type_Volume!$A:$A,0),1),IF($E130="VAM",INDEX(C_Type_Volume!$D:$D,MATCH($D130,C_Type_Volume!$A:$A,0),1),"X")),"")</f>
        <v>0</v>
      </c>
      <c r="BC130" s="19">
        <f>IFERROR(IF($E130="REC",INDEX(A_Type_Volume!$E:$E,MATCH($D130,A_Type_Volume!$A:$A,0),1),IF($E130="VAM",INDEX(C_Type_Volume!$E:$E,MATCH($D130,C_Type_Volume!$A:$A,0),1),"X")),"")</f>
        <v>0</v>
      </c>
      <c r="BD130" s="19">
        <f>IFERROR(IF($E130="REC",INDEX(A_Type_Volume!$F:$F,MATCH($D130,A_Type_Volume!$A:$A,0),1),IF($E130="VAM",INDEX(C_Type_Volume!$F:$F,MATCH($D130,C_Type_Volume!$A:$A,0),1),"X")),"")</f>
        <v>0</v>
      </c>
      <c r="BE130" s="19">
        <f>IFERROR(IF($E130="REC",INDEX(A_Type_Volume!$G:$G,MATCH($D130,A_Type_Volume!$A:$A,0),1),IF($E130="VAM",INDEX(C_Type_Volume!$G:$G,MATCH($D130,C_Type_Volume!$A:$A,0),1),"X")),"")</f>
        <v>0</v>
      </c>
      <c r="BF130" s="19">
        <f>IFERROR(IF($E130="REC",INDEX(A_Type_Volume!$H:$H,MATCH($D130,A_Type_Volume!$A:$A,0),1),IF($E130="VAM",INDEX(C_Type_Volume!$H:$H,MATCH($D130,C_Type_Volume!$A:$A,0),1),"X")),"")</f>
        <v>0</v>
      </c>
      <c r="BG130" s="19">
        <f>IFERROR(IF($E130="REC",INDEX(A_Type_Volume!$I:$I,MATCH($D130,A_Type_Volume!$A:$A,0),1),IF($E130="VAM",INDEX(C_Type_Volume!$I:$I,MATCH($D130,C_Type_Volume!$A:$A,0),1),"X")),"")</f>
        <v>0</v>
      </c>
      <c r="BH130" s="19">
        <f>IFERROR(IF($E130="REC",INDEX(A_Type_Volume!$J:$J,MATCH($D130,A_Type_Volume!$A:$A,0),1),IF($E130="VAM",INDEX(C_Type_Volume!$J:$J,MATCH($D130,C_Type_Volume!$A:$A,0),1),"X")),"")</f>
        <v>0</v>
      </c>
      <c r="BI130" s="19">
        <f>IFERROR(IF($E130="REC",INDEX(A_Type_Volume!$K:$K,MATCH($D130,A_Type_Volume!$A:$A,0),1),IF($E130="VAM",INDEX(C_Type_Volume!$K:$K,MATCH($D130,C_Type_Volume!$A:$A,0),1),"X")),"")</f>
        <v>0</v>
      </c>
      <c r="BJ130" s="19">
        <f>IFERROR(IF($E130="REC",INDEX(A_Type_Volume!$L:$L,MATCH($D130,A_Type_Volume!$A:$A,0),1),IF($E130="VAM",INDEX(C_Type_Volume!$L:$L,MATCH($D130,C_Type_Volume!$A:$A,0),1),"X")),"")</f>
        <v>0</v>
      </c>
      <c r="BK130" s="19">
        <f>IFERROR(IF($E130="REC",INDEX(A_Type_Volume!M:M,MATCH($D130,A_Type_Volume!$A:$A,0),1),IF($E130="VAM",INDEX(C_Type_Volume!M:M,MATCH($D130,C_Type_Volume!$A:$A,0),1),"X")),"")</f>
        <v>0</v>
      </c>
      <c r="BL130" s="38">
        <f>SUM(Table1[[#This Row],[Jan_AVF]:[Dec_AVF]])</f>
        <v>0</v>
      </c>
      <c r="BM130" s="16">
        <f t="shared" si="90"/>
        <v>0</v>
      </c>
      <c r="BN130" s="16">
        <f t="shared" si="91"/>
        <v>0</v>
      </c>
      <c r="BO130" s="16">
        <f t="shared" si="92"/>
        <v>0</v>
      </c>
      <c r="BP130" s="16">
        <f t="shared" si="93"/>
        <v>0</v>
      </c>
      <c r="BQ130" s="16">
        <f t="shared" si="94"/>
        <v>0</v>
      </c>
      <c r="BR130" s="16">
        <f t="shared" si="95"/>
        <v>0</v>
      </c>
      <c r="BS130" s="16">
        <f t="shared" si="96"/>
        <v>0</v>
      </c>
      <c r="BT130" s="16">
        <f t="shared" si="97"/>
        <v>0</v>
      </c>
      <c r="BU130" s="16">
        <f t="shared" si="98"/>
        <v>0</v>
      </c>
      <c r="BV130" s="16">
        <f t="shared" si="99"/>
        <v>0</v>
      </c>
      <c r="BW130" s="16">
        <f t="shared" si="100"/>
        <v>0</v>
      </c>
      <c r="BX130" s="16">
        <f t="shared" si="101"/>
        <v>0</v>
      </c>
      <c r="BY130" s="10">
        <f t="shared" ref="BY130:BY192" si="118">IFERROR(SUM(BM130:BO130),"")</f>
        <v>0</v>
      </c>
      <c r="BZ130" s="10">
        <f t="shared" ref="BZ130:BZ192" si="119">IFERROR(SUM(BP130:BR130),"")</f>
        <v>0</v>
      </c>
      <c r="CA130" s="10">
        <f t="shared" ref="CA130:CA192" si="120">IFERROR(SUM(BS130:BU130),"")</f>
        <v>0</v>
      </c>
      <c r="CB130" s="10">
        <f t="shared" ref="CB130:CB192" si="121">IFERROR(SUM(BV130:BX130),"")</f>
        <v>0</v>
      </c>
      <c r="CC130" s="10">
        <f>IFERROR(Table1[[#This Row],[Labor
Saving]]*Table1[[#This Row],[Annual Volume]],"")</f>
        <v>0</v>
      </c>
      <c r="CD130" s="10">
        <f>IFERROR(Table1[[#This Row],[Annual Volume]]*Table1[[#This Row],[Yield
Saving]],"")</f>
        <v>0</v>
      </c>
      <c r="CE130" s="10">
        <f>IFERROR(Table1[[#This Row],[Annual Volume]]*Table1[[#This Row],[Material
Saving]],"")</f>
        <v>0</v>
      </c>
      <c r="CF130" s="10">
        <f>IFERROR(Table1[[#This Row],[OH
Saving]]*Table1[[#This Row],[Annual Volume]],"")</f>
        <v>0</v>
      </c>
      <c r="CG130" s="10">
        <f>SUM(Table1[[#This Row],[Labor_ASV]:[OH_ASV]])</f>
        <v>0</v>
      </c>
    </row>
    <row r="131" spans="1:85" x14ac:dyDescent="0.3">
      <c r="A131" t="str">
        <f>Table1[[#This Row],[Project Name]]&amp;Table1[[#This Row],[Part Number]]</f>
        <v>Diamond blade Supplier ER165</v>
      </c>
      <c r="B131" t="str">
        <f>IFERROR(Table1[[#This Row],[Project Number]]&amp;Table1[[#This Row],[Part Number]],"")</f>
        <v>AME25-034R165</v>
      </c>
      <c r="C131" s="22" t="s">
        <v>86</v>
      </c>
      <c r="D131" s="24" t="s">
        <v>403</v>
      </c>
      <c r="E131" s="25" t="s">
        <v>58</v>
      </c>
      <c r="F131" s="6">
        <f>INDEX(Proj_Reg!G:G,MATCH($C131,Proj_Reg!$B:$B,0),1)</f>
        <v>46113</v>
      </c>
      <c r="G131" s="6">
        <f>INDEX(Proj_Reg!H:H,MATCH($C131,Proj_Reg!$B:$B,0),1)</f>
        <v>46447</v>
      </c>
      <c r="H131" s="6" t="str">
        <f>IF(INDEX(Proj_Reg!C:C,MATCH($C131,Proj_Reg!$B:$B,0),1)=0,"",INDEX(Proj_Reg!C:C,MATCH($C131,Proj_Reg!$B:$B,0),1))</f>
        <v>Wafer Saw Dicing</v>
      </c>
      <c r="I131" s="6" t="str">
        <f>IF(INDEX(Proj_Reg!D:D,MATCH($C131,Proj_Reg!$B:$B,0),1)=0,"",INDEX(Proj_Reg!D:D,MATCH($C131,Proj_Reg!$B:$B,0),1))</f>
        <v>XCD</v>
      </c>
      <c r="J131" s="6" t="str">
        <f>INDEX(Proj_Reg!E:E,MATCH($C131,Proj_Reg!$B:$B,0),1)</f>
        <v>Diamond blade Supplier E</v>
      </c>
      <c r="K131" s="21">
        <v>1.3110928000000004E-2</v>
      </c>
      <c r="L131" s="21">
        <v>0</v>
      </c>
      <c r="M131" s="21">
        <v>0.02</v>
      </c>
      <c r="N131" s="21">
        <v>0</v>
      </c>
      <c r="O131" s="11">
        <f>SUM(Table1[[#This Row],[Labor
Saving]:[OH
Saving]])</f>
        <v>3.3110928000000005E-2</v>
      </c>
      <c r="Q131" s="40">
        <f t="shared" si="102"/>
        <v>0</v>
      </c>
      <c r="R131" s="40">
        <f t="shared" si="103"/>
        <v>0</v>
      </c>
      <c r="S131" s="40">
        <f t="shared" si="104"/>
        <v>0</v>
      </c>
      <c r="T131" s="40">
        <f t="shared" si="105"/>
        <v>0</v>
      </c>
      <c r="U131" s="40">
        <f t="shared" si="106"/>
        <v>0</v>
      </c>
      <c r="V131" s="40">
        <f t="shared" si="107"/>
        <v>0</v>
      </c>
      <c r="W131" s="40">
        <f t="shared" si="108"/>
        <v>0</v>
      </c>
      <c r="X131" s="40">
        <f t="shared" si="109"/>
        <v>0</v>
      </c>
      <c r="Y131" s="40">
        <f t="shared" si="110"/>
        <v>0</v>
      </c>
      <c r="Z131" s="40">
        <f t="shared" si="111"/>
        <v>0</v>
      </c>
      <c r="AA131" s="40">
        <f t="shared" si="112"/>
        <v>0</v>
      </c>
      <c r="AB131" s="40">
        <f t="shared" si="113"/>
        <v>0</v>
      </c>
      <c r="AC131" s="37">
        <f>SUM(Table1[[#This Row],[Jan]:[Dec]])</f>
        <v>0</v>
      </c>
      <c r="AD131" s="15">
        <f t="shared" ref="AD131:AD193" si="122">IFERROR($O131*Q131,"")</f>
        <v>0</v>
      </c>
      <c r="AE131" s="15">
        <f t="shared" ref="AE131:AE193" si="123">IFERROR($O131*R131,"")</f>
        <v>0</v>
      </c>
      <c r="AF131" s="15">
        <f t="shared" ref="AF131:AF193" si="124">IFERROR($O131*S131,"")</f>
        <v>0</v>
      </c>
      <c r="AG131" s="15">
        <f t="shared" ref="AG131:AG193" si="125">IFERROR($O131*T131,"")</f>
        <v>0</v>
      </c>
      <c r="AH131" s="15">
        <f t="shared" ref="AH131:AH193" si="126">IFERROR($O131*U131,"")</f>
        <v>0</v>
      </c>
      <c r="AI131" s="15">
        <f t="shared" ref="AI131:AI193" si="127">IFERROR($O131*V131,"")</f>
        <v>0</v>
      </c>
      <c r="AJ131" s="15">
        <f t="shared" ref="AJ131:AJ193" si="128">IFERROR($O131*W131,"")</f>
        <v>0</v>
      </c>
      <c r="AK131" s="15">
        <f t="shared" ref="AK131:AK193" si="129">IFERROR($O131*X131,"")</f>
        <v>0</v>
      </c>
      <c r="AL131" s="15">
        <f t="shared" ref="AL131:AL193" si="130">IFERROR($O131*Y131,"")</f>
        <v>0</v>
      </c>
      <c r="AM131" s="15">
        <f t="shared" ref="AM131:AM193" si="131">IFERROR($O131*Z131,"")</f>
        <v>0</v>
      </c>
      <c r="AN131" s="15">
        <f t="shared" ref="AN131:AN193" si="132">IFERROR($O131*AA131,"")</f>
        <v>0</v>
      </c>
      <c r="AO131" s="15">
        <f t="shared" ref="AO131:AO193" si="133">IFERROR($O131*AB131,"")</f>
        <v>0</v>
      </c>
      <c r="AP131" s="10">
        <f t="shared" ref="AP131:AP193" si="134">SUM(AD131:AF131)</f>
        <v>0</v>
      </c>
      <c r="AQ131" s="10">
        <f t="shared" ref="AQ131:AQ193" si="135">SUM(AG131:AI131)</f>
        <v>0</v>
      </c>
      <c r="AR131" s="10">
        <f t="shared" ref="AR131:AR193" si="136">SUM(AJ131:AL131)</f>
        <v>0</v>
      </c>
      <c r="AS131" s="10">
        <f t="shared" ref="AS131:AS193" si="137">SUM(AM131:AO131)</f>
        <v>0</v>
      </c>
      <c r="AT131" s="10" t="b">
        <f t="shared" ref="AT131:AT193" si="138">SUM(AD131:AO131)=SUM(AP131:AS131)</f>
        <v>1</v>
      </c>
      <c r="AU131" s="10">
        <f t="shared" si="114"/>
        <v>0</v>
      </c>
      <c r="AV131" s="10">
        <f t="shared" si="115"/>
        <v>0</v>
      </c>
      <c r="AW131" s="10">
        <f t="shared" si="116"/>
        <v>0</v>
      </c>
      <c r="AX131" s="10">
        <f t="shared" si="117"/>
        <v>0</v>
      </c>
      <c r="AY131" s="10">
        <f t="shared" ref="AY131:AY193" si="139">SUM(AU131:AX131)</f>
        <v>0</v>
      </c>
      <c r="AZ131" s="19">
        <f>IFERROR(IF($E131="REC",INDEX(A_Type_Volume!$B:$B,MATCH($D131,A_Type_Volume!$A:$A,0),1),IF($E131="VAM",INDEX(C_Type_Volume!$B:$B,MATCH($D131,C_Type_Volume!$A:$A,0),1),"X")),"")</f>
        <v>0</v>
      </c>
      <c r="BA131" s="19">
        <f>IFERROR(IF($E131="REC",INDEX(A_Type_Volume!$C:$C,MATCH($D131,A_Type_Volume!$A:$A,0),1),IF($E131="VAM",INDEX(C_Type_Volume!$C:$C,MATCH($D131,C_Type_Volume!$A:$A,0),1),"X")),"")</f>
        <v>0</v>
      </c>
      <c r="BB131" s="19">
        <f>IFERROR(IF($E131="REC",INDEX(A_Type_Volume!$D:$D,MATCH($D131,A_Type_Volume!$A:$A,0),1),IF($E131="VAM",INDEX(C_Type_Volume!$D:$D,MATCH($D131,C_Type_Volume!$A:$A,0),1),"X")),"")</f>
        <v>0</v>
      </c>
      <c r="BC131" s="19">
        <f>IFERROR(IF($E131="REC",INDEX(A_Type_Volume!$E:$E,MATCH($D131,A_Type_Volume!$A:$A,0),1),IF($E131="VAM",INDEX(C_Type_Volume!$E:$E,MATCH($D131,C_Type_Volume!$A:$A,0),1),"X")),"")</f>
        <v>0</v>
      </c>
      <c r="BD131" s="19">
        <f>IFERROR(IF($E131="REC",INDEX(A_Type_Volume!$F:$F,MATCH($D131,A_Type_Volume!$A:$A,0),1),IF($E131="VAM",INDEX(C_Type_Volume!$F:$F,MATCH($D131,C_Type_Volume!$A:$A,0),1),"X")),"")</f>
        <v>0</v>
      </c>
      <c r="BE131" s="19">
        <f>IFERROR(IF($E131="REC",INDEX(A_Type_Volume!$G:$G,MATCH($D131,A_Type_Volume!$A:$A,0),1),IF($E131="VAM",INDEX(C_Type_Volume!$G:$G,MATCH($D131,C_Type_Volume!$A:$A,0),1),"X")),"")</f>
        <v>0</v>
      </c>
      <c r="BF131" s="19">
        <f>IFERROR(IF($E131="REC",INDEX(A_Type_Volume!$H:$H,MATCH($D131,A_Type_Volume!$A:$A,0),1),IF($E131="VAM",INDEX(C_Type_Volume!$H:$H,MATCH($D131,C_Type_Volume!$A:$A,0),1),"X")),"")</f>
        <v>0</v>
      </c>
      <c r="BG131" s="19">
        <f>IFERROR(IF($E131="REC",INDEX(A_Type_Volume!$I:$I,MATCH($D131,A_Type_Volume!$A:$A,0),1),IF($E131="VAM",INDEX(C_Type_Volume!$I:$I,MATCH($D131,C_Type_Volume!$A:$A,0),1),"X")),"")</f>
        <v>0</v>
      </c>
      <c r="BH131" s="19">
        <f>IFERROR(IF($E131="REC",INDEX(A_Type_Volume!$J:$J,MATCH($D131,A_Type_Volume!$A:$A,0),1),IF($E131="VAM",INDEX(C_Type_Volume!$J:$J,MATCH($D131,C_Type_Volume!$A:$A,0),1),"X")),"")</f>
        <v>0</v>
      </c>
      <c r="BI131" s="19">
        <f>IFERROR(IF($E131="REC",INDEX(A_Type_Volume!$K:$K,MATCH($D131,A_Type_Volume!$A:$A,0),1),IF($E131="VAM",INDEX(C_Type_Volume!$K:$K,MATCH($D131,C_Type_Volume!$A:$A,0),1),"X")),"")</f>
        <v>0</v>
      </c>
      <c r="BJ131" s="19">
        <f>IFERROR(IF($E131="REC",INDEX(A_Type_Volume!$L:$L,MATCH($D131,A_Type_Volume!$A:$A,0),1),IF($E131="VAM",INDEX(C_Type_Volume!$L:$L,MATCH($D131,C_Type_Volume!$A:$A,0),1),"X")),"")</f>
        <v>0</v>
      </c>
      <c r="BK131" s="19">
        <f>IFERROR(IF($E131="REC",INDEX(A_Type_Volume!M:M,MATCH($D131,A_Type_Volume!$A:$A,0),1),IF($E131="VAM",INDEX(C_Type_Volume!M:M,MATCH($D131,C_Type_Volume!$A:$A,0),1),"X")),"")</f>
        <v>0</v>
      </c>
      <c r="BL131" s="38">
        <f>SUM(Table1[[#This Row],[Jan_AVF]:[Dec_AVF]])</f>
        <v>0</v>
      </c>
      <c r="BM131" s="16">
        <f t="shared" ref="BM131:BM193" si="140">AZ131*$O131</f>
        <v>0</v>
      </c>
      <c r="BN131" s="16">
        <f t="shared" ref="BN131:BN193" si="141">BA131*$O131</f>
        <v>0</v>
      </c>
      <c r="BO131" s="16">
        <f t="shared" ref="BO131:BO193" si="142">BB131*$O131</f>
        <v>0</v>
      </c>
      <c r="BP131" s="16">
        <f t="shared" ref="BP131:BP193" si="143">BC131*$O131</f>
        <v>0</v>
      </c>
      <c r="BQ131" s="16">
        <f t="shared" ref="BQ131:BQ193" si="144">BD131*$O131</f>
        <v>0</v>
      </c>
      <c r="BR131" s="16">
        <f t="shared" ref="BR131:BR193" si="145">BE131*$O131</f>
        <v>0</v>
      </c>
      <c r="BS131" s="16">
        <f t="shared" ref="BS131:BS193" si="146">BF131*$O131</f>
        <v>0</v>
      </c>
      <c r="BT131" s="16">
        <f t="shared" ref="BT131:BT193" si="147">BG131*$O131</f>
        <v>0</v>
      </c>
      <c r="BU131" s="16">
        <f t="shared" ref="BU131:BU193" si="148">BH131*$O131</f>
        <v>0</v>
      </c>
      <c r="BV131" s="16">
        <f t="shared" ref="BV131:BV193" si="149">BI131*$O131</f>
        <v>0</v>
      </c>
      <c r="BW131" s="16">
        <f t="shared" ref="BW131:BW193" si="150">BJ131*$O131</f>
        <v>0</v>
      </c>
      <c r="BX131" s="16">
        <f t="shared" ref="BX131:BX193" si="151">BK131*$O131</f>
        <v>0</v>
      </c>
      <c r="BY131" s="10">
        <f t="shared" si="118"/>
        <v>0</v>
      </c>
      <c r="BZ131" s="10">
        <f t="shared" si="119"/>
        <v>0</v>
      </c>
      <c r="CA131" s="10">
        <f t="shared" si="120"/>
        <v>0</v>
      </c>
      <c r="CB131" s="10">
        <f t="shared" si="121"/>
        <v>0</v>
      </c>
      <c r="CC131" s="10">
        <f>IFERROR(Table1[[#This Row],[Labor
Saving]]*Table1[[#This Row],[Annual Volume]],"")</f>
        <v>0</v>
      </c>
      <c r="CD131" s="10">
        <f>IFERROR(Table1[[#This Row],[Annual Volume]]*Table1[[#This Row],[Yield
Saving]],"")</f>
        <v>0</v>
      </c>
      <c r="CE131" s="10">
        <f>IFERROR(Table1[[#This Row],[Annual Volume]]*Table1[[#This Row],[Material
Saving]],"")</f>
        <v>0</v>
      </c>
      <c r="CF131" s="10">
        <f>IFERROR(Table1[[#This Row],[OH
Saving]]*Table1[[#This Row],[Annual Volume]],"")</f>
        <v>0</v>
      </c>
      <c r="CG131" s="10">
        <f>SUM(Table1[[#This Row],[Labor_ASV]:[OH_ASV]])</f>
        <v>0</v>
      </c>
    </row>
    <row r="132" spans="1:85" x14ac:dyDescent="0.3">
      <c r="A132" t="str">
        <f>Table1[[#This Row],[Project Name]]&amp;Table1[[#This Row],[Part Number]]</f>
        <v>Diamond blade Supplier ER166</v>
      </c>
      <c r="B132" t="str">
        <f>IFERROR(Table1[[#This Row],[Project Number]]&amp;Table1[[#This Row],[Part Number]],"")</f>
        <v>AME25-034R166</v>
      </c>
      <c r="C132" s="22" t="s">
        <v>86</v>
      </c>
      <c r="D132" s="24" t="s">
        <v>404</v>
      </c>
      <c r="E132" s="25" t="s">
        <v>58</v>
      </c>
      <c r="F132" s="6">
        <f>INDEX(Proj_Reg!G:G,MATCH($C132,Proj_Reg!$B:$B,0),1)</f>
        <v>46113</v>
      </c>
      <c r="G132" s="6">
        <f>INDEX(Proj_Reg!H:H,MATCH($C132,Proj_Reg!$B:$B,0),1)</f>
        <v>46447</v>
      </c>
      <c r="H132" s="6" t="str">
        <f>IF(INDEX(Proj_Reg!C:C,MATCH($C132,Proj_Reg!$B:$B,0),1)=0,"",INDEX(Proj_Reg!C:C,MATCH($C132,Proj_Reg!$B:$B,0),1))</f>
        <v>Wafer Saw Dicing</v>
      </c>
      <c r="I132" s="6" t="str">
        <f>IF(INDEX(Proj_Reg!D:D,MATCH($C132,Proj_Reg!$B:$B,0),1)=0,"",INDEX(Proj_Reg!D:D,MATCH($C132,Proj_Reg!$B:$B,0),1))</f>
        <v>XCD</v>
      </c>
      <c r="J132" s="6" t="str">
        <f>INDEX(Proj_Reg!E:E,MATCH($C132,Proj_Reg!$B:$B,0),1)</f>
        <v>Diamond blade Supplier E</v>
      </c>
      <c r="K132" s="21">
        <v>1.3110928000000004E-2</v>
      </c>
      <c r="L132" s="21">
        <v>0</v>
      </c>
      <c r="M132" s="21">
        <v>0.02</v>
      </c>
      <c r="N132" s="21">
        <v>0</v>
      </c>
      <c r="O132" s="11">
        <f>SUM(Table1[[#This Row],[Labor
Saving]:[OH
Saving]])</f>
        <v>3.3110928000000005E-2</v>
      </c>
      <c r="Q132" s="40">
        <f t="shared" si="102"/>
        <v>0</v>
      </c>
      <c r="R132" s="40">
        <f t="shared" si="103"/>
        <v>0</v>
      </c>
      <c r="S132" s="40">
        <f t="shared" si="104"/>
        <v>0</v>
      </c>
      <c r="T132" s="40">
        <f t="shared" si="105"/>
        <v>0</v>
      </c>
      <c r="U132" s="40">
        <f t="shared" si="106"/>
        <v>0</v>
      </c>
      <c r="V132" s="40">
        <f t="shared" si="107"/>
        <v>0</v>
      </c>
      <c r="W132" s="40">
        <f t="shared" si="108"/>
        <v>0</v>
      </c>
      <c r="X132" s="40">
        <f t="shared" si="109"/>
        <v>0</v>
      </c>
      <c r="Y132" s="40">
        <f t="shared" si="110"/>
        <v>0</v>
      </c>
      <c r="Z132" s="40">
        <f t="shared" si="111"/>
        <v>0</v>
      </c>
      <c r="AA132" s="40">
        <f t="shared" si="112"/>
        <v>0</v>
      </c>
      <c r="AB132" s="40">
        <f t="shared" si="113"/>
        <v>0</v>
      </c>
      <c r="AC132" s="37">
        <f>SUM(Table1[[#This Row],[Jan]:[Dec]])</f>
        <v>0</v>
      </c>
      <c r="AD132" s="15">
        <f t="shared" si="122"/>
        <v>0</v>
      </c>
      <c r="AE132" s="15">
        <f t="shared" si="123"/>
        <v>0</v>
      </c>
      <c r="AF132" s="15">
        <f t="shared" si="124"/>
        <v>0</v>
      </c>
      <c r="AG132" s="15">
        <f t="shared" si="125"/>
        <v>0</v>
      </c>
      <c r="AH132" s="15">
        <f t="shared" si="126"/>
        <v>0</v>
      </c>
      <c r="AI132" s="15">
        <f t="shared" si="127"/>
        <v>0</v>
      </c>
      <c r="AJ132" s="15">
        <f t="shared" si="128"/>
        <v>0</v>
      </c>
      <c r="AK132" s="15">
        <f t="shared" si="129"/>
        <v>0</v>
      </c>
      <c r="AL132" s="15">
        <f t="shared" si="130"/>
        <v>0</v>
      </c>
      <c r="AM132" s="15">
        <f t="shared" si="131"/>
        <v>0</v>
      </c>
      <c r="AN132" s="15">
        <f t="shared" si="132"/>
        <v>0</v>
      </c>
      <c r="AO132" s="15">
        <f t="shared" si="133"/>
        <v>0</v>
      </c>
      <c r="AP132" s="10">
        <f t="shared" si="134"/>
        <v>0</v>
      </c>
      <c r="AQ132" s="10">
        <f t="shared" si="135"/>
        <v>0</v>
      </c>
      <c r="AR132" s="10">
        <f t="shared" si="136"/>
        <v>0</v>
      </c>
      <c r="AS132" s="10">
        <f t="shared" si="137"/>
        <v>0</v>
      </c>
      <c r="AT132" s="10" t="b">
        <f t="shared" si="138"/>
        <v>1</v>
      </c>
      <c r="AU132" s="10">
        <f t="shared" si="114"/>
        <v>0</v>
      </c>
      <c r="AV132" s="10">
        <f t="shared" si="115"/>
        <v>0</v>
      </c>
      <c r="AW132" s="10">
        <f t="shared" si="116"/>
        <v>0</v>
      </c>
      <c r="AX132" s="10">
        <f t="shared" si="117"/>
        <v>0</v>
      </c>
      <c r="AY132" s="10">
        <f t="shared" si="139"/>
        <v>0</v>
      </c>
      <c r="AZ132" s="19">
        <f>IFERROR(IF($E132="REC",INDEX(A_Type_Volume!$B:$B,MATCH($D132,A_Type_Volume!$A:$A,0),1),IF($E132="VAM",INDEX(C_Type_Volume!$B:$B,MATCH($D132,C_Type_Volume!$A:$A,0),1),"X")),"")</f>
        <v>0</v>
      </c>
      <c r="BA132" s="19">
        <f>IFERROR(IF($E132="REC",INDEX(A_Type_Volume!$C:$C,MATCH($D132,A_Type_Volume!$A:$A,0),1),IF($E132="VAM",INDEX(C_Type_Volume!$C:$C,MATCH($D132,C_Type_Volume!$A:$A,0),1),"X")),"")</f>
        <v>0</v>
      </c>
      <c r="BB132" s="19">
        <f>IFERROR(IF($E132="REC",INDEX(A_Type_Volume!$D:$D,MATCH($D132,A_Type_Volume!$A:$A,0),1),IF($E132="VAM",INDEX(C_Type_Volume!$D:$D,MATCH($D132,C_Type_Volume!$A:$A,0),1),"X")),"")</f>
        <v>0</v>
      </c>
      <c r="BC132" s="19">
        <f>IFERROR(IF($E132="REC",INDEX(A_Type_Volume!$E:$E,MATCH($D132,A_Type_Volume!$A:$A,0),1),IF($E132="VAM",INDEX(C_Type_Volume!$E:$E,MATCH($D132,C_Type_Volume!$A:$A,0),1),"X")),"")</f>
        <v>0</v>
      </c>
      <c r="BD132" s="19">
        <f>IFERROR(IF($E132="REC",INDEX(A_Type_Volume!$F:$F,MATCH($D132,A_Type_Volume!$A:$A,0),1),IF($E132="VAM",INDEX(C_Type_Volume!$F:$F,MATCH($D132,C_Type_Volume!$A:$A,0),1),"X")),"")</f>
        <v>0</v>
      </c>
      <c r="BE132" s="19">
        <f>IFERROR(IF($E132="REC",INDEX(A_Type_Volume!$G:$G,MATCH($D132,A_Type_Volume!$A:$A,0),1),IF($E132="VAM",INDEX(C_Type_Volume!$G:$G,MATCH($D132,C_Type_Volume!$A:$A,0),1),"X")),"")</f>
        <v>0</v>
      </c>
      <c r="BF132" s="19">
        <f>IFERROR(IF($E132="REC",INDEX(A_Type_Volume!$H:$H,MATCH($D132,A_Type_Volume!$A:$A,0),1),IF($E132="VAM",INDEX(C_Type_Volume!$H:$H,MATCH($D132,C_Type_Volume!$A:$A,0),1),"X")),"")</f>
        <v>0</v>
      </c>
      <c r="BG132" s="19">
        <f>IFERROR(IF($E132="REC",INDEX(A_Type_Volume!$I:$I,MATCH($D132,A_Type_Volume!$A:$A,0),1),IF($E132="VAM",INDEX(C_Type_Volume!$I:$I,MATCH($D132,C_Type_Volume!$A:$A,0),1),"X")),"")</f>
        <v>0</v>
      </c>
      <c r="BH132" s="19">
        <f>IFERROR(IF($E132="REC",INDEX(A_Type_Volume!$J:$J,MATCH($D132,A_Type_Volume!$A:$A,0),1),IF($E132="VAM",INDEX(C_Type_Volume!$J:$J,MATCH($D132,C_Type_Volume!$A:$A,0),1),"X")),"")</f>
        <v>0</v>
      </c>
      <c r="BI132" s="19">
        <f>IFERROR(IF($E132="REC",INDEX(A_Type_Volume!$K:$K,MATCH($D132,A_Type_Volume!$A:$A,0),1),IF($E132="VAM",INDEX(C_Type_Volume!$K:$K,MATCH($D132,C_Type_Volume!$A:$A,0),1),"X")),"")</f>
        <v>0</v>
      </c>
      <c r="BJ132" s="19">
        <f>IFERROR(IF($E132="REC",INDEX(A_Type_Volume!$L:$L,MATCH($D132,A_Type_Volume!$A:$A,0),1),IF($E132="VAM",INDEX(C_Type_Volume!$L:$L,MATCH($D132,C_Type_Volume!$A:$A,0),1),"X")),"")</f>
        <v>0</v>
      </c>
      <c r="BK132" s="19">
        <f>IFERROR(IF($E132="REC",INDEX(A_Type_Volume!M:M,MATCH($D132,A_Type_Volume!$A:$A,0),1),IF($E132="VAM",INDEX(C_Type_Volume!M:M,MATCH($D132,C_Type_Volume!$A:$A,0),1),"X")),"")</f>
        <v>0</v>
      </c>
      <c r="BL132" s="38">
        <f>SUM(Table1[[#This Row],[Jan_AVF]:[Dec_AVF]])</f>
        <v>0</v>
      </c>
      <c r="BM132" s="16">
        <f t="shared" si="140"/>
        <v>0</v>
      </c>
      <c r="BN132" s="16">
        <f t="shared" si="141"/>
        <v>0</v>
      </c>
      <c r="BO132" s="16">
        <f t="shared" si="142"/>
        <v>0</v>
      </c>
      <c r="BP132" s="16">
        <f t="shared" si="143"/>
        <v>0</v>
      </c>
      <c r="BQ132" s="16">
        <f t="shared" si="144"/>
        <v>0</v>
      </c>
      <c r="BR132" s="16">
        <f t="shared" si="145"/>
        <v>0</v>
      </c>
      <c r="BS132" s="16">
        <f t="shared" si="146"/>
        <v>0</v>
      </c>
      <c r="BT132" s="16">
        <f t="shared" si="147"/>
        <v>0</v>
      </c>
      <c r="BU132" s="16">
        <f t="shared" si="148"/>
        <v>0</v>
      </c>
      <c r="BV132" s="16">
        <f t="shared" si="149"/>
        <v>0</v>
      </c>
      <c r="BW132" s="16">
        <f t="shared" si="150"/>
        <v>0</v>
      </c>
      <c r="BX132" s="16">
        <f t="shared" si="151"/>
        <v>0</v>
      </c>
      <c r="BY132" s="10">
        <f t="shared" si="118"/>
        <v>0</v>
      </c>
      <c r="BZ132" s="10">
        <f t="shared" si="119"/>
        <v>0</v>
      </c>
      <c r="CA132" s="10">
        <f t="shared" si="120"/>
        <v>0</v>
      </c>
      <c r="CB132" s="10">
        <f t="shared" si="121"/>
        <v>0</v>
      </c>
      <c r="CC132" s="10">
        <f>IFERROR(Table1[[#This Row],[Labor
Saving]]*Table1[[#This Row],[Annual Volume]],"")</f>
        <v>0</v>
      </c>
      <c r="CD132" s="10">
        <f>IFERROR(Table1[[#This Row],[Annual Volume]]*Table1[[#This Row],[Yield
Saving]],"")</f>
        <v>0</v>
      </c>
      <c r="CE132" s="10">
        <f>IFERROR(Table1[[#This Row],[Annual Volume]]*Table1[[#This Row],[Material
Saving]],"")</f>
        <v>0</v>
      </c>
      <c r="CF132" s="10">
        <f>IFERROR(Table1[[#This Row],[OH
Saving]]*Table1[[#This Row],[Annual Volume]],"")</f>
        <v>0</v>
      </c>
      <c r="CG132" s="10">
        <f>SUM(Table1[[#This Row],[Labor_ASV]:[OH_ASV]])</f>
        <v>0</v>
      </c>
    </row>
    <row r="133" spans="1:85" x14ac:dyDescent="0.3">
      <c r="A133" t="str">
        <f>Table1[[#This Row],[Project Name]]&amp;Table1[[#This Row],[Part Number]]</f>
        <v>Diamond blade Supplier ER142</v>
      </c>
      <c r="B133" t="str">
        <f>IFERROR(Table1[[#This Row],[Project Number]]&amp;Table1[[#This Row],[Part Number]],"")</f>
        <v>AME25-034R142</v>
      </c>
      <c r="C133" s="22" t="s">
        <v>86</v>
      </c>
      <c r="D133" s="24" t="s">
        <v>380</v>
      </c>
      <c r="E133" s="25" t="s">
        <v>58</v>
      </c>
      <c r="F133" s="6">
        <f>INDEX(Proj_Reg!G:G,MATCH($C133,Proj_Reg!$B:$B,0),1)</f>
        <v>46113</v>
      </c>
      <c r="G133" s="6">
        <f>INDEX(Proj_Reg!H:H,MATCH($C133,Proj_Reg!$B:$B,0),1)</f>
        <v>46447</v>
      </c>
      <c r="H133" s="6" t="str">
        <f>IF(INDEX(Proj_Reg!C:C,MATCH($C133,Proj_Reg!$B:$B,0),1)=0,"",INDEX(Proj_Reg!C:C,MATCH($C133,Proj_Reg!$B:$B,0),1))</f>
        <v>Wafer Saw Dicing</v>
      </c>
      <c r="I133" s="6" t="str">
        <f>IF(INDEX(Proj_Reg!D:D,MATCH($C133,Proj_Reg!$B:$B,0),1)=0,"",INDEX(Proj_Reg!D:D,MATCH($C133,Proj_Reg!$B:$B,0),1))</f>
        <v>XCD</v>
      </c>
      <c r="J133" s="6" t="str">
        <f>INDEX(Proj_Reg!E:E,MATCH($C133,Proj_Reg!$B:$B,0),1)</f>
        <v>Diamond blade Supplier E</v>
      </c>
      <c r="K133" s="21">
        <v>1.3110928000000004E-2</v>
      </c>
      <c r="L133" s="21">
        <v>0</v>
      </c>
      <c r="M133" s="21">
        <v>0.02</v>
      </c>
      <c r="N133" s="21">
        <v>0</v>
      </c>
      <c r="O133" s="11">
        <f>SUM(Table1[[#This Row],[Labor
Saving]:[OH
Saving]])</f>
        <v>3.3110928000000005E-2</v>
      </c>
      <c r="Q133" s="40">
        <f t="shared" si="102"/>
        <v>0</v>
      </c>
      <c r="R133" s="40">
        <f t="shared" si="103"/>
        <v>0</v>
      </c>
      <c r="S133" s="40">
        <f t="shared" si="104"/>
        <v>0</v>
      </c>
      <c r="T133" s="40">
        <f t="shared" si="105"/>
        <v>644.69999999999993</v>
      </c>
      <c r="U133" s="40">
        <f t="shared" si="106"/>
        <v>0</v>
      </c>
      <c r="V133" s="40">
        <f t="shared" si="107"/>
        <v>0</v>
      </c>
      <c r="W133" s="40">
        <f t="shared" si="108"/>
        <v>0</v>
      </c>
      <c r="X133" s="40">
        <f t="shared" si="109"/>
        <v>0</v>
      </c>
      <c r="Y133" s="40">
        <f t="shared" si="110"/>
        <v>0</v>
      </c>
      <c r="Z133" s="40">
        <f t="shared" si="111"/>
        <v>637</v>
      </c>
      <c r="AA133" s="40">
        <f t="shared" si="112"/>
        <v>435</v>
      </c>
      <c r="AB133" s="40">
        <f t="shared" si="113"/>
        <v>380</v>
      </c>
      <c r="AC133" s="37">
        <f>SUM(Table1[[#This Row],[Jan]:[Dec]])</f>
        <v>2096.6999999999998</v>
      </c>
      <c r="AD133" s="15">
        <f t="shared" si="122"/>
        <v>0</v>
      </c>
      <c r="AE133" s="15">
        <f t="shared" si="123"/>
        <v>0</v>
      </c>
      <c r="AF133" s="15">
        <f t="shared" si="124"/>
        <v>0</v>
      </c>
      <c r="AG133" s="15">
        <f t="shared" si="125"/>
        <v>21.346615281600002</v>
      </c>
      <c r="AH133" s="15">
        <f t="shared" si="126"/>
        <v>0</v>
      </c>
      <c r="AI133" s="15">
        <f t="shared" si="127"/>
        <v>0</v>
      </c>
      <c r="AJ133" s="15">
        <f t="shared" si="128"/>
        <v>0</v>
      </c>
      <c r="AK133" s="15">
        <f t="shared" si="129"/>
        <v>0</v>
      </c>
      <c r="AL133" s="15">
        <f t="shared" si="130"/>
        <v>0</v>
      </c>
      <c r="AM133" s="15">
        <f t="shared" si="131"/>
        <v>21.091661136000003</v>
      </c>
      <c r="AN133" s="15">
        <f t="shared" si="132"/>
        <v>14.403253680000002</v>
      </c>
      <c r="AO133" s="15">
        <f t="shared" si="133"/>
        <v>12.582152640000002</v>
      </c>
      <c r="AP133" s="10">
        <f t="shared" si="134"/>
        <v>0</v>
      </c>
      <c r="AQ133" s="10">
        <f t="shared" si="135"/>
        <v>21.346615281600002</v>
      </c>
      <c r="AR133" s="10">
        <f t="shared" si="136"/>
        <v>0</v>
      </c>
      <c r="AS133" s="10">
        <f t="shared" si="137"/>
        <v>48.077067456000009</v>
      </c>
      <c r="AT133" s="10" t="b">
        <f t="shared" si="138"/>
        <v>1</v>
      </c>
      <c r="AU133" s="10">
        <f t="shared" si="114"/>
        <v>27.489682737600006</v>
      </c>
      <c r="AV133" s="10">
        <f t="shared" si="115"/>
        <v>0</v>
      </c>
      <c r="AW133" s="10">
        <f t="shared" si="116"/>
        <v>41.933999999999997</v>
      </c>
      <c r="AX133" s="10">
        <f t="shared" si="117"/>
        <v>0</v>
      </c>
      <c r="AY133" s="10">
        <f t="shared" si="139"/>
        <v>69.423682737600004</v>
      </c>
      <c r="AZ133" s="19">
        <f>IFERROR(IF($E133="REC",INDEX(A_Type_Volume!$B:$B,MATCH($D133,A_Type_Volume!$A:$A,0),1),IF($E133="VAM",INDEX(C_Type_Volume!$B:$B,MATCH($D133,C_Type_Volume!$A:$A,0),1),"X")),"")</f>
        <v>1698</v>
      </c>
      <c r="BA133" s="19">
        <f>IFERROR(IF($E133="REC",INDEX(A_Type_Volume!$C:$C,MATCH($D133,A_Type_Volume!$A:$A,0),1),IF($E133="VAM",INDEX(C_Type_Volume!$C:$C,MATCH($D133,C_Type_Volume!$A:$A,0),1),"X")),"")</f>
        <v>3562</v>
      </c>
      <c r="BB133" s="19">
        <f>IFERROR(IF($E133="REC",INDEX(A_Type_Volume!$D:$D,MATCH($D133,A_Type_Volume!$A:$A,0),1),IF($E133="VAM",INDEX(C_Type_Volume!$D:$D,MATCH($D133,C_Type_Volume!$A:$A,0),1),"X")),"")</f>
        <v>1354</v>
      </c>
      <c r="BC133" s="19">
        <f>IFERROR(IF($E133="REC",INDEX(A_Type_Volume!$E:$E,MATCH($D133,A_Type_Volume!$A:$A,0),1),IF($E133="VAM",INDEX(C_Type_Volume!$E:$E,MATCH($D133,C_Type_Volume!$A:$A,0),1),"X")),"")</f>
        <v>2149</v>
      </c>
      <c r="BD133" s="19">
        <f>IFERROR(IF($E133="REC",INDEX(A_Type_Volume!$F:$F,MATCH($D133,A_Type_Volume!$A:$A,0),1),IF($E133="VAM",INDEX(C_Type_Volume!$F:$F,MATCH($D133,C_Type_Volume!$A:$A,0),1),"X")),"")</f>
        <v>0</v>
      </c>
      <c r="BE133" s="19">
        <f>IFERROR(IF($E133="REC",INDEX(A_Type_Volume!$G:$G,MATCH($D133,A_Type_Volume!$A:$A,0),1),IF($E133="VAM",INDEX(C_Type_Volume!$G:$G,MATCH($D133,C_Type_Volume!$A:$A,0),1),"X")),"")</f>
        <v>0</v>
      </c>
      <c r="BF133" s="19">
        <f>IFERROR(IF($E133="REC",INDEX(A_Type_Volume!$H:$H,MATCH($D133,A_Type_Volume!$A:$A,0),1),IF($E133="VAM",INDEX(C_Type_Volume!$H:$H,MATCH($D133,C_Type_Volume!$A:$A,0),1),"X")),"")</f>
        <v>0</v>
      </c>
      <c r="BG133" s="19">
        <f>IFERROR(IF($E133="REC",INDEX(A_Type_Volume!$I:$I,MATCH($D133,A_Type_Volume!$A:$A,0),1),IF($E133="VAM",INDEX(C_Type_Volume!$I:$I,MATCH($D133,C_Type_Volume!$A:$A,0),1),"X")),"")</f>
        <v>0</v>
      </c>
      <c r="BH133" s="19">
        <f>IFERROR(IF($E133="REC",INDEX(A_Type_Volume!$J:$J,MATCH($D133,A_Type_Volume!$A:$A,0),1),IF($E133="VAM",INDEX(C_Type_Volume!$J:$J,MATCH($D133,C_Type_Volume!$A:$A,0),1),"X")),"")</f>
        <v>0</v>
      </c>
      <c r="BI133" s="19">
        <f>IFERROR(IF($E133="REC",INDEX(A_Type_Volume!$K:$K,MATCH($D133,A_Type_Volume!$A:$A,0),1),IF($E133="VAM",INDEX(C_Type_Volume!$K:$K,MATCH($D133,C_Type_Volume!$A:$A,0),1),"X")),"")</f>
        <v>637</v>
      </c>
      <c r="BJ133" s="19">
        <f>IFERROR(IF($E133="REC",INDEX(A_Type_Volume!$L:$L,MATCH($D133,A_Type_Volume!$A:$A,0),1),IF($E133="VAM",INDEX(C_Type_Volume!$L:$L,MATCH($D133,C_Type_Volume!$A:$A,0),1),"X")),"")</f>
        <v>435</v>
      </c>
      <c r="BK133" s="19">
        <f>IFERROR(IF($E133="REC",INDEX(A_Type_Volume!M:M,MATCH($D133,A_Type_Volume!$A:$A,0),1),IF($E133="VAM",INDEX(C_Type_Volume!M:M,MATCH($D133,C_Type_Volume!$A:$A,0),1),"X")),"")</f>
        <v>380</v>
      </c>
      <c r="BL133" s="38">
        <f>SUM(Table1[[#This Row],[Jan_AVF]:[Dec_AVF]])</f>
        <v>10215</v>
      </c>
      <c r="BM133" s="16">
        <f t="shared" si="140"/>
        <v>56.222355744000005</v>
      </c>
      <c r="BN133" s="16">
        <f t="shared" si="141"/>
        <v>117.94112553600002</v>
      </c>
      <c r="BO133" s="16">
        <f t="shared" si="142"/>
        <v>44.832196512000003</v>
      </c>
      <c r="BP133" s="16">
        <f t="shared" si="143"/>
        <v>71.155384272000006</v>
      </c>
      <c r="BQ133" s="16">
        <f t="shared" si="144"/>
        <v>0</v>
      </c>
      <c r="BR133" s="16">
        <f t="shared" si="145"/>
        <v>0</v>
      </c>
      <c r="BS133" s="16">
        <f t="shared" si="146"/>
        <v>0</v>
      </c>
      <c r="BT133" s="16">
        <f t="shared" si="147"/>
        <v>0</v>
      </c>
      <c r="BU133" s="16">
        <f t="shared" si="148"/>
        <v>0</v>
      </c>
      <c r="BV133" s="16">
        <f t="shared" si="149"/>
        <v>21.091661136000003</v>
      </c>
      <c r="BW133" s="16">
        <f t="shared" si="150"/>
        <v>14.403253680000002</v>
      </c>
      <c r="BX133" s="16">
        <f t="shared" si="151"/>
        <v>12.582152640000002</v>
      </c>
      <c r="BY133" s="10">
        <f t="shared" si="118"/>
        <v>218.99567779200001</v>
      </c>
      <c r="BZ133" s="10">
        <f t="shared" si="119"/>
        <v>71.155384272000006</v>
      </c>
      <c r="CA133" s="10">
        <f t="shared" si="120"/>
        <v>0</v>
      </c>
      <c r="CB133" s="10">
        <f t="shared" si="121"/>
        <v>48.077067456000009</v>
      </c>
      <c r="CC133" s="10">
        <f>IFERROR(Table1[[#This Row],[Labor
Saving]]*Table1[[#This Row],[Annual Volume]],"")</f>
        <v>133.92812952000006</v>
      </c>
      <c r="CD133" s="10">
        <f>IFERROR(Table1[[#This Row],[Annual Volume]]*Table1[[#This Row],[Yield
Saving]],"")</f>
        <v>0</v>
      </c>
      <c r="CE133" s="10">
        <f>IFERROR(Table1[[#This Row],[Annual Volume]]*Table1[[#This Row],[Material
Saving]],"")</f>
        <v>204.3</v>
      </c>
      <c r="CF133" s="10">
        <f>IFERROR(Table1[[#This Row],[OH
Saving]]*Table1[[#This Row],[Annual Volume]],"")</f>
        <v>0</v>
      </c>
      <c r="CG133" s="10">
        <f>SUM(Table1[[#This Row],[Labor_ASV]:[OH_ASV]])</f>
        <v>338.22812952000004</v>
      </c>
    </row>
    <row r="134" spans="1:85" x14ac:dyDescent="0.3">
      <c r="A134" t="str">
        <f>Table1[[#This Row],[Project Name]]&amp;Table1[[#This Row],[Part Number]]</f>
        <v>Diamond blade Supplier ER143</v>
      </c>
      <c r="B134" t="str">
        <f>IFERROR(Table1[[#This Row],[Project Number]]&amp;Table1[[#This Row],[Part Number]],"")</f>
        <v>AME25-034R143</v>
      </c>
      <c r="C134" s="22" t="s">
        <v>86</v>
      </c>
      <c r="D134" s="24" t="s">
        <v>381</v>
      </c>
      <c r="E134" s="25" t="s">
        <v>58</v>
      </c>
      <c r="F134" s="6">
        <f>INDEX(Proj_Reg!G:G,MATCH($C134,Proj_Reg!$B:$B,0),1)</f>
        <v>46113</v>
      </c>
      <c r="G134" s="6">
        <f>INDEX(Proj_Reg!H:H,MATCH($C134,Proj_Reg!$B:$B,0),1)</f>
        <v>46447</v>
      </c>
      <c r="H134" s="6" t="str">
        <f>IF(INDEX(Proj_Reg!C:C,MATCH($C134,Proj_Reg!$B:$B,0),1)=0,"",INDEX(Proj_Reg!C:C,MATCH($C134,Proj_Reg!$B:$B,0),1))</f>
        <v>Wafer Saw Dicing</v>
      </c>
      <c r="I134" s="6" t="str">
        <f>IF(INDEX(Proj_Reg!D:D,MATCH($C134,Proj_Reg!$B:$B,0),1)=0,"",INDEX(Proj_Reg!D:D,MATCH($C134,Proj_Reg!$B:$B,0),1))</f>
        <v>XCD</v>
      </c>
      <c r="J134" s="6" t="str">
        <f>INDEX(Proj_Reg!E:E,MATCH($C134,Proj_Reg!$B:$B,0),1)</f>
        <v>Diamond blade Supplier E</v>
      </c>
      <c r="K134" s="21">
        <v>1.3110928000000004E-2</v>
      </c>
      <c r="L134" s="21">
        <v>0</v>
      </c>
      <c r="M134" s="21">
        <v>0.02</v>
      </c>
      <c r="N134" s="21">
        <v>0</v>
      </c>
      <c r="O134" s="11">
        <f>SUM(Table1[[#This Row],[Labor
Saving]:[OH
Saving]])</f>
        <v>3.3110928000000005E-2</v>
      </c>
      <c r="Q134" s="40">
        <f t="shared" si="102"/>
        <v>0</v>
      </c>
      <c r="R134" s="40">
        <f t="shared" si="103"/>
        <v>0</v>
      </c>
      <c r="S134" s="40">
        <f t="shared" si="104"/>
        <v>0</v>
      </c>
      <c r="T134" s="40">
        <f t="shared" si="105"/>
        <v>639.9</v>
      </c>
      <c r="U134" s="40">
        <f t="shared" si="106"/>
        <v>0</v>
      </c>
      <c r="V134" s="40">
        <f t="shared" si="107"/>
        <v>0</v>
      </c>
      <c r="W134" s="40">
        <f t="shared" si="108"/>
        <v>0</v>
      </c>
      <c r="X134" s="40">
        <f t="shared" si="109"/>
        <v>0</v>
      </c>
      <c r="Y134" s="40">
        <f t="shared" si="110"/>
        <v>0</v>
      </c>
      <c r="Z134" s="40">
        <f t="shared" si="111"/>
        <v>637</v>
      </c>
      <c r="AA134" s="40">
        <f t="shared" si="112"/>
        <v>435</v>
      </c>
      <c r="AB134" s="40">
        <f t="shared" si="113"/>
        <v>380</v>
      </c>
      <c r="AC134" s="37">
        <f>SUM(Table1[[#This Row],[Jan]:[Dec]])</f>
        <v>2091.9</v>
      </c>
      <c r="AD134" s="15">
        <f t="shared" si="122"/>
        <v>0</v>
      </c>
      <c r="AE134" s="15">
        <f t="shared" si="123"/>
        <v>0</v>
      </c>
      <c r="AF134" s="15">
        <f t="shared" si="124"/>
        <v>0</v>
      </c>
      <c r="AG134" s="15">
        <f t="shared" si="125"/>
        <v>21.187682827200003</v>
      </c>
      <c r="AH134" s="15">
        <f t="shared" si="126"/>
        <v>0</v>
      </c>
      <c r="AI134" s="15">
        <f t="shared" si="127"/>
        <v>0</v>
      </c>
      <c r="AJ134" s="15">
        <f t="shared" si="128"/>
        <v>0</v>
      </c>
      <c r="AK134" s="15">
        <f t="shared" si="129"/>
        <v>0</v>
      </c>
      <c r="AL134" s="15">
        <f t="shared" si="130"/>
        <v>0</v>
      </c>
      <c r="AM134" s="15">
        <f t="shared" si="131"/>
        <v>21.091661136000003</v>
      </c>
      <c r="AN134" s="15">
        <f t="shared" si="132"/>
        <v>14.403253680000002</v>
      </c>
      <c r="AO134" s="15">
        <f t="shared" si="133"/>
        <v>12.582152640000002</v>
      </c>
      <c r="AP134" s="10">
        <f t="shared" si="134"/>
        <v>0</v>
      </c>
      <c r="AQ134" s="10">
        <f t="shared" si="135"/>
        <v>21.187682827200003</v>
      </c>
      <c r="AR134" s="10">
        <f t="shared" si="136"/>
        <v>0</v>
      </c>
      <c r="AS134" s="10">
        <f t="shared" si="137"/>
        <v>48.077067456000009</v>
      </c>
      <c r="AT134" s="10" t="b">
        <f t="shared" si="138"/>
        <v>1</v>
      </c>
      <c r="AU134" s="10">
        <f t="shared" si="114"/>
        <v>27.426750283200011</v>
      </c>
      <c r="AV134" s="10">
        <f t="shared" si="115"/>
        <v>0</v>
      </c>
      <c r="AW134" s="10">
        <f t="shared" si="116"/>
        <v>41.838000000000001</v>
      </c>
      <c r="AX134" s="10">
        <f t="shared" si="117"/>
        <v>0</v>
      </c>
      <c r="AY134" s="10">
        <f t="shared" si="139"/>
        <v>69.264750283200016</v>
      </c>
      <c r="AZ134" s="19">
        <f>IFERROR(IF($E134="REC",INDEX(A_Type_Volume!$B:$B,MATCH($D134,A_Type_Volume!$A:$A,0),1),IF($E134="VAM",INDEX(C_Type_Volume!$B:$B,MATCH($D134,C_Type_Volume!$A:$A,0),1),"X")),"")</f>
        <v>1820</v>
      </c>
      <c r="BA134" s="19">
        <f>IFERROR(IF($E134="REC",INDEX(A_Type_Volume!$C:$C,MATCH($D134,A_Type_Volume!$A:$A,0),1),IF($E134="VAM",INDEX(C_Type_Volume!$C:$C,MATCH($D134,C_Type_Volume!$A:$A,0),1),"X")),"")</f>
        <v>3629</v>
      </c>
      <c r="BB134" s="19">
        <f>IFERROR(IF($E134="REC",INDEX(A_Type_Volume!$D:$D,MATCH($D134,A_Type_Volume!$A:$A,0),1),IF($E134="VAM",INDEX(C_Type_Volume!$D:$D,MATCH($D134,C_Type_Volume!$A:$A,0),1),"X")),"")</f>
        <v>1336</v>
      </c>
      <c r="BC134" s="19">
        <f>IFERROR(IF($E134="REC",INDEX(A_Type_Volume!$E:$E,MATCH($D134,A_Type_Volume!$A:$A,0),1),IF($E134="VAM",INDEX(C_Type_Volume!$E:$E,MATCH($D134,C_Type_Volume!$A:$A,0),1),"X")),"")</f>
        <v>2133</v>
      </c>
      <c r="BD134" s="19">
        <f>IFERROR(IF($E134="REC",INDEX(A_Type_Volume!$F:$F,MATCH($D134,A_Type_Volume!$A:$A,0),1),IF($E134="VAM",INDEX(C_Type_Volume!$F:$F,MATCH($D134,C_Type_Volume!$A:$A,0),1),"X")),"")</f>
        <v>0</v>
      </c>
      <c r="BE134" s="19">
        <f>IFERROR(IF($E134="REC",INDEX(A_Type_Volume!$G:$G,MATCH($D134,A_Type_Volume!$A:$A,0),1),IF($E134="VAM",INDEX(C_Type_Volume!$G:$G,MATCH($D134,C_Type_Volume!$A:$A,0),1),"X")),"")</f>
        <v>0</v>
      </c>
      <c r="BF134" s="19">
        <f>IFERROR(IF($E134="REC",INDEX(A_Type_Volume!$H:$H,MATCH($D134,A_Type_Volume!$A:$A,0),1),IF($E134="VAM",INDEX(C_Type_Volume!$H:$H,MATCH($D134,C_Type_Volume!$A:$A,0),1),"X")),"")</f>
        <v>0</v>
      </c>
      <c r="BG134" s="19">
        <f>IFERROR(IF($E134="REC",INDEX(A_Type_Volume!$I:$I,MATCH($D134,A_Type_Volume!$A:$A,0),1),IF($E134="VAM",INDEX(C_Type_Volume!$I:$I,MATCH($D134,C_Type_Volume!$A:$A,0),1),"X")),"")</f>
        <v>0</v>
      </c>
      <c r="BH134" s="19">
        <f>IFERROR(IF($E134="REC",INDEX(A_Type_Volume!$J:$J,MATCH($D134,A_Type_Volume!$A:$A,0),1),IF($E134="VAM",INDEX(C_Type_Volume!$J:$J,MATCH($D134,C_Type_Volume!$A:$A,0),1),"X")),"")</f>
        <v>0</v>
      </c>
      <c r="BI134" s="19">
        <f>IFERROR(IF($E134="REC",INDEX(A_Type_Volume!$K:$K,MATCH($D134,A_Type_Volume!$A:$A,0),1),IF($E134="VAM",INDEX(C_Type_Volume!$K:$K,MATCH($D134,C_Type_Volume!$A:$A,0),1),"X")),"")</f>
        <v>637</v>
      </c>
      <c r="BJ134" s="19">
        <f>IFERROR(IF($E134="REC",INDEX(A_Type_Volume!$L:$L,MATCH($D134,A_Type_Volume!$A:$A,0),1),IF($E134="VAM",INDEX(C_Type_Volume!$L:$L,MATCH($D134,C_Type_Volume!$A:$A,0),1),"X")),"")</f>
        <v>435</v>
      </c>
      <c r="BK134" s="19">
        <f>IFERROR(IF($E134="REC",INDEX(A_Type_Volume!M:M,MATCH($D134,A_Type_Volume!$A:$A,0),1),IF($E134="VAM",INDEX(C_Type_Volume!M:M,MATCH($D134,C_Type_Volume!$A:$A,0),1),"X")),"")</f>
        <v>380</v>
      </c>
      <c r="BL134" s="38">
        <f>SUM(Table1[[#This Row],[Jan_AVF]:[Dec_AVF]])</f>
        <v>10370</v>
      </c>
      <c r="BM134" s="16">
        <f t="shared" si="140"/>
        <v>60.261888960000007</v>
      </c>
      <c r="BN134" s="16">
        <f t="shared" si="141"/>
        <v>120.15955771200002</v>
      </c>
      <c r="BO134" s="16">
        <f t="shared" si="142"/>
        <v>44.236199808000009</v>
      </c>
      <c r="BP134" s="16">
        <f t="shared" si="143"/>
        <v>70.625609424000004</v>
      </c>
      <c r="BQ134" s="16">
        <f t="shared" si="144"/>
        <v>0</v>
      </c>
      <c r="BR134" s="16">
        <f t="shared" si="145"/>
        <v>0</v>
      </c>
      <c r="BS134" s="16">
        <f t="shared" si="146"/>
        <v>0</v>
      </c>
      <c r="BT134" s="16">
        <f t="shared" si="147"/>
        <v>0</v>
      </c>
      <c r="BU134" s="16">
        <f t="shared" si="148"/>
        <v>0</v>
      </c>
      <c r="BV134" s="16">
        <f t="shared" si="149"/>
        <v>21.091661136000003</v>
      </c>
      <c r="BW134" s="16">
        <f t="shared" si="150"/>
        <v>14.403253680000002</v>
      </c>
      <c r="BX134" s="16">
        <f t="shared" si="151"/>
        <v>12.582152640000002</v>
      </c>
      <c r="BY134" s="10">
        <f t="shared" si="118"/>
        <v>224.65764648000004</v>
      </c>
      <c r="BZ134" s="10">
        <f t="shared" si="119"/>
        <v>70.625609424000004</v>
      </c>
      <c r="CA134" s="10">
        <f t="shared" si="120"/>
        <v>0</v>
      </c>
      <c r="CB134" s="10">
        <f t="shared" si="121"/>
        <v>48.077067456000009</v>
      </c>
      <c r="CC134" s="10">
        <f>IFERROR(Table1[[#This Row],[Labor
Saving]]*Table1[[#This Row],[Annual Volume]],"")</f>
        <v>135.96032336000005</v>
      </c>
      <c r="CD134" s="10">
        <f>IFERROR(Table1[[#This Row],[Annual Volume]]*Table1[[#This Row],[Yield
Saving]],"")</f>
        <v>0</v>
      </c>
      <c r="CE134" s="10">
        <f>IFERROR(Table1[[#This Row],[Annual Volume]]*Table1[[#This Row],[Material
Saving]],"")</f>
        <v>207.4</v>
      </c>
      <c r="CF134" s="10">
        <f>IFERROR(Table1[[#This Row],[OH
Saving]]*Table1[[#This Row],[Annual Volume]],"")</f>
        <v>0</v>
      </c>
      <c r="CG134" s="10">
        <f>SUM(Table1[[#This Row],[Labor_ASV]:[OH_ASV]])</f>
        <v>343.36032336000005</v>
      </c>
    </row>
    <row r="135" spans="1:85" x14ac:dyDescent="0.3">
      <c r="A135" t="str">
        <f>Table1[[#This Row],[Project Name]]&amp;Table1[[#This Row],[Part Number]]</f>
        <v>Diamond blade Supplier ER106</v>
      </c>
      <c r="B135" t="str">
        <f>IFERROR(Table1[[#This Row],[Project Number]]&amp;Table1[[#This Row],[Part Number]],"")</f>
        <v>AME25-034R106</v>
      </c>
      <c r="C135" s="22" t="s">
        <v>86</v>
      </c>
      <c r="D135" s="24" t="s">
        <v>344</v>
      </c>
      <c r="E135" s="25" t="s">
        <v>58</v>
      </c>
      <c r="F135" s="6">
        <f>INDEX(Proj_Reg!G:G,MATCH($C135,Proj_Reg!$B:$B,0),1)</f>
        <v>46113</v>
      </c>
      <c r="G135" s="6">
        <f>INDEX(Proj_Reg!H:H,MATCH($C135,Proj_Reg!$B:$B,0),1)</f>
        <v>46447</v>
      </c>
      <c r="H135" s="6" t="str">
        <f>IF(INDEX(Proj_Reg!C:C,MATCH($C135,Proj_Reg!$B:$B,0),1)=0,"",INDEX(Proj_Reg!C:C,MATCH($C135,Proj_Reg!$B:$B,0),1))</f>
        <v>Wafer Saw Dicing</v>
      </c>
      <c r="I135" s="6" t="str">
        <f>IF(INDEX(Proj_Reg!D:D,MATCH($C135,Proj_Reg!$B:$B,0),1)=0,"",INDEX(Proj_Reg!D:D,MATCH($C135,Proj_Reg!$B:$B,0),1))</f>
        <v>XCD</v>
      </c>
      <c r="J135" s="6" t="str">
        <f>INDEX(Proj_Reg!E:E,MATCH($C135,Proj_Reg!$B:$B,0),1)</f>
        <v>Diamond blade Supplier E</v>
      </c>
      <c r="K135" s="21">
        <v>1.3110928000000004E-2</v>
      </c>
      <c r="L135" s="21">
        <v>0</v>
      </c>
      <c r="M135" s="21">
        <v>0.02</v>
      </c>
      <c r="N135" s="21">
        <v>0</v>
      </c>
      <c r="O135" s="11">
        <f>SUM(Table1[[#This Row],[Labor
Saving]:[OH
Saving]])</f>
        <v>3.3110928000000005E-2</v>
      </c>
      <c r="Q135" s="40">
        <f t="shared" si="102"/>
        <v>0</v>
      </c>
      <c r="R135" s="40">
        <f t="shared" si="103"/>
        <v>0</v>
      </c>
      <c r="S135" s="40">
        <f t="shared" si="104"/>
        <v>0</v>
      </c>
      <c r="T135" s="40">
        <f t="shared" si="105"/>
        <v>285.89999999999998</v>
      </c>
      <c r="U135" s="40">
        <f t="shared" si="106"/>
        <v>1038</v>
      </c>
      <c r="V135" s="40">
        <f t="shared" si="107"/>
        <v>1082</v>
      </c>
      <c r="W135" s="40">
        <f t="shared" si="108"/>
        <v>2159</v>
      </c>
      <c r="X135" s="40">
        <f t="shared" si="109"/>
        <v>791</v>
      </c>
      <c r="Y135" s="40">
        <f t="shared" si="110"/>
        <v>923</v>
      </c>
      <c r="Z135" s="40">
        <f t="shared" si="111"/>
        <v>2103</v>
      </c>
      <c r="AA135" s="40">
        <f t="shared" si="112"/>
        <v>1434</v>
      </c>
      <c r="AB135" s="40">
        <f t="shared" si="113"/>
        <v>1255</v>
      </c>
      <c r="AC135" s="37">
        <f>SUM(Table1[[#This Row],[Jan]:[Dec]])</f>
        <v>11070.9</v>
      </c>
      <c r="AD135" s="15">
        <f t="shared" si="122"/>
        <v>0</v>
      </c>
      <c r="AE135" s="15">
        <f t="shared" si="123"/>
        <v>0</v>
      </c>
      <c r="AF135" s="15">
        <f t="shared" si="124"/>
        <v>0</v>
      </c>
      <c r="AG135" s="15">
        <f t="shared" si="125"/>
        <v>9.4664143151999998</v>
      </c>
      <c r="AH135" s="15">
        <f t="shared" si="126"/>
        <v>34.369143264000002</v>
      </c>
      <c r="AI135" s="15">
        <f t="shared" si="127"/>
        <v>35.826024096000005</v>
      </c>
      <c r="AJ135" s="15">
        <f t="shared" si="128"/>
        <v>71.486493552000013</v>
      </c>
      <c r="AK135" s="15">
        <f t="shared" si="129"/>
        <v>26.190744048000003</v>
      </c>
      <c r="AL135" s="15">
        <f t="shared" si="130"/>
        <v>30.561386544000005</v>
      </c>
      <c r="AM135" s="15">
        <f t="shared" si="131"/>
        <v>69.632281584000012</v>
      </c>
      <c r="AN135" s="15">
        <f t="shared" si="132"/>
        <v>47.481070752000008</v>
      </c>
      <c r="AO135" s="15">
        <f t="shared" si="133"/>
        <v>41.554214640000005</v>
      </c>
      <c r="AP135" s="10">
        <f t="shared" si="134"/>
        <v>0</v>
      </c>
      <c r="AQ135" s="10">
        <f t="shared" si="135"/>
        <v>79.661581675200011</v>
      </c>
      <c r="AR135" s="10">
        <f t="shared" si="136"/>
        <v>128.23862414400003</v>
      </c>
      <c r="AS135" s="10">
        <f t="shared" si="137"/>
        <v>158.66756697600002</v>
      </c>
      <c r="AT135" s="10" t="b">
        <f t="shared" si="138"/>
        <v>1</v>
      </c>
      <c r="AU135" s="10">
        <f t="shared" si="114"/>
        <v>145.14977279520005</v>
      </c>
      <c r="AV135" s="10">
        <f t="shared" si="115"/>
        <v>0</v>
      </c>
      <c r="AW135" s="10">
        <f t="shared" si="116"/>
        <v>221.41800000000001</v>
      </c>
      <c r="AX135" s="10">
        <f t="shared" si="117"/>
        <v>0</v>
      </c>
      <c r="AY135" s="10">
        <f t="shared" si="139"/>
        <v>366.56777279520009</v>
      </c>
      <c r="AZ135" s="19">
        <f>IFERROR(IF($E135="REC",INDEX(A_Type_Volume!$B:$B,MATCH($D135,A_Type_Volume!$A:$A,0),1),IF($E135="VAM",INDEX(C_Type_Volume!$B:$B,MATCH($D135,C_Type_Volume!$A:$A,0),1),"X")),"")</f>
        <v>4623</v>
      </c>
      <c r="BA135" s="19">
        <f>IFERROR(IF($E135="REC",INDEX(A_Type_Volume!$C:$C,MATCH($D135,A_Type_Volume!$A:$A,0),1),IF($E135="VAM",INDEX(C_Type_Volume!$C:$C,MATCH($D135,C_Type_Volume!$A:$A,0),1),"X")),"")</f>
        <v>1672</v>
      </c>
      <c r="BB135" s="19">
        <f>IFERROR(IF($E135="REC",INDEX(A_Type_Volume!$D:$D,MATCH($D135,A_Type_Volume!$A:$A,0),1),IF($E135="VAM",INDEX(C_Type_Volume!$D:$D,MATCH($D135,C_Type_Volume!$A:$A,0),1),"X")),"")</f>
        <v>1065</v>
      </c>
      <c r="BC135" s="19">
        <f>IFERROR(IF($E135="REC",INDEX(A_Type_Volume!$E:$E,MATCH($D135,A_Type_Volume!$A:$A,0),1),IF($E135="VAM",INDEX(C_Type_Volume!$E:$E,MATCH($D135,C_Type_Volume!$A:$A,0),1),"X")),"")</f>
        <v>953</v>
      </c>
      <c r="BD135" s="19">
        <f>IFERROR(IF($E135="REC",INDEX(A_Type_Volume!$F:$F,MATCH($D135,A_Type_Volume!$A:$A,0),1),IF($E135="VAM",INDEX(C_Type_Volume!$F:$F,MATCH($D135,C_Type_Volume!$A:$A,0),1),"X")),"")</f>
        <v>1038</v>
      </c>
      <c r="BE135" s="19">
        <f>IFERROR(IF($E135="REC",INDEX(A_Type_Volume!$G:$G,MATCH($D135,A_Type_Volume!$A:$A,0),1),IF($E135="VAM",INDEX(C_Type_Volume!$G:$G,MATCH($D135,C_Type_Volume!$A:$A,0),1),"X")),"")</f>
        <v>1082</v>
      </c>
      <c r="BF135" s="19">
        <f>IFERROR(IF($E135="REC",INDEX(A_Type_Volume!$H:$H,MATCH($D135,A_Type_Volume!$A:$A,0),1),IF($E135="VAM",INDEX(C_Type_Volume!$H:$H,MATCH($D135,C_Type_Volume!$A:$A,0),1),"X")),"")</f>
        <v>2159</v>
      </c>
      <c r="BG135" s="19">
        <f>IFERROR(IF($E135="REC",INDEX(A_Type_Volume!$I:$I,MATCH($D135,A_Type_Volume!$A:$A,0),1),IF($E135="VAM",INDEX(C_Type_Volume!$I:$I,MATCH($D135,C_Type_Volume!$A:$A,0),1),"X")),"")</f>
        <v>791</v>
      </c>
      <c r="BH135" s="19">
        <f>IFERROR(IF($E135="REC",INDEX(A_Type_Volume!$J:$J,MATCH($D135,A_Type_Volume!$A:$A,0),1),IF($E135="VAM",INDEX(C_Type_Volume!$J:$J,MATCH($D135,C_Type_Volume!$A:$A,0),1),"X")),"")</f>
        <v>923</v>
      </c>
      <c r="BI135" s="19">
        <f>IFERROR(IF($E135="REC",INDEX(A_Type_Volume!$K:$K,MATCH($D135,A_Type_Volume!$A:$A,0),1),IF($E135="VAM",INDEX(C_Type_Volume!$K:$K,MATCH($D135,C_Type_Volume!$A:$A,0),1),"X")),"")</f>
        <v>2103</v>
      </c>
      <c r="BJ135" s="19">
        <f>IFERROR(IF($E135="REC",INDEX(A_Type_Volume!$L:$L,MATCH($D135,A_Type_Volume!$A:$A,0),1),IF($E135="VAM",INDEX(C_Type_Volume!$L:$L,MATCH($D135,C_Type_Volume!$A:$A,0),1),"X")),"")</f>
        <v>1434</v>
      </c>
      <c r="BK135" s="19">
        <f>IFERROR(IF($E135="REC",INDEX(A_Type_Volume!M:M,MATCH($D135,A_Type_Volume!$A:$A,0),1),IF($E135="VAM",INDEX(C_Type_Volume!M:M,MATCH($D135,C_Type_Volume!$A:$A,0),1),"X")),"")</f>
        <v>1255</v>
      </c>
      <c r="BL135" s="38">
        <f>SUM(Table1[[#This Row],[Jan_AVF]:[Dec_AVF]])</f>
        <v>19098</v>
      </c>
      <c r="BM135" s="16">
        <f t="shared" si="140"/>
        <v>153.07182014400001</v>
      </c>
      <c r="BN135" s="16">
        <f t="shared" si="141"/>
        <v>55.36147161600001</v>
      </c>
      <c r="BO135" s="16">
        <f t="shared" si="142"/>
        <v>35.263138320000003</v>
      </c>
      <c r="BP135" s="16">
        <f t="shared" si="143"/>
        <v>31.554714384000004</v>
      </c>
      <c r="BQ135" s="16">
        <f t="shared" si="144"/>
        <v>34.369143264000002</v>
      </c>
      <c r="BR135" s="16">
        <f t="shared" si="145"/>
        <v>35.826024096000005</v>
      </c>
      <c r="BS135" s="16">
        <f t="shared" si="146"/>
        <v>71.486493552000013</v>
      </c>
      <c r="BT135" s="16">
        <f t="shared" si="147"/>
        <v>26.190744048000003</v>
      </c>
      <c r="BU135" s="16">
        <f t="shared" si="148"/>
        <v>30.561386544000005</v>
      </c>
      <c r="BV135" s="16">
        <f t="shared" si="149"/>
        <v>69.632281584000012</v>
      </c>
      <c r="BW135" s="16">
        <f t="shared" si="150"/>
        <v>47.481070752000008</v>
      </c>
      <c r="BX135" s="16">
        <f t="shared" si="151"/>
        <v>41.554214640000005</v>
      </c>
      <c r="BY135" s="10">
        <f t="shared" si="118"/>
        <v>243.69643008000003</v>
      </c>
      <c r="BZ135" s="10">
        <f t="shared" si="119"/>
        <v>101.74988174400002</v>
      </c>
      <c r="CA135" s="10">
        <f t="shared" si="120"/>
        <v>128.23862414400003</v>
      </c>
      <c r="CB135" s="10">
        <f t="shared" si="121"/>
        <v>158.66756697600002</v>
      </c>
      <c r="CC135" s="10">
        <f>IFERROR(Table1[[#This Row],[Labor
Saving]]*Table1[[#This Row],[Annual Volume]],"")</f>
        <v>250.39250294400009</v>
      </c>
      <c r="CD135" s="10">
        <f>IFERROR(Table1[[#This Row],[Annual Volume]]*Table1[[#This Row],[Yield
Saving]],"")</f>
        <v>0</v>
      </c>
      <c r="CE135" s="10">
        <f>IFERROR(Table1[[#This Row],[Annual Volume]]*Table1[[#This Row],[Material
Saving]],"")</f>
        <v>381.96000000000004</v>
      </c>
      <c r="CF135" s="10">
        <f>IFERROR(Table1[[#This Row],[OH
Saving]]*Table1[[#This Row],[Annual Volume]],"")</f>
        <v>0</v>
      </c>
      <c r="CG135" s="10">
        <f>SUM(Table1[[#This Row],[Labor_ASV]:[OH_ASV]])</f>
        <v>632.35250294400009</v>
      </c>
    </row>
    <row r="136" spans="1:85" x14ac:dyDescent="0.3">
      <c r="A136" t="str">
        <f>Table1[[#This Row],[Project Name]]&amp;Table1[[#This Row],[Part Number]]</f>
        <v>Diamond blade Supplier ER107</v>
      </c>
      <c r="B136" t="str">
        <f>IFERROR(Table1[[#This Row],[Project Number]]&amp;Table1[[#This Row],[Part Number]],"")</f>
        <v>AME25-034R107</v>
      </c>
      <c r="C136" s="22" t="s">
        <v>86</v>
      </c>
      <c r="D136" s="24" t="s">
        <v>345</v>
      </c>
      <c r="E136" s="25" t="s">
        <v>58</v>
      </c>
      <c r="F136" s="6">
        <f>INDEX(Proj_Reg!G:G,MATCH($C136,Proj_Reg!$B:$B,0),1)</f>
        <v>46113</v>
      </c>
      <c r="G136" s="6">
        <f>INDEX(Proj_Reg!H:H,MATCH($C136,Proj_Reg!$B:$B,0),1)</f>
        <v>46447</v>
      </c>
      <c r="H136" s="6" t="str">
        <f>IF(INDEX(Proj_Reg!C:C,MATCH($C136,Proj_Reg!$B:$B,0),1)=0,"",INDEX(Proj_Reg!C:C,MATCH($C136,Proj_Reg!$B:$B,0),1))</f>
        <v>Wafer Saw Dicing</v>
      </c>
      <c r="I136" s="6" t="str">
        <f>IF(INDEX(Proj_Reg!D:D,MATCH($C136,Proj_Reg!$B:$B,0),1)=0,"",INDEX(Proj_Reg!D:D,MATCH($C136,Proj_Reg!$B:$B,0),1))</f>
        <v>XCD</v>
      </c>
      <c r="J136" s="6" t="str">
        <f>INDEX(Proj_Reg!E:E,MATCH($C136,Proj_Reg!$B:$B,0),1)</f>
        <v>Diamond blade Supplier E</v>
      </c>
      <c r="K136" s="21">
        <v>1.3110928000000004E-2</v>
      </c>
      <c r="L136" s="21">
        <v>0</v>
      </c>
      <c r="M136" s="21">
        <v>0.02</v>
      </c>
      <c r="N136" s="21">
        <v>0</v>
      </c>
      <c r="O136" s="11">
        <f>SUM(Table1[[#This Row],[Labor
Saving]:[OH
Saving]])</f>
        <v>3.3110928000000005E-2</v>
      </c>
      <c r="Q136" s="40">
        <f t="shared" si="102"/>
        <v>0</v>
      </c>
      <c r="R136" s="40">
        <f t="shared" si="103"/>
        <v>0</v>
      </c>
      <c r="S136" s="40">
        <f t="shared" si="104"/>
        <v>0</v>
      </c>
      <c r="T136" s="40">
        <f t="shared" si="105"/>
        <v>0</v>
      </c>
      <c r="U136" s="40">
        <f t="shared" si="106"/>
        <v>0</v>
      </c>
      <c r="V136" s="40">
        <f t="shared" si="107"/>
        <v>0</v>
      </c>
      <c r="W136" s="40">
        <f t="shared" si="108"/>
        <v>0</v>
      </c>
      <c r="X136" s="40">
        <f t="shared" si="109"/>
        <v>0</v>
      </c>
      <c r="Y136" s="40">
        <f t="shared" si="110"/>
        <v>0</v>
      </c>
      <c r="Z136" s="40">
        <f t="shared" si="111"/>
        <v>2103</v>
      </c>
      <c r="AA136" s="40">
        <f t="shared" si="112"/>
        <v>1434</v>
      </c>
      <c r="AB136" s="40">
        <f t="shared" si="113"/>
        <v>1255</v>
      </c>
      <c r="AC136" s="37">
        <f>SUM(Table1[[#This Row],[Jan]:[Dec]])</f>
        <v>4792</v>
      </c>
      <c r="AD136" s="15">
        <f t="shared" si="122"/>
        <v>0</v>
      </c>
      <c r="AE136" s="15">
        <f t="shared" si="123"/>
        <v>0</v>
      </c>
      <c r="AF136" s="15">
        <f t="shared" si="124"/>
        <v>0</v>
      </c>
      <c r="AG136" s="15">
        <f t="shared" si="125"/>
        <v>0</v>
      </c>
      <c r="AH136" s="15">
        <f t="shared" si="126"/>
        <v>0</v>
      </c>
      <c r="AI136" s="15">
        <f t="shared" si="127"/>
        <v>0</v>
      </c>
      <c r="AJ136" s="15">
        <f t="shared" si="128"/>
        <v>0</v>
      </c>
      <c r="AK136" s="15">
        <f t="shared" si="129"/>
        <v>0</v>
      </c>
      <c r="AL136" s="15">
        <f t="shared" si="130"/>
        <v>0</v>
      </c>
      <c r="AM136" s="15">
        <f t="shared" si="131"/>
        <v>69.632281584000012</v>
      </c>
      <c r="AN136" s="15">
        <f t="shared" si="132"/>
        <v>47.481070752000008</v>
      </c>
      <c r="AO136" s="15">
        <f t="shared" si="133"/>
        <v>41.554214640000005</v>
      </c>
      <c r="AP136" s="10">
        <f t="shared" si="134"/>
        <v>0</v>
      </c>
      <c r="AQ136" s="10">
        <f t="shared" si="135"/>
        <v>0</v>
      </c>
      <c r="AR136" s="10">
        <f t="shared" si="136"/>
        <v>0</v>
      </c>
      <c r="AS136" s="10">
        <f t="shared" si="137"/>
        <v>158.66756697600002</v>
      </c>
      <c r="AT136" s="10" t="b">
        <f t="shared" si="138"/>
        <v>1</v>
      </c>
      <c r="AU136" s="10">
        <f t="shared" si="114"/>
        <v>62.827566976000021</v>
      </c>
      <c r="AV136" s="10">
        <f t="shared" si="115"/>
        <v>0</v>
      </c>
      <c r="AW136" s="10">
        <f t="shared" si="116"/>
        <v>95.84</v>
      </c>
      <c r="AX136" s="10">
        <f t="shared" si="117"/>
        <v>0</v>
      </c>
      <c r="AY136" s="10">
        <f t="shared" si="139"/>
        <v>158.66756697600002</v>
      </c>
      <c r="AZ136" s="19">
        <f>IFERROR(IF($E136="REC",INDEX(A_Type_Volume!$B:$B,MATCH($D136,A_Type_Volume!$A:$A,0),1),IF($E136="VAM",INDEX(C_Type_Volume!$B:$B,MATCH($D136,C_Type_Volume!$A:$A,0),1),"X")),"")</f>
        <v>3661</v>
      </c>
      <c r="BA136" s="19">
        <f>IFERROR(IF($E136="REC",INDEX(A_Type_Volume!$C:$C,MATCH($D136,A_Type_Volume!$A:$A,0),1),IF($E136="VAM",INDEX(C_Type_Volume!$C:$C,MATCH($D136,C_Type_Volume!$A:$A,0),1),"X")),"")</f>
        <v>0</v>
      </c>
      <c r="BB136" s="19">
        <f>IFERROR(IF($E136="REC",INDEX(A_Type_Volume!$D:$D,MATCH($D136,A_Type_Volume!$A:$A,0),1),IF($E136="VAM",INDEX(C_Type_Volume!$D:$D,MATCH($D136,C_Type_Volume!$A:$A,0),1),"X")),"")</f>
        <v>0</v>
      </c>
      <c r="BC136" s="19">
        <f>IFERROR(IF($E136="REC",INDEX(A_Type_Volume!$E:$E,MATCH($D136,A_Type_Volume!$A:$A,0),1),IF($E136="VAM",INDEX(C_Type_Volume!$E:$E,MATCH($D136,C_Type_Volume!$A:$A,0),1),"X")),"")</f>
        <v>0</v>
      </c>
      <c r="BD136" s="19">
        <f>IFERROR(IF($E136="REC",INDEX(A_Type_Volume!$F:$F,MATCH($D136,A_Type_Volume!$A:$A,0),1),IF($E136="VAM",INDEX(C_Type_Volume!$F:$F,MATCH($D136,C_Type_Volume!$A:$A,0),1),"X")),"")</f>
        <v>0</v>
      </c>
      <c r="BE136" s="19">
        <f>IFERROR(IF($E136="REC",INDEX(A_Type_Volume!$G:$G,MATCH($D136,A_Type_Volume!$A:$A,0),1),IF($E136="VAM",INDEX(C_Type_Volume!$G:$G,MATCH($D136,C_Type_Volume!$A:$A,0),1),"X")),"")</f>
        <v>0</v>
      </c>
      <c r="BF136" s="19">
        <f>IFERROR(IF($E136="REC",INDEX(A_Type_Volume!$H:$H,MATCH($D136,A_Type_Volume!$A:$A,0),1),IF($E136="VAM",INDEX(C_Type_Volume!$H:$H,MATCH($D136,C_Type_Volume!$A:$A,0),1),"X")),"")</f>
        <v>0</v>
      </c>
      <c r="BG136" s="19">
        <f>IFERROR(IF($E136="REC",INDEX(A_Type_Volume!$I:$I,MATCH($D136,A_Type_Volume!$A:$A,0),1),IF($E136="VAM",INDEX(C_Type_Volume!$I:$I,MATCH($D136,C_Type_Volume!$A:$A,0),1),"X")),"")</f>
        <v>0</v>
      </c>
      <c r="BH136" s="19">
        <f>IFERROR(IF($E136="REC",INDEX(A_Type_Volume!$J:$J,MATCH($D136,A_Type_Volume!$A:$A,0),1),IF($E136="VAM",INDEX(C_Type_Volume!$J:$J,MATCH($D136,C_Type_Volume!$A:$A,0),1),"X")),"")</f>
        <v>0</v>
      </c>
      <c r="BI136" s="19">
        <f>IFERROR(IF($E136="REC",INDEX(A_Type_Volume!$K:$K,MATCH($D136,A_Type_Volume!$A:$A,0),1),IF($E136="VAM",INDEX(C_Type_Volume!$K:$K,MATCH($D136,C_Type_Volume!$A:$A,0),1),"X")),"")</f>
        <v>2103</v>
      </c>
      <c r="BJ136" s="19">
        <f>IFERROR(IF($E136="REC",INDEX(A_Type_Volume!$L:$L,MATCH($D136,A_Type_Volume!$A:$A,0),1),IF($E136="VAM",INDEX(C_Type_Volume!$L:$L,MATCH($D136,C_Type_Volume!$A:$A,0),1),"X")),"")</f>
        <v>1434</v>
      </c>
      <c r="BK136" s="19">
        <f>IFERROR(IF($E136="REC",INDEX(A_Type_Volume!M:M,MATCH($D136,A_Type_Volume!$A:$A,0),1),IF($E136="VAM",INDEX(C_Type_Volume!M:M,MATCH($D136,C_Type_Volume!$A:$A,0),1),"X")),"")</f>
        <v>1255</v>
      </c>
      <c r="BL136" s="38">
        <f>SUM(Table1[[#This Row],[Jan_AVF]:[Dec_AVF]])</f>
        <v>8453</v>
      </c>
      <c r="BM136" s="16">
        <f t="shared" si="140"/>
        <v>121.21910740800001</v>
      </c>
      <c r="BN136" s="16">
        <f t="shared" si="141"/>
        <v>0</v>
      </c>
      <c r="BO136" s="16">
        <f t="shared" si="142"/>
        <v>0</v>
      </c>
      <c r="BP136" s="16">
        <f t="shared" si="143"/>
        <v>0</v>
      </c>
      <c r="BQ136" s="16">
        <f t="shared" si="144"/>
        <v>0</v>
      </c>
      <c r="BR136" s="16">
        <f t="shared" si="145"/>
        <v>0</v>
      </c>
      <c r="BS136" s="16">
        <f t="shared" si="146"/>
        <v>0</v>
      </c>
      <c r="BT136" s="16">
        <f t="shared" si="147"/>
        <v>0</v>
      </c>
      <c r="BU136" s="16">
        <f t="shared" si="148"/>
        <v>0</v>
      </c>
      <c r="BV136" s="16">
        <f t="shared" si="149"/>
        <v>69.632281584000012</v>
      </c>
      <c r="BW136" s="16">
        <f t="shared" si="150"/>
        <v>47.481070752000008</v>
      </c>
      <c r="BX136" s="16">
        <f t="shared" si="151"/>
        <v>41.554214640000005</v>
      </c>
      <c r="BY136" s="10">
        <f t="shared" si="118"/>
        <v>121.21910740800001</v>
      </c>
      <c r="BZ136" s="10">
        <f t="shared" si="119"/>
        <v>0</v>
      </c>
      <c r="CA136" s="10">
        <f t="shared" si="120"/>
        <v>0</v>
      </c>
      <c r="CB136" s="10">
        <f t="shared" si="121"/>
        <v>158.66756697600002</v>
      </c>
      <c r="CC136" s="10">
        <f>IFERROR(Table1[[#This Row],[Labor
Saving]]*Table1[[#This Row],[Annual Volume]],"")</f>
        <v>110.82667438400004</v>
      </c>
      <c r="CD136" s="10">
        <f>IFERROR(Table1[[#This Row],[Annual Volume]]*Table1[[#This Row],[Yield
Saving]],"")</f>
        <v>0</v>
      </c>
      <c r="CE136" s="10">
        <f>IFERROR(Table1[[#This Row],[Annual Volume]]*Table1[[#This Row],[Material
Saving]],"")</f>
        <v>169.06</v>
      </c>
      <c r="CF136" s="10">
        <f>IFERROR(Table1[[#This Row],[OH
Saving]]*Table1[[#This Row],[Annual Volume]],"")</f>
        <v>0</v>
      </c>
      <c r="CG136" s="10">
        <f>SUM(Table1[[#This Row],[Labor_ASV]:[OH_ASV]])</f>
        <v>279.88667438400006</v>
      </c>
    </row>
    <row r="137" spans="1:85" x14ac:dyDescent="0.3">
      <c r="A137" t="str">
        <f>Table1[[#This Row],[Project Name]]&amp;Table1[[#This Row],[Part Number]]</f>
        <v>Diamond blade Supplier ER108</v>
      </c>
      <c r="B137" t="str">
        <f>IFERROR(Table1[[#This Row],[Project Number]]&amp;Table1[[#This Row],[Part Number]],"")</f>
        <v>AME25-034R108</v>
      </c>
      <c r="C137" s="22" t="s">
        <v>86</v>
      </c>
      <c r="D137" s="24" t="s">
        <v>346</v>
      </c>
      <c r="E137" s="25" t="s">
        <v>58</v>
      </c>
      <c r="F137" s="6">
        <f>INDEX(Proj_Reg!G:G,MATCH($C137,Proj_Reg!$B:$B,0),1)</f>
        <v>46113</v>
      </c>
      <c r="G137" s="6">
        <f>INDEX(Proj_Reg!H:H,MATCH($C137,Proj_Reg!$B:$B,0),1)</f>
        <v>46447</v>
      </c>
      <c r="H137" s="6" t="str">
        <f>IF(INDEX(Proj_Reg!C:C,MATCH($C137,Proj_Reg!$B:$B,0),1)=0,"",INDEX(Proj_Reg!C:C,MATCH($C137,Proj_Reg!$B:$B,0),1))</f>
        <v>Wafer Saw Dicing</v>
      </c>
      <c r="I137" s="6" t="str">
        <f>IF(INDEX(Proj_Reg!D:D,MATCH($C137,Proj_Reg!$B:$B,0),1)=0,"",INDEX(Proj_Reg!D:D,MATCH($C137,Proj_Reg!$B:$B,0),1))</f>
        <v>XCD</v>
      </c>
      <c r="J137" s="6" t="str">
        <f>INDEX(Proj_Reg!E:E,MATCH($C137,Proj_Reg!$B:$B,0),1)</f>
        <v>Diamond blade Supplier E</v>
      </c>
      <c r="K137" s="21">
        <v>1.3110928000000004E-2</v>
      </c>
      <c r="L137" s="21">
        <v>0</v>
      </c>
      <c r="M137" s="21">
        <v>0.02</v>
      </c>
      <c r="N137" s="21">
        <v>0</v>
      </c>
      <c r="O137" s="11">
        <f>SUM(Table1[[#This Row],[Labor
Saving]:[OH
Saving]])</f>
        <v>3.3110928000000005E-2</v>
      </c>
      <c r="Q137" s="40">
        <f t="shared" si="102"/>
        <v>0</v>
      </c>
      <c r="R137" s="40">
        <f t="shared" si="103"/>
        <v>0</v>
      </c>
      <c r="S137" s="40">
        <f t="shared" si="104"/>
        <v>0</v>
      </c>
      <c r="T137" s="40">
        <f t="shared" si="105"/>
        <v>7044.5999999999995</v>
      </c>
      <c r="U137" s="40">
        <f t="shared" si="106"/>
        <v>27336</v>
      </c>
      <c r="V137" s="40">
        <f t="shared" si="107"/>
        <v>27346</v>
      </c>
      <c r="W137" s="40">
        <f t="shared" si="108"/>
        <v>29928</v>
      </c>
      <c r="X137" s="40">
        <f t="shared" si="109"/>
        <v>10969</v>
      </c>
      <c r="Y137" s="40">
        <f t="shared" si="110"/>
        <v>12797</v>
      </c>
      <c r="Z137" s="40">
        <f t="shared" si="111"/>
        <v>7365</v>
      </c>
      <c r="AA137" s="40">
        <f t="shared" si="112"/>
        <v>5022</v>
      </c>
      <c r="AB137" s="40">
        <f t="shared" si="113"/>
        <v>4394</v>
      </c>
      <c r="AC137" s="37">
        <f>SUM(Table1[[#This Row],[Jan]:[Dec]])</f>
        <v>132201.60000000001</v>
      </c>
      <c r="AD137" s="15">
        <f t="shared" si="122"/>
        <v>0</v>
      </c>
      <c r="AE137" s="15">
        <f t="shared" si="123"/>
        <v>0</v>
      </c>
      <c r="AF137" s="15">
        <f t="shared" si="124"/>
        <v>0</v>
      </c>
      <c r="AG137" s="15">
        <f t="shared" si="125"/>
        <v>233.2532433888</v>
      </c>
      <c r="AH137" s="15">
        <f t="shared" si="126"/>
        <v>905.12032780800018</v>
      </c>
      <c r="AI137" s="15">
        <f t="shared" si="127"/>
        <v>905.45143708800015</v>
      </c>
      <c r="AJ137" s="15">
        <f t="shared" si="128"/>
        <v>990.94385318400009</v>
      </c>
      <c r="AK137" s="15">
        <f t="shared" si="129"/>
        <v>363.19376923200008</v>
      </c>
      <c r="AL137" s="15">
        <f t="shared" si="130"/>
        <v>423.72054561600004</v>
      </c>
      <c r="AM137" s="15">
        <f t="shared" si="131"/>
        <v>243.86198472000004</v>
      </c>
      <c r="AN137" s="15">
        <f t="shared" si="132"/>
        <v>166.28308041600002</v>
      </c>
      <c r="AO137" s="15">
        <f t="shared" si="133"/>
        <v>145.48941763200003</v>
      </c>
      <c r="AP137" s="10">
        <f t="shared" si="134"/>
        <v>0</v>
      </c>
      <c r="AQ137" s="10">
        <f t="shared" si="135"/>
        <v>2043.8250082848003</v>
      </c>
      <c r="AR137" s="10">
        <f t="shared" si="136"/>
        <v>1777.8581680320001</v>
      </c>
      <c r="AS137" s="10">
        <f t="shared" si="137"/>
        <v>555.63448276800011</v>
      </c>
      <c r="AT137" s="10" t="b">
        <f t="shared" si="138"/>
        <v>1</v>
      </c>
      <c r="AU137" s="10">
        <f t="shared" si="114"/>
        <v>1733.2856590848007</v>
      </c>
      <c r="AV137" s="10">
        <f t="shared" si="115"/>
        <v>0</v>
      </c>
      <c r="AW137" s="10">
        <f t="shared" si="116"/>
        <v>2644.0320000000002</v>
      </c>
      <c r="AX137" s="10">
        <f t="shared" si="117"/>
        <v>0</v>
      </c>
      <c r="AY137" s="10">
        <f t="shared" si="139"/>
        <v>4377.3176590848007</v>
      </c>
      <c r="AZ137" s="19">
        <f>IFERROR(IF($E137="REC",INDEX(A_Type_Volume!$B:$B,MATCH($D137,A_Type_Volume!$A:$A,0),1),IF($E137="VAM",INDEX(C_Type_Volume!$B:$B,MATCH($D137,C_Type_Volume!$A:$A,0),1),"X")),"")</f>
        <v>18777</v>
      </c>
      <c r="BA137" s="19">
        <f>IFERROR(IF($E137="REC",INDEX(A_Type_Volume!$C:$C,MATCH($D137,A_Type_Volume!$A:$A,0),1),IF($E137="VAM",INDEX(C_Type_Volume!$C:$C,MATCH($D137,C_Type_Volume!$A:$A,0),1),"X")),"")</f>
        <v>21842</v>
      </c>
      <c r="BB137" s="19">
        <f>IFERROR(IF($E137="REC",INDEX(A_Type_Volume!$D:$D,MATCH($D137,A_Type_Volume!$A:$A,0),1),IF($E137="VAM",INDEX(C_Type_Volume!$D:$D,MATCH($D137,C_Type_Volume!$A:$A,0),1),"X")),"")</f>
        <v>26233</v>
      </c>
      <c r="BC137" s="19">
        <f>IFERROR(IF($E137="REC",INDEX(A_Type_Volume!$E:$E,MATCH($D137,A_Type_Volume!$A:$A,0),1),IF($E137="VAM",INDEX(C_Type_Volume!$E:$E,MATCH($D137,C_Type_Volume!$A:$A,0),1),"X")),"")</f>
        <v>23482</v>
      </c>
      <c r="BD137" s="19">
        <f>IFERROR(IF($E137="REC",INDEX(A_Type_Volume!$F:$F,MATCH($D137,A_Type_Volume!$A:$A,0),1),IF($E137="VAM",INDEX(C_Type_Volume!$F:$F,MATCH($D137,C_Type_Volume!$A:$A,0),1),"X")),"")</f>
        <v>27336</v>
      </c>
      <c r="BE137" s="19">
        <f>IFERROR(IF($E137="REC",INDEX(A_Type_Volume!$G:$G,MATCH($D137,A_Type_Volume!$A:$A,0),1),IF($E137="VAM",INDEX(C_Type_Volume!$G:$G,MATCH($D137,C_Type_Volume!$A:$A,0),1),"X")),"")</f>
        <v>27346</v>
      </c>
      <c r="BF137" s="19">
        <f>IFERROR(IF($E137="REC",INDEX(A_Type_Volume!$H:$H,MATCH($D137,A_Type_Volume!$A:$A,0),1),IF($E137="VAM",INDEX(C_Type_Volume!$H:$H,MATCH($D137,C_Type_Volume!$A:$A,0),1),"X")),"")</f>
        <v>29928</v>
      </c>
      <c r="BG137" s="19">
        <f>IFERROR(IF($E137="REC",INDEX(A_Type_Volume!$I:$I,MATCH($D137,A_Type_Volume!$A:$A,0),1),IF($E137="VAM",INDEX(C_Type_Volume!$I:$I,MATCH($D137,C_Type_Volume!$A:$A,0),1),"X")),"")</f>
        <v>10969</v>
      </c>
      <c r="BH137" s="19">
        <f>IFERROR(IF($E137="REC",INDEX(A_Type_Volume!$J:$J,MATCH($D137,A_Type_Volume!$A:$A,0),1),IF($E137="VAM",INDEX(C_Type_Volume!$J:$J,MATCH($D137,C_Type_Volume!$A:$A,0),1),"X")),"")</f>
        <v>12797</v>
      </c>
      <c r="BI137" s="19">
        <f>IFERROR(IF($E137="REC",INDEX(A_Type_Volume!$K:$K,MATCH($D137,A_Type_Volume!$A:$A,0),1),IF($E137="VAM",INDEX(C_Type_Volume!$K:$K,MATCH($D137,C_Type_Volume!$A:$A,0),1),"X")),"")</f>
        <v>7365</v>
      </c>
      <c r="BJ137" s="19">
        <f>IFERROR(IF($E137="REC",INDEX(A_Type_Volume!$L:$L,MATCH($D137,A_Type_Volume!$A:$A,0),1),IF($E137="VAM",INDEX(C_Type_Volume!$L:$L,MATCH($D137,C_Type_Volume!$A:$A,0),1),"X")),"")</f>
        <v>5022</v>
      </c>
      <c r="BK137" s="19">
        <f>IFERROR(IF($E137="REC",INDEX(A_Type_Volume!M:M,MATCH($D137,A_Type_Volume!$A:$A,0),1),IF($E137="VAM",INDEX(C_Type_Volume!M:M,MATCH($D137,C_Type_Volume!$A:$A,0),1),"X")),"")</f>
        <v>4394</v>
      </c>
      <c r="BL137" s="38">
        <f>SUM(Table1[[#This Row],[Jan_AVF]:[Dec_AVF]])</f>
        <v>215491</v>
      </c>
      <c r="BM137" s="16">
        <f t="shared" si="140"/>
        <v>621.72389505600006</v>
      </c>
      <c r="BN137" s="16">
        <f t="shared" si="141"/>
        <v>723.20888937600012</v>
      </c>
      <c r="BO137" s="16">
        <f t="shared" si="142"/>
        <v>868.59897422400013</v>
      </c>
      <c r="BP137" s="16">
        <f t="shared" si="143"/>
        <v>777.51081129600016</v>
      </c>
      <c r="BQ137" s="16">
        <f t="shared" si="144"/>
        <v>905.12032780800018</v>
      </c>
      <c r="BR137" s="16">
        <f t="shared" si="145"/>
        <v>905.45143708800015</v>
      </c>
      <c r="BS137" s="16">
        <f t="shared" si="146"/>
        <v>990.94385318400009</v>
      </c>
      <c r="BT137" s="16">
        <f t="shared" si="147"/>
        <v>363.19376923200008</v>
      </c>
      <c r="BU137" s="16">
        <f t="shared" si="148"/>
        <v>423.72054561600004</v>
      </c>
      <c r="BV137" s="16">
        <f t="shared" si="149"/>
        <v>243.86198472000004</v>
      </c>
      <c r="BW137" s="16">
        <f t="shared" si="150"/>
        <v>166.28308041600002</v>
      </c>
      <c r="BX137" s="16">
        <f t="shared" si="151"/>
        <v>145.48941763200003</v>
      </c>
      <c r="BY137" s="10">
        <f t="shared" si="118"/>
        <v>2213.5317586560004</v>
      </c>
      <c r="BZ137" s="10">
        <f t="shared" si="119"/>
        <v>2588.0825761920005</v>
      </c>
      <c r="CA137" s="10">
        <f t="shared" si="120"/>
        <v>1777.8581680320001</v>
      </c>
      <c r="CB137" s="10">
        <f t="shared" si="121"/>
        <v>555.63448276800011</v>
      </c>
      <c r="CC137" s="10">
        <f>IFERROR(Table1[[#This Row],[Labor
Saving]]*Table1[[#This Row],[Annual Volume]],"")</f>
        <v>2825.2869856480011</v>
      </c>
      <c r="CD137" s="10">
        <f>IFERROR(Table1[[#This Row],[Annual Volume]]*Table1[[#This Row],[Yield
Saving]],"")</f>
        <v>0</v>
      </c>
      <c r="CE137" s="10">
        <f>IFERROR(Table1[[#This Row],[Annual Volume]]*Table1[[#This Row],[Material
Saving]],"")</f>
        <v>4309.82</v>
      </c>
      <c r="CF137" s="10">
        <f>IFERROR(Table1[[#This Row],[OH
Saving]]*Table1[[#This Row],[Annual Volume]],"")</f>
        <v>0</v>
      </c>
      <c r="CG137" s="10">
        <f>SUM(Table1[[#This Row],[Labor_ASV]:[OH_ASV]])</f>
        <v>7135.1069856480008</v>
      </c>
    </row>
    <row r="138" spans="1:85" x14ac:dyDescent="0.3">
      <c r="A138" t="str">
        <f>Table1[[#This Row],[Project Name]]&amp;Table1[[#This Row],[Part Number]]</f>
        <v>Diamond blade Supplier ER109</v>
      </c>
      <c r="B138" t="str">
        <f>IFERROR(Table1[[#This Row],[Project Number]]&amp;Table1[[#This Row],[Part Number]],"")</f>
        <v>AME25-034R109</v>
      </c>
      <c r="C138" s="22" t="s">
        <v>86</v>
      </c>
      <c r="D138" s="24" t="s">
        <v>347</v>
      </c>
      <c r="E138" s="25" t="s">
        <v>58</v>
      </c>
      <c r="F138" s="6">
        <f>INDEX(Proj_Reg!G:G,MATCH($C138,Proj_Reg!$B:$B,0),1)</f>
        <v>46113</v>
      </c>
      <c r="G138" s="6">
        <f>INDEX(Proj_Reg!H:H,MATCH($C138,Proj_Reg!$B:$B,0),1)</f>
        <v>46447</v>
      </c>
      <c r="H138" s="6" t="str">
        <f>IF(INDEX(Proj_Reg!C:C,MATCH($C138,Proj_Reg!$B:$B,0),1)=0,"",INDEX(Proj_Reg!C:C,MATCH($C138,Proj_Reg!$B:$B,0),1))</f>
        <v>Wafer Saw Dicing</v>
      </c>
      <c r="I138" s="6" t="str">
        <f>IF(INDEX(Proj_Reg!D:D,MATCH($C138,Proj_Reg!$B:$B,0),1)=0,"",INDEX(Proj_Reg!D:D,MATCH($C138,Proj_Reg!$B:$B,0),1))</f>
        <v>XCD</v>
      </c>
      <c r="J138" s="6" t="str">
        <f>INDEX(Proj_Reg!E:E,MATCH($C138,Proj_Reg!$B:$B,0),1)</f>
        <v>Diamond blade Supplier E</v>
      </c>
      <c r="K138" s="21">
        <v>1.3110928000000004E-2</v>
      </c>
      <c r="L138" s="21">
        <v>0</v>
      </c>
      <c r="M138" s="21">
        <v>0.02</v>
      </c>
      <c r="N138" s="21">
        <v>0</v>
      </c>
      <c r="O138" s="11">
        <f>SUM(Table1[[#This Row],[Labor
Saving]:[OH
Saving]])</f>
        <v>3.3110928000000005E-2</v>
      </c>
      <c r="Q138" s="40">
        <f t="shared" si="102"/>
        <v>0</v>
      </c>
      <c r="R138" s="40">
        <f t="shared" si="103"/>
        <v>0</v>
      </c>
      <c r="S138" s="40">
        <f t="shared" si="104"/>
        <v>0</v>
      </c>
      <c r="T138" s="40">
        <f t="shared" si="105"/>
        <v>7078.5</v>
      </c>
      <c r="U138" s="40">
        <f t="shared" si="106"/>
        <v>27487</v>
      </c>
      <c r="V138" s="40">
        <f t="shared" si="107"/>
        <v>27517</v>
      </c>
      <c r="W138" s="40">
        <f t="shared" si="108"/>
        <v>30379</v>
      </c>
      <c r="X138" s="40">
        <f t="shared" si="109"/>
        <v>11135</v>
      </c>
      <c r="Y138" s="40">
        <f t="shared" si="110"/>
        <v>12990</v>
      </c>
      <c r="Z138" s="40">
        <f t="shared" si="111"/>
        <v>7365</v>
      </c>
      <c r="AA138" s="40">
        <f t="shared" si="112"/>
        <v>5022</v>
      </c>
      <c r="AB138" s="40">
        <f t="shared" si="113"/>
        <v>4394</v>
      </c>
      <c r="AC138" s="37">
        <f>SUM(Table1[[#This Row],[Jan]:[Dec]])</f>
        <v>133367.5</v>
      </c>
      <c r="AD138" s="15">
        <f t="shared" si="122"/>
        <v>0</v>
      </c>
      <c r="AE138" s="15">
        <f t="shared" si="123"/>
        <v>0</v>
      </c>
      <c r="AF138" s="15">
        <f t="shared" si="124"/>
        <v>0</v>
      </c>
      <c r="AG138" s="15">
        <f t="shared" si="125"/>
        <v>234.37570384800003</v>
      </c>
      <c r="AH138" s="15">
        <f t="shared" si="126"/>
        <v>910.12007793600014</v>
      </c>
      <c r="AI138" s="15">
        <f t="shared" si="127"/>
        <v>911.11340577600015</v>
      </c>
      <c r="AJ138" s="15">
        <f t="shared" si="128"/>
        <v>1005.8768817120001</v>
      </c>
      <c r="AK138" s="15">
        <f t="shared" si="129"/>
        <v>368.69018328000004</v>
      </c>
      <c r="AL138" s="15">
        <f t="shared" si="130"/>
        <v>430.11095472000005</v>
      </c>
      <c r="AM138" s="15">
        <f t="shared" si="131"/>
        <v>243.86198472000004</v>
      </c>
      <c r="AN138" s="15">
        <f t="shared" si="132"/>
        <v>166.28308041600002</v>
      </c>
      <c r="AO138" s="15">
        <f t="shared" si="133"/>
        <v>145.48941763200003</v>
      </c>
      <c r="AP138" s="10">
        <f t="shared" si="134"/>
        <v>0</v>
      </c>
      <c r="AQ138" s="10">
        <f t="shared" si="135"/>
        <v>2055.6091875600005</v>
      </c>
      <c r="AR138" s="10">
        <f t="shared" si="136"/>
        <v>1804.6780197120004</v>
      </c>
      <c r="AS138" s="10">
        <f t="shared" si="137"/>
        <v>555.63448276800011</v>
      </c>
      <c r="AT138" s="10" t="b">
        <f t="shared" si="138"/>
        <v>1</v>
      </c>
      <c r="AU138" s="10">
        <f t="shared" si="114"/>
        <v>1748.5716900400005</v>
      </c>
      <c r="AV138" s="10">
        <f t="shared" si="115"/>
        <v>0</v>
      </c>
      <c r="AW138" s="10">
        <f t="shared" si="116"/>
        <v>2667.35</v>
      </c>
      <c r="AX138" s="10">
        <f t="shared" si="117"/>
        <v>0</v>
      </c>
      <c r="AY138" s="10">
        <f t="shared" si="139"/>
        <v>4415.9216900400006</v>
      </c>
      <c r="AZ138" s="19">
        <f>IFERROR(IF($E138="REC",INDEX(A_Type_Volume!$B:$B,MATCH($D138,A_Type_Volume!$A:$A,0),1),IF($E138="VAM",INDEX(C_Type_Volume!$B:$B,MATCH($D138,C_Type_Volume!$A:$A,0),1),"X")),"")</f>
        <v>25016</v>
      </c>
      <c r="BA138" s="19">
        <f>IFERROR(IF($E138="REC",INDEX(A_Type_Volume!$C:$C,MATCH($D138,A_Type_Volume!$A:$A,0),1),IF($E138="VAM",INDEX(C_Type_Volume!$C:$C,MATCH($D138,C_Type_Volume!$A:$A,0),1),"X")),"")</f>
        <v>27377</v>
      </c>
      <c r="BB138" s="19">
        <f>IFERROR(IF($E138="REC",INDEX(A_Type_Volume!$D:$D,MATCH($D138,A_Type_Volume!$A:$A,0),1),IF($E138="VAM",INDEX(C_Type_Volume!$D:$D,MATCH($D138,C_Type_Volume!$A:$A,0),1),"X")),"")</f>
        <v>26360</v>
      </c>
      <c r="BC138" s="19">
        <f>IFERROR(IF($E138="REC",INDEX(A_Type_Volume!$E:$E,MATCH($D138,A_Type_Volume!$A:$A,0),1),IF($E138="VAM",INDEX(C_Type_Volume!$E:$E,MATCH($D138,C_Type_Volume!$A:$A,0),1),"X")),"")</f>
        <v>23595</v>
      </c>
      <c r="BD138" s="19">
        <f>IFERROR(IF($E138="REC",INDEX(A_Type_Volume!$F:$F,MATCH($D138,A_Type_Volume!$A:$A,0),1),IF($E138="VAM",INDEX(C_Type_Volume!$F:$F,MATCH($D138,C_Type_Volume!$A:$A,0),1),"X")),"")</f>
        <v>27487</v>
      </c>
      <c r="BE138" s="19">
        <f>IFERROR(IF($E138="REC",INDEX(A_Type_Volume!$G:$G,MATCH($D138,A_Type_Volume!$A:$A,0),1),IF($E138="VAM",INDEX(C_Type_Volume!$G:$G,MATCH($D138,C_Type_Volume!$A:$A,0),1),"X")),"")</f>
        <v>27517</v>
      </c>
      <c r="BF138" s="19">
        <f>IFERROR(IF($E138="REC",INDEX(A_Type_Volume!$H:$H,MATCH($D138,A_Type_Volume!$A:$A,0),1),IF($E138="VAM",INDEX(C_Type_Volume!$H:$H,MATCH($D138,C_Type_Volume!$A:$A,0),1),"X")),"")</f>
        <v>30379</v>
      </c>
      <c r="BG138" s="19">
        <f>IFERROR(IF($E138="REC",INDEX(A_Type_Volume!$I:$I,MATCH($D138,A_Type_Volume!$A:$A,0),1),IF($E138="VAM",INDEX(C_Type_Volume!$I:$I,MATCH($D138,C_Type_Volume!$A:$A,0),1),"X")),"")</f>
        <v>11135</v>
      </c>
      <c r="BH138" s="19">
        <f>IFERROR(IF($E138="REC",INDEX(A_Type_Volume!$J:$J,MATCH($D138,A_Type_Volume!$A:$A,0),1),IF($E138="VAM",INDEX(C_Type_Volume!$J:$J,MATCH($D138,C_Type_Volume!$A:$A,0),1),"X")),"")</f>
        <v>12990</v>
      </c>
      <c r="BI138" s="19">
        <f>IFERROR(IF($E138="REC",INDEX(A_Type_Volume!$K:$K,MATCH($D138,A_Type_Volume!$A:$A,0),1),IF($E138="VAM",INDEX(C_Type_Volume!$K:$K,MATCH($D138,C_Type_Volume!$A:$A,0),1),"X")),"")</f>
        <v>7365</v>
      </c>
      <c r="BJ138" s="19">
        <f>IFERROR(IF($E138="REC",INDEX(A_Type_Volume!$L:$L,MATCH($D138,A_Type_Volume!$A:$A,0),1),IF($E138="VAM",INDEX(C_Type_Volume!$L:$L,MATCH($D138,C_Type_Volume!$A:$A,0),1),"X")),"")</f>
        <v>5022</v>
      </c>
      <c r="BK138" s="19">
        <f>IFERROR(IF($E138="REC",INDEX(A_Type_Volume!M:M,MATCH($D138,A_Type_Volume!$A:$A,0),1),IF($E138="VAM",INDEX(C_Type_Volume!M:M,MATCH($D138,C_Type_Volume!$A:$A,0),1),"X")),"")</f>
        <v>4394</v>
      </c>
      <c r="BL138" s="38">
        <f>SUM(Table1[[#This Row],[Jan_AVF]:[Dec_AVF]])</f>
        <v>228637</v>
      </c>
      <c r="BM138" s="16">
        <f t="shared" si="140"/>
        <v>828.30297484800008</v>
      </c>
      <c r="BN138" s="16">
        <f t="shared" si="141"/>
        <v>906.47787585600008</v>
      </c>
      <c r="BO138" s="16">
        <f t="shared" si="142"/>
        <v>872.80406208000011</v>
      </c>
      <c r="BP138" s="16">
        <f t="shared" si="143"/>
        <v>781.25234616000012</v>
      </c>
      <c r="BQ138" s="16">
        <f t="shared" si="144"/>
        <v>910.12007793600014</v>
      </c>
      <c r="BR138" s="16">
        <f t="shared" si="145"/>
        <v>911.11340577600015</v>
      </c>
      <c r="BS138" s="16">
        <f t="shared" si="146"/>
        <v>1005.8768817120001</v>
      </c>
      <c r="BT138" s="16">
        <f t="shared" si="147"/>
        <v>368.69018328000004</v>
      </c>
      <c r="BU138" s="16">
        <f t="shared" si="148"/>
        <v>430.11095472000005</v>
      </c>
      <c r="BV138" s="16">
        <f t="shared" si="149"/>
        <v>243.86198472000004</v>
      </c>
      <c r="BW138" s="16">
        <f t="shared" si="150"/>
        <v>166.28308041600002</v>
      </c>
      <c r="BX138" s="16">
        <f t="shared" si="151"/>
        <v>145.48941763200003</v>
      </c>
      <c r="BY138" s="10">
        <f t="shared" si="118"/>
        <v>2607.5849127840002</v>
      </c>
      <c r="BZ138" s="10">
        <f t="shared" si="119"/>
        <v>2602.4858298720005</v>
      </c>
      <c r="CA138" s="10">
        <f t="shared" si="120"/>
        <v>1804.6780197120004</v>
      </c>
      <c r="CB138" s="10">
        <f t="shared" si="121"/>
        <v>555.63448276800011</v>
      </c>
      <c r="CC138" s="10">
        <f>IFERROR(Table1[[#This Row],[Labor
Saving]]*Table1[[#This Row],[Annual Volume]],"")</f>
        <v>2997.643245136001</v>
      </c>
      <c r="CD138" s="10">
        <f>IFERROR(Table1[[#This Row],[Annual Volume]]*Table1[[#This Row],[Yield
Saving]],"")</f>
        <v>0</v>
      </c>
      <c r="CE138" s="10">
        <f>IFERROR(Table1[[#This Row],[Annual Volume]]*Table1[[#This Row],[Material
Saving]],"")</f>
        <v>4572.74</v>
      </c>
      <c r="CF138" s="10">
        <f>IFERROR(Table1[[#This Row],[OH
Saving]]*Table1[[#This Row],[Annual Volume]],"")</f>
        <v>0</v>
      </c>
      <c r="CG138" s="10">
        <f>SUM(Table1[[#This Row],[Labor_ASV]:[OH_ASV]])</f>
        <v>7570.3832451360013</v>
      </c>
    </row>
    <row r="139" spans="1:85" x14ac:dyDescent="0.3">
      <c r="A139" t="str">
        <f>Table1[[#This Row],[Project Name]]&amp;Table1[[#This Row],[Part Number]]</f>
        <v>Diamond blade Supplier ER110</v>
      </c>
      <c r="B139" t="str">
        <f>IFERROR(Table1[[#This Row],[Project Number]]&amp;Table1[[#This Row],[Part Number]],"")</f>
        <v>AME25-034R110</v>
      </c>
      <c r="C139" s="22" t="s">
        <v>86</v>
      </c>
      <c r="D139" s="24" t="s">
        <v>348</v>
      </c>
      <c r="E139" s="25" t="s">
        <v>58</v>
      </c>
      <c r="F139" s="6">
        <f>INDEX(Proj_Reg!G:G,MATCH($C139,Proj_Reg!$B:$B,0),1)</f>
        <v>46113</v>
      </c>
      <c r="G139" s="6">
        <f>INDEX(Proj_Reg!H:H,MATCH($C139,Proj_Reg!$B:$B,0),1)</f>
        <v>46447</v>
      </c>
      <c r="H139" s="6" t="str">
        <f>IF(INDEX(Proj_Reg!C:C,MATCH($C139,Proj_Reg!$B:$B,0),1)=0,"",INDEX(Proj_Reg!C:C,MATCH($C139,Proj_Reg!$B:$B,0),1))</f>
        <v>Wafer Saw Dicing</v>
      </c>
      <c r="I139" s="6" t="str">
        <f>IF(INDEX(Proj_Reg!D:D,MATCH($C139,Proj_Reg!$B:$B,0),1)=0,"",INDEX(Proj_Reg!D:D,MATCH($C139,Proj_Reg!$B:$B,0),1))</f>
        <v>XCD</v>
      </c>
      <c r="J139" s="6" t="str">
        <f>INDEX(Proj_Reg!E:E,MATCH($C139,Proj_Reg!$B:$B,0),1)</f>
        <v>Diamond blade Supplier E</v>
      </c>
      <c r="K139" s="21">
        <v>1.3110928000000004E-2</v>
      </c>
      <c r="L139" s="21">
        <v>0</v>
      </c>
      <c r="M139" s="21">
        <v>0.02</v>
      </c>
      <c r="N139" s="21">
        <v>0</v>
      </c>
      <c r="O139" s="11">
        <f>SUM(Table1[[#This Row],[Labor
Saving]:[OH
Saving]])</f>
        <v>3.3110928000000005E-2</v>
      </c>
      <c r="Q139" s="40">
        <f t="shared" si="102"/>
        <v>0</v>
      </c>
      <c r="R139" s="40">
        <f t="shared" si="103"/>
        <v>0</v>
      </c>
      <c r="S139" s="40">
        <f t="shared" si="104"/>
        <v>0</v>
      </c>
      <c r="T139" s="40">
        <f t="shared" si="105"/>
        <v>0</v>
      </c>
      <c r="U139" s="40">
        <f t="shared" si="106"/>
        <v>0</v>
      </c>
      <c r="V139" s="40">
        <f t="shared" si="107"/>
        <v>0</v>
      </c>
      <c r="W139" s="40">
        <f t="shared" si="108"/>
        <v>0</v>
      </c>
      <c r="X139" s="40">
        <f t="shared" si="109"/>
        <v>0</v>
      </c>
      <c r="Y139" s="40">
        <f t="shared" si="110"/>
        <v>0</v>
      </c>
      <c r="Z139" s="40">
        <f t="shared" si="111"/>
        <v>21058</v>
      </c>
      <c r="AA139" s="40">
        <f t="shared" si="112"/>
        <v>14358</v>
      </c>
      <c r="AB139" s="40">
        <f t="shared" si="113"/>
        <v>12564</v>
      </c>
      <c r="AC139" s="37">
        <f>SUM(Table1[[#This Row],[Jan]:[Dec]])</f>
        <v>47980</v>
      </c>
      <c r="AD139" s="15">
        <f t="shared" si="122"/>
        <v>0</v>
      </c>
      <c r="AE139" s="15">
        <f t="shared" si="123"/>
        <v>0</v>
      </c>
      <c r="AF139" s="15">
        <f t="shared" si="124"/>
        <v>0</v>
      </c>
      <c r="AG139" s="15">
        <f t="shared" si="125"/>
        <v>0</v>
      </c>
      <c r="AH139" s="15">
        <f t="shared" si="126"/>
        <v>0</v>
      </c>
      <c r="AI139" s="15">
        <f t="shared" si="127"/>
        <v>0</v>
      </c>
      <c r="AJ139" s="15">
        <f t="shared" si="128"/>
        <v>0</v>
      </c>
      <c r="AK139" s="15">
        <f t="shared" si="129"/>
        <v>0</v>
      </c>
      <c r="AL139" s="15">
        <f t="shared" si="130"/>
        <v>0</v>
      </c>
      <c r="AM139" s="15">
        <f t="shared" si="131"/>
        <v>697.24992182400013</v>
      </c>
      <c r="AN139" s="15">
        <f t="shared" si="132"/>
        <v>475.40670422400007</v>
      </c>
      <c r="AO139" s="15">
        <f t="shared" si="133"/>
        <v>416.00569939200005</v>
      </c>
      <c r="AP139" s="10">
        <f t="shared" si="134"/>
        <v>0</v>
      </c>
      <c r="AQ139" s="10">
        <f t="shared" si="135"/>
        <v>0</v>
      </c>
      <c r="AR139" s="10">
        <f t="shared" si="136"/>
        <v>0</v>
      </c>
      <c r="AS139" s="10">
        <f t="shared" si="137"/>
        <v>1588.6623254400001</v>
      </c>
      <c r="AT139" s="10" t="b">
        <f t="shared" si="138"/>
        <v>1</v>
      </c>
      <c r="AU139" s="10">
        <f t="shared" si="114"/>
        <v>629.06232544000022</v>
      </c>
      <c r="AV139" s="10">
        <f t="shared" si="115"/>
        <v>0</v>
      </c>
      <c r="AW139" s="10">
        <f t="shared" si="116"/>
        <v>959.6</v>
      </c>
      <c r="AX139" s="10">
        <f t="shared" si="117"/>
        <v>0</v>
      </c>
      <c r="AY139" s="10">
        <f t="shared" si="139"/>
        <v>1588.6623254400001</v>
      </c>
      <c r="AZ139" s="19">
        <f>IFERROR(IF($E139="REC",INDEX(A_Type_Volume!$B:$B,MATCH($D139,A_Type_Volume!$A:$A,0),1),IF($E139="VAM",INDEX(C_Type_Volume!$B:$B,MATCH($D139,C_Type_Volume!$A:$A,0),1),"X")),"")</f>
        <v>11311</v>
      </c>
      <c r="BA139" s="19">
        <f>IFERROR(IF($E139="REC",INDEX(A_Type_Volume!$C:$C,MATCH($D139,A_Type_Volume!$A:$A,0),1),IF($E139="VAM",INDEX(C_Type_Volume!$C:$C,MATCH($D139,C_Type_Volume!$A:$A,0),1),"X")),"")</f>
        <v>0</v>
      </c>
      <c r="BB139" s="19">
        <f>IFERROR(IF($E139="REC",INDEX(A_Type_Volume!$D:$D,MATCH($D139,A_Type_Volume!$A:$A,0),1),IF($E139="VAM",INDEX(C_Type_Volume!$D:$D,MATCH($D139,C_Type_Volume!$A:$A,0),1),"X")),"")</f>
        <v>0</v>
      </c>
      <c r="BC139" s="19">
        <f>IFERROR(IF($E139="REC",INDEX(A_Type_Volume!$E:$E,MATCH($D139,A_Type_Volume!$A:$A,0),1),IF($E139="VAM",INDEX(C_Type_Volume!$E:$E,MATCH($D139,C_Type_Volume!$A:$A,0),1),"X")),"")</f>
        <v>0</v>
      </c>
      <c r="BD139" s="19">
        <f>IFERROR(IF($E139="REC",INDEX(A_Type_Volume!$F:$F,MATCH($D139,A_Type_Volume!$A:$A,0),1),IF($E139="VAM",INDEX(C_Type_Volume!$F:$F,MATCH($D139,C_Type_Volume!$A:$A,0),1),"X")),"")</f>
        <v>0</v>
      </c>
      <c r="BE139" s="19">
        <f>IFERROR(IF($E139="REC",INDEX(A_Type_Volume!$G:$G,MATCH($D139,A_Type_Volume!$A:$A,0),1),IF($E139="VAM",INDEX(C_Type_Volume!$G:$G,MATCH($D139,C_Type_Volume!$A:$A,0),1),"X")),"")</f>
        <v>0</v>
      </c>
      <c r="BF139" s="19">
        <f>IFERROR(IF($E139="REC",INDEX(A_Type_Volume!$H:$H,MATCH($D139,A_Type_Volume!$A:$A,0),1),IF($E139="VAM",INDEX(C_Type_Volume!$H:$H,MATCH($D139,C_Type_Volume!$A:$A,0),1),"X")),"")</f>
        <v>0</v>
      </c>
      <c r="BG139" s="19">
        <f>IFERROR(IF($E139="REC",INDEX(A_Type_Volume!$I:$I,MATCH($D139,A_Type_Volume!$A:$A,0),1),IF($E139="VAM",INDEX(C_Type_Volume!$I:$I,MATCH($D139,C_Type_Volume!$A:$A,0),1),"X")),"")</f>
        <v>0</v>
      </c>
      <c r="BH139" s="19">
        <f>IFERROR(IF($E139="REC",INDEX(A_Type_Volume!$J:$J,MATCH($D139,A_Type_Volume!$A:$A,0),1),IF($E139="VAM",INDEX(C_Type_Volume!$J:$J,MATCH($D139,C_Type_Volume!$A:$A,0),1),"X")),"")</f>
        <v>0</v>
      </c>
      <c r="BI139" s="19">
        <f>IFERROR(IF($E139="REC",INDEX(A_Type_Volume!$K:$K,MATCH($D139,A_Type_Volume!$A:$A,0),1),IF($E139="VAM",INDEX(C_Type_Volume!$K:$K,MATCH($D139,C_Type_Volume!$A:$A,0),1),"X")),"")</f>
        <v>21058</v>
      </c>
      <c r="BJ139" s="19">
        <f>IFERROR(IF($E139="REC",INDEX(A_Type_Volume!$L:$L,MATCH($D139,A_Type_Volume!$A:$A,0),1),IF($E139="VAM",INDEX(C_Type_Volume!$L:$L,MATCH($D139,C_Type_Volume!$A:$A,0),1),"X")),"")</f>
        <v>14358</v>
      </c>
      <c r="BK139" s="19">
        <f>IFERROR(IF($E139="REC",INDEX(A_Type_Volume!M:M,MATCH($D139,A_Type_Volume!$A:$A,0),1),IF($E139="VAM",INDEX(C_Type_Volume!M:M,MATCH($D139,C_Type_Volume!$A:$A,0),1),"X")),"")</f>
        <v>12564</v>
      </c>
      <c r="BL139" s="38">
        <f>SUM(Table1[[#This Row],[Jan_AVF]:[Dec_AVF]])</f>
        <v>59291</v>
      </c>
      <c r="BM139" s="16">
        <f t="shared" si="140"/>
        <v>374.51770660800003</v>
      </c>
      <c r="BN139" s="16">
        <f t="shared" si="141"/>
        <v>0</v>
      </c>
      <c r="BO139" s="16">
        <f t="shared" si="142"/>
        <v>0</v>
      </c>
      <c r="BP139" s="16">
        <f t="shared" si="143"/>
        <v>0</v>
      </c>
      <c r="BQ139" s="16">
        <f t="shared" si="144"/>
        <v>0</v>
      </c>
      <c r="BR139" s="16">
        <f t="shared" si="145"/>
        <v>0</v>
      </c>
      <c r="BS139" s="16">
        <f t="shared" si="146"/>
        <v>0</v>
      </c>
      <c r="BT139" s="16">
        <f t="shared" si="147"/>
        <v>0</v>
      </c>
      <c r="BU139" s="16">
        <f t="shared" si="148"/>
        <v>0</v>
      </c>
      <c r="BV139" s="16">
        <f t="shared" si="149"/>
        <v>697.24992182400013</v>
      </c>
      <c r="BW139" s="16">
        <f t="shared" si="150"/>
        <v>475.40670422400007</v>
      </c>
      <c r="BX139" s="16">
        <f t="shared" si="151"/>
        <v>416.00569939200005</v>
      </c>
      <c r="BY139" s="10">
        <f t="shared" si="118"/>
        <v>374.51770660800003</v>
      </c>
      <c r="BZ139" s="10">
        <f t="shared" si="119"/>
        <v>0</v>
      </c>
      <c r="CA139" s="10">
        <f t="shared" si="120"/>
        <v>0</v>
      </c>
      <c r="CB139" s="10">
        <f t="shared" si="121"/>
        <v>1588.6623254400001</v>
      </c>
      <c r="CC139" s="10">
        <f>IFERROR(Table1[[#This Row],[Labor
Saving]]*Table1[[#This Row],[Annual Volume]],"")</f>
        <v>777.36003204800022</v>
      </c>
      <c r="CD139" s="10">
        <f>IFERROR(Table1[[#This Row],[Annual Volume]]*Table1[[#This Row],[Yield
Saving]],"")</f>
        <v>0</v>
      </c>
      <c r="CE139" s="10">
        <f>IFERROR(Table1[[#This Row],[Annual Volume]]*Table1[[#This Row],[Material
Saving]],"")</f>
        <v>1185.82</v>
      </c>
      <c r="CF139" s="10">
        <f>IFERROR(Table1[[#This Row],[OH
Saving]]*Table1[[#This Row],[Annual Volume]],"")</f>
        <v>0</v>
      </c>
      <c r="CG139" s="10">
        <f>SUM(Table1[[#This Row],[Labor_ASV]:[OH_ASV]])</f>
        <v>1963.1800320480002</v>
      </c>
    </row>
    <row r="140" spans="1:85" x14ac:dyDescent="0.3">
      <c r="A140" t="str">
        <f>Table1[[#This Row],[Project Name]]&amp;Table1[[#This Row],[Part Number]]</f>
        <v>Diamond blade Supplier ER111</v>
      </c>
      <c r="B140" t="str">
        <f>IFERROR(Table1[[#This Row],[Project Number]]&amp;Table1[[#This Row],[Part Number]],"")</f>
        <v>AME25-034R111</v>
      </c>
      <c r="C140" s="22" t="s">
        <v>86</v>
      </c>
      <c r="D140" s="24" t="s">
        <v>349</v>
      </c>
      <c r="E140" s="25" t="s">
        <v>58</v>
      </c>
      <c r="F140" s="6">
        <f>INDEX(Proj_Reg!G:G,MATCH($C140,Proj_Reg!$B:$B,0),1)</f>
        <v>46113</v>
      </c>
      <c r="G140" s="6">
        <f>INDEX(Proj_Reg!H:H,MATCH($C140,Proj_Reg!$B:$B,0),1)</f>
        <v>46447</v>
      </c>
      <c r="H140" s="6" t="str">
        <f>IF(INDEX(Proj_Reg!C:C,MATCH($C140,Proj_Reg!$B:$B,0),1)=0,"",INDEX(Proj_Reg!C:C,MATCH($C140,Proj_Reg!$B:$B,0),1))</f>
        <v>Wafer Saw Dicing</v>
      </c>
      <c r="I140" s="6" t="str">
        <f>IF(INDEX(Proj_Reg!D:D,MATCH($C140,Proj_Reg!$B:$B,0),1)=0,"",INDEX(Proj_Reg!D:D,MATCH($C140,Proj_Reg!$B:$B,0),1))</f>
        <v>XCD</v>
      </c>
      <c r="J140" s="6" t="str">
        <f>INDEX(Proj_Reg!E:E,MATCH($C140,Proj_Reg!$B:$B,0),1)</f>
        <v>Diamond blade Supplier E</v>
      </c>
      <c r="K140" s="21">
        <v>1.3110928000000004E-2</v>
      </c>
      <c r="L140" s="21">
        <v>0</v>
      </c>
      <c r="M140" s="21">
        <v>0.02</v>
      </c>
      <c r="N140" s="21">
        <v>0</v>
      </c>
      <c r="O140" s="11">
        <f>SUM(Table1[[#This Row],[Labor
Saving]:[OH
Saving]])</f>
        <v>3.3110928000000005E-2</v>
      </c>
      <c r="Q140" s="40">
        <f t="shared" si="102"/>
        <v>0</v>
      </c>
      <c r="R140" s="40">
        <f t="shared" si="103"/>
        <v>0</v>
      </c>
      <c r="S140" s="40">
        <f t="shared" si="104"/>
        <v>0</v>
      </c>
      <c r="T140" s="40">
        <f t="shared" si="105"/>
        <v>0</v>
      </c>
      <c r="U140" s="40">
        <f t="shared" si="106"/>
        <v>0</v>
      </c>
      <c r="V140" s="40">
        <f t="shared" si="107"/>
        <v>0</v>
      </c>
      <c r="W140" s="40">
        <f t="shared" si="108"/>
        <v>0</v>
      </c>
      <c r="X140" s="40">
        <f t="shared" si="109"/>
        <v>0</v>
      </c>
      <c r="Y140" s="40">
        <f t="shared" si="110"/>
        <v>0</v>
      </c>
      <c r="Z140" s="40">
        <f t="shared" si="111"/>
        <v>21058</v>
      </c>
      <c r="AA140" s="40">
        <f t="shared" si="112"/>
        <v>14358</v>
      </c>
      <c r="AB140" s="40">
        <f t="shared" si="113"/>
        <v>12564</v>
      </c>
      <c r="AC140" s="37">
        <f>SUM(Table1[[#This Row],[Jan]:[Dec]])</f>
        <v>47980</v>
      </c>
      <c r="AD140" s="15">
        <f t="shared" si="122"/>
        <v>0</v>
      </c>
      <c r="AE140" s="15">
        <f t="shared" si="123"/>
        <v>0</v>
      </c>
      <c r="AF140" s="15">
        <f t="shared" si="124"/>
        <v>0</v>
      </c>
      <c r="AG140" s="15">
        <f t="shared" si="125"/>
        <v>0</v>
      </c>
      <c r="AH140" s="15">
        <f t="shared" si="126"/>
        <v>0</v>
      </c>
      <c r="AI140" s="15">
        <f t="shared" si="127"/>
        <v>0</v>
      </c>
      <c r="AJ140" s="15">
        <f t="shared" si="128"/>
        <v>0</v>
      </c>
      <c r="AK140" s="15">
        <f t="shared" si="129"/>
        <v>0</v>
      </c>
      <c r="AL140" s="15">
        <f t="shared" si="130"/>
        <v>0</v>
      </c>
      <c r="AM140" s="15">
        <f t="shared" si="131"/>
        <v>697.24992182400013</v>
      </c>
      <c r="AN140" s="15">
        <f t="shared" si="132"/>
        <v>475.40670422400007</v>
      </c>
      <c r="AO140" s="15">
        <f t="shared" si="133"/>
        <v>416.00569939200005</v>
      </c>
      <c r="AP140" s="10">
        <f t="shared" si="134"/>
        <v>0</v>
      </c>
      <c r="AQ140" s="10">
        <f t="shared" si="135"/>
        <v>0</v>
      </c>
      <c r="AR140" s="10">
        <f t="shared" si="136"/>
        <v>0</v>
      </c>
      <c r="AS140" s="10">
        <f t="shared" si="137"/>
        <v>1588.6623254400001</v>
      </c>
      <c r="AT140" s="10" t="b">
        <f t="shared" si="138"/>
        <v>1</v>
      </c>
      <c r="AU140" s="10">
        <f t="shared" si="114"/>
        <v>629.06232544000022</v>
      </c>
      <c r="AV140" s="10">
        <f t="shared" si="115"/>
        <v>0</v>
      </c>
      <c r="AW140" s="10">
        <f t="shared" si="116"/>
        <v>959.6</v>
      </c>
      <c r="AX140" s="10">
        <f t="shared" si="117"/>
        <v>0</v>
      </c>
      <c r="AY140" s="10">
        <f t="shared" si="139"/>
        <v>1588.6623254400001</v>
      </c>
      <c r="AZ140" s="19">
        <f>IFERROR(IF($E140="REC",INDEX(A_Type_Volume!$B:$B,MATCH($D140,A_Type_Volume!$A:$A,0),1),IF($E140="VAM",INDEX(C_Type_Volume!$B:$B,MATCH($D140,C_Type_Volume!$A:$A,0),1),"X")),"")</f>
        <v>8182</v>
      </c>
      <c r="BA140" s="19">
        <f>IFERROR(IF($E140="REC",INDEX(A_Type_Volume!$C:$C,MATCH($D140,A_Type_Volume!$A:$A,0),1),IF($E140="VAM",INDEX(C_Type_Volume!$C:$C,MATCH($D140,C_Type_Volume!$A:$A,0),1),"X")),"")</f>
        <v>0</v>
      </c>
      <c r="BB140" s="19">
        <f>IFERROR(IF($E140="REC",INDEX(A_Type_Volume!$D:$D,MATCH($D140,A_Type_Volume!$A:$A,0),1),IF($E140="VAM",INDEX(C_Type_Volume!$D:$D,MATCH($D140,C_Type_Volume!$A:$A,0),1),"X")),"")</f>
        <v>0</v>
      </c>
      <c r="BC140" s="19">
        <f>IFERROR(IF($E140="REC",INDEX(A_Type_Volume!$E:$E,MATCH($D140,A_Type_Volume!$A:$A,0),1),IF($E140="VAM",INDEX(C_Type_Volume!$E:$E,MATCH($D140,C_Type_Volume!$A:$A,0),1),"X")),"")</f>
        <v>0</v>
      </c>
      <c r="BD140" s="19">
        <f>IFERROR(IF($E140="REC",INDEX(A_Type_Volume!$F:$F,MATCH($D140,A_Type_Volume!$A:$A,0),1),IF($E140="VAM",INDEX(C_Type_Volume!$F:$F,MATCH($D140,C_Type_Volume!$A:$A,0),1),"X")),"")</f>
        <v>0</v>
      </c>
      <c r="BE140" s="19">
        <f>IFERROR(IF($E140="REC",INDEX(A_Type_Volume!$G:$G,MATCH($D140,A_Type_Volume!$A:$A,0),1),IF($E140="VAM",INDEX(C_Type_Volume!$G:$G,MATCH($D140,C_Type_Volume!$A:$A,0),1),"X")),"")</f>
        <v>0</v>
      </c>
      <c r="BF140" s="19">
        <f>IFERROR(IF($E140="REC",INDEX(A_Type_Volume!$H:$H,MATCH($D140,A_Type_Volume!$A:$A,0),1),IF($E140="VAM",INDEX(C_Type_Volume!$H:$H,MATCH($D140,C_Type_Volume!$A:$A,0),1),"X")),"")</f>
        <v>0</v>
      </c>
      <c r="BG140" s="19">
        <f>IFERROR(IF($E140="REC",INDEX(A_Type_Volume!$I:$I,MATCH($D140,A_Type_Volume!$A:$A,0),1),IF($E140="VAM",INDEX(C_Type_Volume!$I:$I,MATCH($D140,C_Type_Volume!$A:$A,0),1),"X")),"")</f>
        <v>0</v>
      </c>
      <c r="BH140" s="19">
        <f>IFERROR(IF($E140="REC",INDEX(A_Type_Volume!$J:$J,MATCH($D140,A_Type_Volume!$A:$A,0),1),IF($E140="VAM",INDEX(C_Type_Volume!$J:$J,MATCH($D140,C_Type_Volume!$A:$A,0),1),"X")),"")</f>
        <v>0</v>
      </c>
      <c r="BI140" s="19">
        <f>IFERROR(IF($E140="REC",INDEX(A_Type_Volume!$K:$K,MATCH($D140,A_Type_Volume!$A:$A,0),1),IF($E140="VAM",INDEX(C_Type_Volume!$K:$K,MATCH($D140,C_Type_Volume!$A:$A,0),1),"X")),"")</f>
        <v>21058</v>
      </c>
      <c r="BJ140" s="19">
        <f>IFERROR(IF($E140="REC",INDEX(A_Type_Volume!$L:$L,MATCH($D140,A_Type_Volume!$A:$A,0),1),IF($E140="VAM",INDEX(C_Type_Volume!$L:$L,MATCH($D140,C_Type_Volume!$A:$A,0),1),"X")),"")</f>
        <v>14358</v>
      </c>
      <c r="BK140" s="19">
        <f>IFERROR(IF($E140="REC",INDEX(A_Type_Volume!M:M,MATCH($D140,A_Type_Volume!$A:$A,0),1),IF($E140="VAM",INDEX(C_Type_Volume!M:M,MATCH($D140,C_Type_Volume!$A:$A,0),1),"X")),"")</f>
        <v>12564</v>
      </c>
      <c r="BL140" s="38">
        <f>SUM(Table1[[#This Row],[Jan_AVF]:[Dec_AVF]])</f>
        <v>56162</v>
      </c>
      <c r="BM140" s="16">
        <f t="shared" si="140"/>
        <v>270.91361289600002</v>
      </c>
      <c r="BN140" s="16">
        <f t="shared" si="141"/>
        <v>0</v>
      </c>
      <c r="BO140" s="16">
        <f t="shared" si="142"/>
        <v>0</v>
      </c>
      <c r="BP140" s="16">
        <f t="shared" si="143"/>
        <v>0</v>
      </c>
      <c r="BQ140" s="16">
        <f t="shared" si="144"/>
        <v>0</v>
      </c>
      <c r="BR140" s="16">
        <f t="shared" si="145"/>
        <v>0</v>
      </c>
      <c r="BS140" s="16">
        <f t="shared" si="146"/>
        <v>0</v>
      </c>
      <c r="BT140" s="16">
        <f t="shared" si="147"/>
        <v>0</v>
      </c>
      <c r="BU140" s="16">
        <f t="shared" si="148"/>
        <v>0</v>
      </c>
      <c r="BV140" s="16">
        <f t="shared" si="149"/>
        <v>697.24992182400013</v>
      </c>
      <c r="BW140" s="16">
        <f t="shared" si="150"/>
        <v>475.40670422400007</v>
      </c>
      <c r="BX140" s="16">
        <f t="shared" si="151"/>
        <v>416.00569939200005</v>
      </c>
      <c r="BY140" s="10">
        <f t="shared" si="118"/>
        <v>270.91361289600002</v>
      </c>
      <c r="BZ140" s="10">
        <f t="shared" si="119"/>
        <v>0</v>
      </c>
      <c r="CA140" s="10">
        <f t="shared" si="120"/>
        <v>0</v>
      </c>
      <c r="CB140" s="10">
        <f t="shared" si="121"/>
        <v>1588.6623254400001</v>
      </c>
      <c r="CC140" s="10">
        <f>IFERROR(Table1[[#This Row],[Labor
Saving]]*Table1[[#This Row],[Annual Volume]],"")</f>
        <v>736.33593833600025</v>
      </c>
      <c r="CD140" s="10">
        <f>IFERROR(Table1[[#This Row],[Annual Volume]]*Table1[[#This Row],[Yield
Saving]],"")</f>
        <v>0</v>
      </c>
      <c r="CE140" s="10">
        <f>IFERROR(Table1[[#This Row],[Annual Volume]]*Table1[[#This Row],[Material
Saving]],"")</f>
        <v>1123.24</v>
      </c>
      <c r="CF140" s="10">
        <f>IFERROR(Table1[[#This Row],[OH
Saving]]*Table1[[#This Row],[Annual Volume]],"")</f>
        <v>0</v>
      </c>
      <c r="CG140" s="10">
        <f>SUM(Table1[[#This Row],[Labor_ASV]:[OH_ASV]])</f>
        <v>1859.5759383360003</v>
      </c>
    </row>
    <row r="141" spans="1:85" x14ac:dyDescent="0.3">
      <c r="A141" t="str">
        <f>Table1[[#This Row],[Project Name]]&amp;Table1[[#This Row],[Part Number]]</f>
        <v>Diamond blade Supplier ER112</v>
      </c>
      <c r="B141" t="str">
        <f>IFERROR(Table1[[#This Row],[Project Number]]&amp;Table1[[#This Row],[Part Number]],"")</f>
        <v>AME25-034R112</v>
      </c>
      <c r="C141" s="22" t="s">
        <v>86</v>
      </c>
      <c r="D141" s="24" t="s">
        <v>350</v>
      </c>
      <c r="E141" s="25" t="s">
        <v>58</v>
      </c>
      <c r="F141" s="6">
        <f>INDEX(Proj_Reg!G:G,MATCH($C141,Proj_Reg!$B:$B,0),1)</f>
        <v>46113</v>
      </c>
      <c r="G141" s="6">
        <f>INDEX(Proj_Reg!H:H,MATCH($C141,Proj_Reg!$B:$B,0),1)</f>
        <v>46447</v>
      </c>
      <c r="H141" s="6" t="str">
        <f>IF(INDEX(Proj_Reg!C:C,MATCH($C141,Proj_Reg!$B:$B,0),1)=0,"",INDEX(Proj_Reg!C:C,MATCH($C141,Proj_Reg!$B:$B,0),1))</f>
        <v>Wafer Saw Dicing</v>
      </c>
      <c r="I141" s="6" t="str">
        <f>IF(INDEX(Proj_Reg!D:D,MATCH($C141,Proj_Reg!$B:$B,0),1)=0,"",INDEX(Proj_Reg!D:D,MATCH($C141,Proj_Reg!$B:$B,0),1))</f>
        <v>XCD</v>
      </c>
      <c r="J141" s="6" t="str">
        <f>INDEX(Proj_Reg!E:E,MATCH($C141,Proj_Reg!$B:$B,0),1)</f>
        <v>Diamond blade Supplier E</v>
      </c>
      <c r="K141" s="21">
        <v>1.3110928000000004E-2</v>
      </c>
      <c r="L141" s="21">
        <v>0</v>
      </c>
      <c r="M141" s="21">
        <v>0.02</v>
      </c>
      <c r="N141" s="21">
        <v>0</v>
      </c>
      <c r="O141" s="11">
        <f>SUM(Table1[[#This Row],[Labor
Saving]:[OH
Saving]])</f>
        <v>3.3110928000000005E-2</v>
      </c>
      <c r="Q141" s="40">
        <f t="shared" si="102"/>
        <v>0</v>
      </c>
      <c r="R141" s="40">
        <f t="shared" si="103"/>
        <v>0</v>
      </c>
      <c r="S141" s="40">
        <f t="shared" si="104"/>
        <v>0</v>
      </c>
      <c r="T141" s="40">
        <f t="shared" si="105"/>
        <v>4722.3</v>
      </c>
      <c r="U141" s="40">
        <f t="shared" si="106"/>
        <v>0</v>
      </c>
      <c r="V141" s="40">
        <f t="shared" si="107"/>
        <v>0</v>
      </c>
      <c r="W141" s="40">
        <f t="shared" si="108"/>
        <v>0</v>
      </c>
      <c r="X141" s="40">
        <f t="shared" si="109"/>
        <v>0</v>
      </c>
      <c r="Y141" s="40">
        <f t="shared" si="110"/>
        <v>0</v>
      </c>
      <c r="Z141" s="40">
        <f t="shared" si="111"/>
        <v>15787</v>
      </c>
      <c r="AA141" s="40">
        <f t="shared" si="112"/>
        <v>10764</v>
      </c>
      <c r="AB141" s="40">
        <f t="shared" si="113"/>
        <v>9419</v>
      </c>
      <c r="AC141" s="37">
        <f>SUM(Table1[[#This Row],[Jan]:[Dec]])</f>
        <v>40692.300000000003</v>
      </c>
      <c r="AD141" s="15">
        <f t="shared" si="122"/>
        <v>0</v>
      </c>
      <c r="AE141" s="15">
        <f t="shared" si="123"/>
        <v>0</v>
      </c>
      <c r="AF141" s="15">
        <f t="shared" si="124"/>
        <v>0</v>
      </c>
      <c r="AG141" s="15">
        <f t="shared" si="125"/>
        <v>156.35973529440002</v>
      </c>
      <c r="AH141" s="15">
        <f t="shared" si="126"/>
        <v>0</v>
      </c>
      <c r="AI141" s="15">
        <f t="shared" si="127"/>
        <v>0</v>
      </c>
      <c r="AJ141" s="15">
        <f t="shared" si="128"/>
        <v>0</v>
      </c>
      <c r="AK141" s="15">
        <f t="shared" si="129"/>
        <v>0</v>
      </c>
      <c r="AL141" s="15">
        <f t="shared" si="130"/>
        <v>0</v>
      </c>
      <c r="AM141" s="15">
        <f t="shared" si="131"/>
        <v>522.72222033600008</v>
      </c>
      <c r="AN141" s="15">
        <f t="shared" si="132"/>
        <v>356.40602899200007</v>
      </c>
      <c r="AO141" s="15">
        <f t="shared" si="133"/>
        <v>311.87183083200006</v>
      </c>
      <c r="AP141" s="10">
        <f t="shared" si="134"/>
        <v>0</v>
      </c>
      <c r="AQ141" s="10">
        <f t="shared" si="135"/>
        <v>156.35973529440002</v>
      </c>
      <c r="AR141" s="10">
        <f t="shared" si="136"/>
        <v>0</v>
      </c>
      <c r="AS141" s="10">
        <f t="shared" si="137"/>
        <v>1191.0000801600002</v>
      </c>
      <c r="AT141" s="10" t="b">
        <f t="shared" si="138"/>
        <v>1</v>
      </c>
      <c r="AU141" s="10">
        <f t="shared" si="114"/>
        <v>533.51381545440017</v>
      </c>
      <c r="AV141" s="10">
        <f t="shared" si="115"/>
        <v>0</v>
      </c>
      <c r="AW141" s="10">
        <f t="shared" si="116"/>
        <v>813.84600000000012</v>
      </c>
      <c r="AX141" s="10">
        <f t="shared" si="117"/>
        <v>0</v>
      </c>
      <c r="AY141" s="10">
        <f t="shared" si="139"/>
        <v>1347.3598154544002</v>
      </c>
      <c r="AZ141" s="19">
        <f>IFERROR(IF($E141="REC",INDEX(A_Type_Volume!$B:$B,MATCH($D141,A_Type_Volume!$A:$A,0),1),IF($E141="VAM",INDEX(C_Type_Volume!$B:$B,MATCH($D141,C_Type_Volume!$A:$A,0),1),"X")),"")</f>
        <v>111642</v>
      </c>
      <c r="BA141" s="19">
        <f>IFERROR(IF($E141="REC",INDEX(A_Type_Volume!$C:$C,MATCH($D141,A_Type_Volume!$A:$A,0),1),IF($E141="VAM",INDEX(C_Type_Volume!$C:$C,MATCH($D141,C_Type_Volume!$A:$A,0),1),"X")),"")</f>
        <v>93889</v>
      </c>
      <c r="BB141" s="19">
        <f>IFERROR(IF($E141="REC",INDEX(A_Type_Volume!$D:$D,MATCH($D141,A_Type_Volume!$A:$A,0),1),IF($E141="VAM",INDEX(C_Type_Volume!$D:$D,MATCH($D141,C_Type_Volume!$A:$A,0),1),"X")),"")</f>
        <v>50607</v>
      </c>
      <c r="BC141" s="19">
        <f>IFERROR(IF($E141="REC",INDEX(A_Type_Volume!$E:$E,MATCH($D141,A_Type_Volume!$A:$A,0),1),IF($E141="VAM",INDEX(C_Type_Volume!$E:$E,MATCH($D141,C_Type_Volume!$A:$A,0),1),"X")),"")</f>
        <v>15741</v>
      </c>
      <c r="BD141" s="19">
        <f>IFERROR(IF($E141="REC",INDEX(A_Type_Volume!$F:$F,MATCH($D141,A_Type_Volume!$A:$A,0),1),IF($E141="VAM",INDEX(C_Type_Volume!$F:$F,MATCH($D141,C_Type_Volume!$A:$A,0),1),"X")),"")</f>
        <v>0</v>
      </c>
      <c r="BE141" s="19">
        <f>IFERROR(IF($E141="REC",INDEX(A_Type_Volume!$G:$G,MATCH($D141,A_Type_Volume!$A:$A,0),1),IF($E141="VAM",INDEX(C_Type_Volume!$G:$G,MATCH($D141,C_Type_Volume!$A:$A,0),1),"X")),"")</f>
        <v>0</v>
      </c>
      <c r="BF141" s="19">
        <f>IFERROR(IF($E141="REC",INDEX(A_Type_Volume!$H:$H,MATCH($D141,A_Type_Volume!$A:$A,0),1),IF($E141="VAM",INDEX(C_Type_Volume!$H:$H,MATCH($D141,C_Type_Volume!$A:$A,0),1),"X")),"")</f>
        <v>0</v>
      </c>
      <c r="BG141" s="19">
        <f>IFERROR(IF($E141="REC",INDEX(A_Type_Volume!$I:$I,MATCH($D141,A_Type_Volume!$A:$A,0),1),IF($E141="VAM",INDEX(C_Type_Volume!$I:$I,MATCH($D141,C_Type_Volume!$A:$A,0),1),"X")),"")</f>
        <v>0</v>
      </c>
      <c r="BH141" s="19">
        <f>IFERROR(IF($E141="REC",INDEX(A_Type_Volume!$J:$J,MATCH($D141,A_Type_Volume!$A:$A,0),1),IF($E141="VAM",INDEX(C_Type_Volume!$J:$J,MATCH($D141,C_Type_Volume!$A:$A,0),1),"X")),"")</f>
        <v>0</v>
      </c>
      <c r="BI141" s="19">
        <f>IFERROR(IF($E141="REC",INDEX(A_Type_Volume!$K:$K,MATCH($D141,A_Type_Volume!$A:$A,0),1),IF($E141="VAM",INDEX(C_Type_Volume!$K:$K,MATCH($D141,C_Type_Volume!$A:$A,0),1),"X")),"")</f>
        <v>15787</v>
      </c>
      <c r="BJ141" s="19">
        <f>IFERROR(IF($E141="REC",INDEX(A_Type_Volume!$L:$L,MATCH($D141,A_Type_Volume!$A:$A,0),1),IF($E141="VAM",INDEX(C_Type_Volume!$L:$L,MATCH($D141,C_Type_Volume!$A:$A,0),1),"X")),"")</f>
        <v>10764</v>
      </c>
      <c r="BK141" s="19">
        <f>IFERROR(IF($E141="REC",INDEX(A_Type_Volume!M:M,MATCH($D141,A_Type_Volume!$A:$A,0),1),IF($E141="VAM",INDEX(C_Type_Volume!M:M,MATCH($D141,C_Type_Volume!$A:$A,0),1),"X")),"")</f>
        <v>9419</v>
      </c>
      <c r="BL141" s="38">
        <f>SUM(Table1[[#This Row],[Jan_AVF]:[Dec_AVF]])</f>
        <v>307849</v>
      </c>
      <c r="BM141" s="16">
        <f t="shared" si="140"/>
        <v>3696.5702237760006</v>
      </c>
      <c r="BN141" s="16">
        <f t="shared" si="141"/>
        <v>3108.7519189920004</v>
      </c>
      <c r="BO141" s="16">
        <f t="shared" si="142"/>
        <v>1675.6447332960001</v>
      </c>
      <c r="BP141" s="16">
        <f t="shared" si="143"/>
        <v>521.19911764800008</v>
      </c>
      <c r="BQ141" s="16">
        <f t="shared" si="144"/>
        <v>0</v>
      </c>
      <c r="BR141" s="16">
        <f t="shared" si="145"/>
        <v>0</v>
      </c>
      <c r="BS141" s="16">
        <f t="shared" si="146"/>
        <v>0</v>
      </c>
      <c r="BT141" s="16">
        <f t="shared" si="147"/>
        <v>0</v>
      </c>
      <c r="BU141" s="16">
        <f t="shared" si="148"/>
        <v>0</v>
      </c>
      <c r="BV141" s="16">
        <f t="shared" si="149"/>
        <v>522.72222033600008</v>
      </c>
      <c r="BW141" s="16">
        <f t="shared" si="150"/>
        <v>356.40602899200007</v>
      </c>
      <c r="BX141" s="16">
        <f t="shared" si="151"/>
        <v>311.87183083200006</v>
      </c>
      <c r="BY141" s="10">
        <f t="shared" si="118"/>
        <v>8480.9668760640016</v>
      </c>
      <c r="BZ141" s="10">
        <f t="shared" si="119"/>
        <v>521.19911764800008</v>
      </c>
      <c r="CA141" s="10">
        <f t="shared" si="120"/>
        <v>0</v>
      </c>
      <c r="CB141" s="10">
        <f t="shared" si="121"/>
        <v>1191.0000801600002</v>
      </c>
      <c r="CC141" s="10">
        <f>IFERROR(Table1[[#This Row],[Labor
Saving]]*Table1[[#This Row],[Annual Volume]],"")</f>
        <v>4036.1860738720015</v>
      </c>
      <c r="CD141" s="10">
        <f>IFERROR(Table1[[#This Row],[Annual Volume]]*Table1[[#This Row],[Yield
Saving]],"")</f>
        <v>0</v>
      </c>
      <c r="CE141" s="10">
        <f>IFERROR(Table1[[#This Row],[Annual Volume]]*Table1[[#This Row],[Material
Saving]],"")</f>
        <v>6156.9800000000005</v>
      </c>
      <c r="CF141" s="10">
        <f>IFERROR(Table1[[#This Row],[OH
Saving]]*Table1[[#This Row],[Annual Volume]],"")</f>
        <v>0</v>
      </c>
      <c r="CG141" s="10">
        <f>SUM(Table1[[#This Row],[Labor_ASV]:[OH_ASV]])</f>
        <v>10193.166073872002</v>
      </c>
    </row>
    <row r="142" spans="1:85" x14ac:dyDescent="0.3">
      <c r="A142" t="str">
        <f>Table1[[#This Row],[Project Name]]&amp;Table1[[#This Row],[Part Number]]</f>
        <v>Diamond blade Supplier ER113</v>
      </c>
      <c r="B142" t="str">
        <f>IFERROR(Table1[[#This Row],[Project Number]]&amp;Table1[[#This Row],[Part Number]],"")</f>
        <v>AME25-034R113</v>
      </c>
      <c r="C142" s="22" t="s">
        <v>86</v>
      </c>
      <c r="D142" s="24" t="s">
        <v>351</v>
      </c>
      <c r="E142" s="25" t="s">
        <v>58</v>
      </c>
      <c r="F142" s="6">
        <f>INDEX(Proj_Reg!G:G,MATCH($C142,Proj_Reg!$B:$B,0),1)</f>
        <v>46113</v>
      </c>
      <c r="G142" s="6">
        <f>INDEX(Proj_Reg!H:H,MATCH($C142,Proj_Reg!$B:$B,0),1)</f>
        <v>46447</v>
      </c>
      <c r="H142" s="6" t="str">
        <f>IF(INDEX(Proj_Reg!C:C,MATCH($C142,Proj_Reg!$B:$B,0),1)=0,"",INDEX(Proj_Reg!C:C,MATCH($C142,Proj_Reg!$B:$B,0),1))</f>
        <v>Wafer Saw Dicing</v>
      </c>
      <c r="I142" s="6" t="str">
        <f>IF(INDEX(Proj_Reg!D:D,MATCH($C142,Proj_Reg!$B:$B,0),1)=0,"",INDEX(Proj_Reg!D:D,MATCH($C142,Proj_Reg!$B:$B,0),1))</f>
        <v>XCD</v>
      </c>
      <c r="J142" s="6" t="str">
        <f>INDEX(Proj_Reg!E:E,MATCH($C142,Proj_Reg!$B:$B,0),1)</f>
        <v>Diamond blade Supplier E</v>
      </c>
      <c r="K142" s="21">
        <v>1.3110928000000004E-2</v>
      </c>
      <c r="L142" s="21">
        <v>0</v>
      </c>
      <c r="M142" s="21">
        <v>0.02</v>
      </c>
      <c r="N142" s="21">
        <v>0</v>
      </c>
      <c r="O142" s="11">
        <f>SUM(Table1[[#This Row],[Labor
Saving]:[OH
Saving]])</f>
        <v>3.3110928000000005E-2</v>
      </c>
      <c r="Q142" s="40">
        <f t="shared" si="102"/>
        <v>0</v>
      </c>
      <c r="R142" s="40">
        <f t="shared" si="103"/>
        <v>0</v>
      </c>
      <c r="S142" s="40">
        <f t="shared" si="104"/>
        <v>0</v>
      </c>
      <c r="T142" s="40">
        <f t="shared" si="105"/>
        <v>1090.8</v>
      </c>
      <c r="U142" s="40">
        <f t="shared" si="106"/>
        <v>0</v>
      </c>
      <c r="V142" s="40">
        <f t="shared" si="107"/>
        <v>0</v>
      </c>
      <c r="W142" s="40">
        <f t="shared" si="108"/>
        <v>0</v>
      </c>
      <c r="X142" s="40">
        <f t="shared" si="109"/>
        <v>0</v>
      </c>
      <c r="Y142" s="40">
        <f t="shared" si="110"/>
        <v>0</v>
      </c>
      <c r="Z142" s="40">
        <f t="shared" si="111"/>
        <v>15787</v>
      </c>
      <c r="AA142" s="40">
        <f t="shared" si="112"/>
        <v>10764</v>
      </c>
      <c r="AB142" s="40">
        <f t="shared" si="113"/>
        <v>9419</v>
      </c>
      <c r="AC142" s="37">
        <f>SUM(Table1[[#This Row],[Jan]:[Dec]])</f>
        <v>37060.800000000003</v>
      </c>
      <c r="AD142" s="15">
        <f t="shared" si="122"/>
        <v>0</v>
      </c>
      <c r="AE142" s="15">
        <f t="shared" si="123"/>
        <v>0</v>
      </c>
      <c r="AF142" s="15">
        <f t="shared" si="124"/>
        <v>0</v>
      </c>
      <c r="AG142" s="15">
        <f t="shared" si="125"/>
        <v>36.117400262400004</v>
      </c>
      <c r="AH142" s="15">
        <f t="shared" si="126"/>
        <v>0</v>
      </c>
      <c r="AI142" s="15">
        <f t="shared" si="127"/>
        <v>0</v>
      </c>
      <c r="AJ142" s="15">
        <f t="shared" si="128"/>
        <v>0</v>
      </c>
      <c r="AK142" s="15">
        <f t="shared" si="129"/>
        <v>0</v>
      </c>
      <c r="AL142" s="15">
        <f t="shared" si="130"/>
        <v>0</v>
      </c>
      <c r="AM142" s="15">
        <f t="shared" si="131"/>
        <v>522.72222033600008</v>
      </c>
      <c r="AN142" s="15">
        <f t="shared" si="132"/>
        <v>356.40602899200007</v>
      </c>
      <c r="AO142" s="15">
        <f t="shared" si="133"/>
        <v>311.87183083200006</v>
      </c>
      <c r="AP142" s="10">
        <f t="shared" si="134"/>
        <v>0</v>
      </c>
      <c r="AQ142" s="10">
        <f t="shared" si="135"/>
        <v>36.117400262400004</v>
      </c>
      <c r="AR142" s="10">
        <f t="shared" si="136"/>
        <v>0</v>
      </c>
      <c r="AS142" s="10">
        <f t="shared" si="137"/>
        <v>1191.0000801600002</v>
      </c>
      <c r="AT142" s="10" t="b">
        <f t="shared" si="138"/>
        <v>1</v>
      </c>
      <c r="AU142" s="10">
        <f t="shared" si="114"/>
        <v>485.9014804224002</v>
      </c>
      <c r="AV142" s="10">
        <f t="shared" si="115"/>
        <v>0</v>
      </c>
      <c r="AW142" s="10">
        <f t="shared" si="116"/>
        <v>741.21600000000012</v>
      </c>
      <c r="AX142" s="10">
        <f t="shared" si="117"/>
        <v>0</v>
      </c>
      <c r="AY142" s="10">
        <f t="shared" si="139"/>
        <v>1227.1174804224004</v>
      </c>
      <c r="AZ142" s="19">
        <f>IFERROR(IF($E142="REC",INDEX(A_Type_Volume!$B:$B,MATCH($D142,A_Type_Volume!$A:$A,0),1),IF($E142="VAM",INDEX(C_Type_Volume!$B:$B,MATCH($D142,C_Type_Volume!$A:$A,0),1),"X")),"")</f>
        <v>127330</v>
      </c>
      <c r="BA142" s="19">
        <f>IFERROR(IF($E142="REC",INDEX(A_Type_Volume!$C:$C,MATCH($D142,A_Type_Volume!$A:$A,0),1),IF($E142="VAM",INDEX(C_Type_Volume!$C:$C,MATCH($D142,C_Type_Volume!$A:$A,0),1),"X")),"")</f>
        <v>18480</v>
      </c>
      <c r="BB142" s="19">
        <f>IFERROR(IF($E142="REC",INDEX(A_Type_Volume!$D:$D,MATCH($D142,A_Type_Volume!$A:$A,0),1),IF($E142="VAM",INDEX(C_Type_Volume!$D:$D,MATCH($D142,C_Type_Volume!$A:$A,0),1),"X")),"")</f>
        <v>0</v>
      </c>
      <c r="BC142" s="19">
        <f>IFERROR(IF($E142="REC",INDEX(A_Type_Volume!$E:$E,MATCH($D142,A_Type_Volume!$A:$A,0),1),IF($E142="VAM",INDEX(C_Type_Volume!$E:$E,MATCH($D142,C_Type_Volume!$A:$A,0),1),"X")),"")</f>
        <v>3636</v>
      </c>
      <c r="BD142" s="19">
        <f>IFERROR(IF($E142="REC",INDEX(A_Type_Volume!$F:$F,MATCH($D142,A_Type_Volume!$A:$A,0),1),IF($E142="VAM",INDEX(C_Type_Volume!$F:$F,MATCH($D142,C_Type_Volume!$A:$A,0),1),"X")),"")</f>
        <v>0</v>
      </c>
      <c r="BE142" s="19">
        <f>IFERROR(IF($E142="REC",INDEX(A_Type_Volume!$G:$G,MATCH($D142,A_Type_Volume!$A:$A,0),1),IF($E142="VAM",INDEX(C_Type_Volume!$G:$G,MATCH($D142,C_Type_Volume!$A:$A,0),1),"X")),"")</f>
        <v>0</v>
      </c>
      <c r="BF142" s="19">
        <f>IFERROR(IF($E142="REC",INDEX(A_Type_Volume!$H:$H,MATCH($D142,A_Type_Volume!$A:$A,0),1),IF($E142="VAM",INDEX(C_Type_Volume!$H:$H,MATCH($D142,C_Type_Volume!$A:$A,0),1),"X")),"")</f>
        <v>0</v>
      </c>
      <c r="BG142" s="19">
        <f>IFERROR(IF($E142="REC",INDEX(A_Type_Volume!$I:$I,MATCH($D142,A_Type_Volume!$A:$A,0),1),IF($E142="VAM",INDEX(C_Type_Volume!$I:$I,MATCH($D142,C_Type_Volume!$A:$A,0),1),"X")),"")</f>
        <v>0</v>
      </c>
      <c r="BH142" s="19">
        <f>IFERROR(IF($E142="REC",INDEX(A_Type_Volume!$J:$J,MATCH($D142,A_Type_Volume!$A:$A,0),1),IF($E142="VAM",INDEX(C_Type_Volume!$J:$J,MATCH($D142,C_Type_Volume!$A:$A,0),1),"X")),"")</f>
        <v>0</v>
      </c>
      <c r="BI142" s="19">
        <f>IFERROR(IF($E142="REC",INDEX(A_Type_Volume!$K:$K,MATCH($D142,A_Type_Volume!$A:$A,0),1),IF($E142="VAM",INDEX(C_Type_Volume!$K:$K,MATCH($D142,C_Type_Volume!$A:$A,0),1),"X")),"")</f>
        <v>15787</v>
      </c>
      <c r="BJ142" s="19">
        <f>IFERROR(IF($E142="REC",INDEX(A_Type_Volume!$L:$L,MATCH($D142,A_Type_Volume!$A:$A,0),1),IF($E142="VAM",INDEX(C_Type_Volume!$L:$L,MATCH($D142,C_Type_Volume!$A:$A,0),1),"X")),"")</f>
        <v>10764</v>
      </c>
      <c r="BK142" s="19">
        <f>IFERROR(IF($E142="REC",INDEX(A_Type_Volume!M:M,MATCH($D142,A_Type_Volume!$A:$A,0),1),IF($E142="VAM",INDEX(C_Type_Volume!M:M,MATCH($D142,C_Type_Volume!$A:$A,0),1),"X")),"")</f>
        <v>9419</v>
      </c>
      <c r="BL142" s="38">
        <f>SUM(Table1[[#This Row],[Jan_AVF]:[Dec_AVF]])</f>
        <v>185416</v>
      </c>
      <c r="BM142" s="16">
        <f t="shared" si="140"/>
        <v>4216.0144622400003</v>
      </c>
      <c r="BN142" s="16">
        <f t="shared" si="141"/>
        <v>611.88994944000012</v>
      </c>
      <c r="BO142" s="16">
        <f t="shared" si="142"/>
        <v>0</v>
      </c>
      <c r="BP142" s="16">
        <f t="shared" si="143"/>
        <v>120.39133420800002</v>
      </c>
      <c r="BQ142" s="16">
        <f t="shared" si="144"/>
        <v>0</v>
      </c>
      <c r="BR142" s="16">
        <f t="shared" si="145"/>
        <v>0</v>
      </c>
      <c r="BS142" s="16">
        <f t="shared" si="146"/>
        <v>0</v>
      </c>
      <c r="BT142" s="16">
        <f t="shared" si="147"/>
        <v>0</v>
      </c>
      <c r="BU142" s="16">
        <f t="shared" si="148"/>
        <v>0</v>
      </c>
      <c r="BV142" s="16">
        <f t="shared" si="149"/>
        <v>522.72222033600008</v>
      </c>
      <c r="BW142" s="16">
        <f t="shared" si="150"/>
        <v>356.40602899200007</v>
      </c>
      <c r="BX142" s="16">
        <f t="shared" si="151"/>
        <v>311.87183083200006</v>
      </c>
      <c r="BY142" s="10">
        <f t="shared" si="118"/>
        <v>4827.9044116800005</v>
      </c>
      <c r="BZ142" s="10">
        <f t="shared" si="119"/>
        <v>120.39133420800002</v>
      </c>
      <c r="CA142" s="10">
        <f t="shared" si="120"/>
        <v>0</v>
      </c>
      <c r="CB142" s="10">
        <f t="shared" si="121"/>
        <v>1191.0000801600002</v>
      </c>
      <c r="CC142" s="10">
        <f>IFERROR(Table1[[#This Row],[Labor
Saving]]*Table1[[#This Row],[Annual Volume]],"")</f>
        <v>2430.9758260480007</v>
      </c>
      <c r="CD142" s="10">
        <f>IFERROR(Table1[[#This Row],[Annual Volume]]*Table1[[#This Row],[Yield
Saving]],"")</f>
        <v>0</v>
      </c>
      <c r="CE142" s="10">
        <f>IFERROR(Table1[[#This Row],[Annual Volume]]*Table1[[#This Row],[Material
Saving]],"")</f>
        <v>3708.32</v>
      </c>
      <c r="CF142" s="10">
        <f>IFERROR(Table1[[#This Row],[OH
Saving]]*Table1[[#This Row],[Annual Volume]],"")</f>
        <v>0</v>
      </c>
      <c r="CG142" s="10">
        <f>SUM(Table1[[#This Row],[Labor_ASV]:[OH_ASV]])</f>
        <v>6139.2958260480009</v>
      </c>
    </row>
    <row r="143" spans="1:85" x14ac:dyDescent="0.3">
      <c r="A143" t="str">
        <f>Table1[[#This Row],[Project Name]]&amp;Table1[[#This Row],[Part Number]]</f>
        <v>Diamond blade Supplier ER114</v>
      </c>
      <c r="B143" t="str">
        <f>IFERROR(Table1[[#This Row],[Project Number]]&amp;Table1[[#This Row],[Part Number]],"")</f>
        <v>AME25-034R114</v>
      </c>
      <c r="C143" s="22" t="s">
        <v>86</v>
      </c>
      <c r="D143" s="24" t="s">
        <v>352</v>
      </c>
      <c r="E143" s="25" t="s">
        <v>58</v>
      </c>
      <c r="F143" s="6">
        <f>INDEX(Proj_Reg!G:G,MATCH($C143,Proj_Reg!$B:$B,0),1)</f>
        <v>46113</v>
      </c>
      <c r="G143" s="6">
        <f>INDEX(Proj_Reg!H:H,MATCH($C143,Proj_Reg!$B:$B,0),1)</f>
        <v>46447</v>
      </c>
      <c r="H143" s="6" t="str">
        <f>IF(INDEX(Proj_Reg!C:C,MATCH($C143,Proj_Reg!$B:$B,0),1)=0,"",INDEX(Proj_Reg!C:C,MATCH($C143,Proj_Reg!$B:$B,0),1))</f>
        <v>Wafer Saw Dicing</v>
      </c>
      <c r="I143" s="6" t="str">
        <f>IF(INDEX(Proj_Reg!D:D,MATCH($C143,Proj_Reg!$B:$B,0),1)=0,"",INDEX(Proj_Reg!D:D,MATCH($C143,Proj_Reg!$B:$B,0),1))</f>
        <v>XCD</v>
      </c>
      <c r="J143" s="6" t="str">
        <f>INDEX(Proj_Reg!E:E,MATCH($C143,Proj_Reg!$B:$B,0),1)</f>
        <v>Diamond blade Supplier E</v>
      </c>
      <c r="K143" s="21">
        <v>1.3110928000000004E-2</v>
      </c>
      <c r="L143" s="21">
        <v>0</v>
      </c>
      <c r="M143" s="21">
        <v>0.02</v>
      </c>
      <c r="N143" s="21">
        <v>0</v>
      </c>
      <c r="O143" s="11">
        <f>SUM(Table1[[#This Row],[Labor
Saving]:[OH
Saving]])</f>
        <v>3.3110928000000005E-2</v>
      </c>
      <c r="Q143" s="40">
        <f t="shared" si="102"/>
        <v>0</v>
      </c>
      <c r="R143" s="40">
        <f t="shared" si="103"/>
        <v>0</v>
      </c>
      <c r="S143" s="40">
        <f t="shared" si="104"/>
        <v>0</v>
      </c>
      <c r="T143" s="40">
        <f t="shared" si="105"/>
        <v>484.79999999999995</v>
      </c>
      <c r="U143" s="40">
        <f t="shared" si="106"/>
        <v>0</v>
      </c>
      <c r="V143" s="40">
        <f t="shared" si="107"/>
        <v>0</v>
      </c>
      <c r="W143" s="40">
        <f t="shared" si="108"/>
        <v>0</v>
      </c>
      <c r="X143" s="40">
        <f t="shared" si="109"/>
        <v>0</v>
      </c>
      <c r="Y143" s="40">
        <f t="shared" si="110"/>
        <v>0</v>
      </c>
      <c r="Z143" s="40">
        <f t="shared" si="111"/>
        <v>5262</v>
      </c>
      <c r="AA143" s="40">
        <f t="shared" si="112"/>
        <v>3588</v>
      </c>
      <c r="AB143" s="40">
        <f t="shared" si="113"/>
        <v>3140</v>
      </c>
      <c r="AC143" s="37">
        <f>SUM(Table1[[#This Row],[Jan]:[Dec]])</f>
        <v>12474.8</v>
      </c>
      <c r="AD143" s="15">
        <f t="shared" si="122"/>
        <v>0</v>
      </c>
      <c r="AE143" s="15">
        <f t="shared" si="123"/>
        <v>0</v>
      </c>
      <c r="AF143" s="15">
        <f t="shared" si="124"/>
        <v>0</v>
      </c>
      <c r="AG143" s="15">
        <f t="shared" si="125"/>
        <v>16.0521778944</v>
      </c>
      <c r="AH143" s="15">
        <f t="shared" si="126"/>
        <v>0</v>
      </c>
      <c r="AI143" s="15">
        <f t="shared" si="127"/>
        <v>0</v>
      </c>
      <c r="AJ143" s="15">
        <f t="shared" si="128"/>
        <v>0</v>
      </c>
      <c r="AK143" s="15">
        <f t="shared" si="129"/>
        <v>0</v>
      </c>
      <c r="AL143" s="15">
        <f t="shared" si="130"/>
        <v>0</v>
      </c>
      <c r="AM143" s="15">
        <f t="shared" si="131"/>
        <v>174.22970313600001</v>
      </c>
      <c r="AN143" s="15">
        <f t="shared" si="132"/>
        <v>118.80200966400001</v>
      </c>
      <c r="AO143" s="15">
        <f t="shared" si="133"/>
        <v>103.96831392000001</v>
      </c>
      <c r="AP143" s="10">
        <f t="shared" si="134"/>
        <v>0</v>
      </c>
      <c r="AQ143" s="10">
        <f t="shared" si="135"/>
        <v>16.0521778944</v>
      </c>
      <c r="AR143" s="10">
        <f t="shared" si="136"/>
        <v>0</v>
      </c>
      <c r="AS143" s="10">
        <f t="shared" si="137"/>
        <v>397.00002672000005</v>
      </c>
      <c r="AT143" s="10" t="b">
        <f t="shared" si="138"/>
        <v>1</v>
      </c>
      <c r="AU143" s="10">
        <f t="shared" si="114"/>
        <v>163.55620461440003</v>
      </c>
      <c r="AV143" s="10">
        <f t="shared" si="115"/>
        <v>0</v>
      </c>
      <c r="AW143" s="10">
        <f t="shared" si="116"/>
        <v>249.49599999999998</v>
      </c>
      <c r="AX143" s="10">
        <f t="shared" si="117"/>
        <v>0</v>
      </c>
      <c r="AY143" s="10">
        <f t="shared" si="139"/>
        <v>413.05220461440001</v>
      </c>
      <c r="AZ143" s="19">
        <f>IFERROR(IF($E143="REC",INDEX(A_Type_Volume!$B:$B,MATCH($D143,A_Type_Volume!$A:$A,0),1),IF($E143="VAM",INDEX(C_Type_Volume!$B:$B,MATCH($D143,C_Type_Volume!$A:$A,0),1),"X")),"")</f>
        <v>21375</v>
      </c>
      <c r="BA143" s="19">
        <f>IFERROR(IF($E143="REC",INDEX(A_Type_Volume!$C:$C,MATCH($D143,A_Type_Volume!$A:$A,0),1),IF($E143="VAM",INDEX(C_Type_Volume!$C:$C,MATCH($D143,C_Type_Volume!$A:$A,0),1),"X")),"")</f>
        <v>25253</v>
      </c>
      <c r="BB143" s="19">
        <f>IFERROR(IF($E143="REC",INDEX(A_Type_Volume!$D:$D,MATCH($D143,A_Type_Volume!$A:$A,0),1),IF($E143="VAM",INDEX(C_Type_Volume!$D:$D,MATCH($D143,C_Type_Volume!$A:$A,0),1),"X")),"")</f>
        <v>8305</v>
      </c>
      <c r="BC143" s="19">
        <f>IFERROR(IF($E143="REC",INDEX(A_Type_Volume!$E:$E,MATCH($D143,A_Type_Volume!$A:$A,0),1),IF($E143="VAM",INDEX(C_Type_Volume!$E:$E,MATCH($D143,C_Type_Volume!$A:$A,0),1),"X")),"")</f>
        <v>1616</v>
      </c>
      <c r="BD143" s="19">
        <f>IFERROR(IF($E143="REC",INDEX(A_Type_Volume!$F:$F,MATCH($D143,A_Type_Volume!$A:$A,0),1),IF($E143="VAM",INDEX(C_Type_Volume!$F:$F,MATCH($D143,C_Type_Volume!$A:$A,0),1),"X")),"")</f>
        <v>0</v>
      </c>
      <c r="BE143" s="19">
        <f>IFERROR(IF($E143="REC",INDEX(A_Type_Volume!$G:$G,MATCH($D143,A_Type_Volume!$A:$A,0),1),IF($E143="VAM",INDEX(C_Type_Volume!$G:$G,MATCH($D143,C_Type_Volume!$A:$A,0),1),"X")),"")</f>
        <v>0</v>
      </c>
      <c r="BF143" s="19">
        <f>IFERROR(IF($E143="REC",INDEX(A_Type_Volume!$H:$H,MATCH($D143,A_Type_Volume!$A:$A,0),1),IF($E143="VAM",INDEX(C_Type_Volume!$H:$H,MATCH($D143,C_Type_Volume!$A:$A,0),1),"X")),"")</f>
        <v>0</v>
      </c>
      <c r="BG143" s="19">
        <f>IFERROR(IF($E143="REC",INDEX(A_Type_Volume!$I:$I,MATCH($D143,A_Type_Volume!$A:$A,0),1),IF($E143="VAM",INDEX(C_Type_Volume!$I:$I,MATCH($D143,C_Type_Volume!$A:$A,0),1),"X")),"")</f>
        <v>0</v>
      </c>
      <c r="BH143" s="19">
        <f>IFERROR(IF($E143="REC",INDEX(A_Type_Volume!$J:$J,MATCH($D143,A_Type_Volume!$A:$A,0),1),IF($E143="VAM",INDEX(C_Type_Volume!$J:$J,MATCH($D143,C_Type_Volume!$A:$A,0),1),"X")),"")</f>
        <v>0</v>
      </c>
      <c r="BI143" s="19">
        <f>IFERROR(IF($E143="REC",INDEX(A_Type_Volume!$K:$K,MATCH($D143,A_Type_Volume!$A:$A,0),1),IF($E143="VAM",INDEX(C_Type_Volume!$K:$K,MATCH($D143,C_Type_Volume!$A:$A,0),1),"X")),"")</f>
        <v>5262</v>
      </c>
      <c r="BJ143" s="19">
        <f>IFERROR(IF($E143="REC",INDEX(A_Type_Volume!$L:$L,MATCH($D143,A_Type_Volume!$A:$A,0),1),IF($E143="VAM",INDEX(C_Type_Volume!$L:$L,MATCH($D143,C_Type_Volume!$A:$A,0),1),"X")),"")</f>
        <v>3588</v>
      </c>
      <c r="BK143" s="19">
        <f>IFERROR(IF($E143="REC",INDEX(A_Type_Volume!M:M,MATCH($D143,A_Type_Volume!$A:$A,0),1),IF($E143="VAM",INDEX(C_Type_Volume!M:M,MATCH($D143,C_Type_Volume!$A:$A,0),1),"X")),"")</f>
        <v>3140</v>
      </c>
      <c r="BL143" s="38">
        <f>SUM(Table1[[#This Row],[Jan_AVF]:[Dec_AVF]])</f>
        <v>68539</v>
      </c>
      <c r="BM143" s="16">
        <f t="shared" si="140"/>
        <v>707.7460860000001</v>
      </c>
      <c r="BN143" s="16">
        <f t="shared" si="141"/>
        <v>836.15026478400011</v>
      </c>
      <c r="BO143" s="16">
        <f t="shared" si="142"/>
        <v>274.98625704000005</v>
      </c>
      <c r="BP143" s="16">
        <f t="shared" si="143"/>
        <v>53.507259648000009</v>
      </c>
      <c r="BQ143" s="16">
        <f t="shared" si="144"/>
        <v>0</v>
      </c>
      <c r="BR143" s="16">
        <f t="shared" si="145"/>
        <v>0</v>
      </c>
      <c r="BS143" s="16">
        <f t="shared" si="146"/>
        <v>0</v>
      </c>
      <c r="BT143" s="16">
        <f t="shared" si="147"/>
        <v>0</v>
      </c>
      <c r="BU143" s="16">
        <f t="shared" si="148"/>
        <v>0</v>
      </c>
      <c r="BV143" s="16">
        <f t="shared" si="149"/>
        <v>174.22970313600001</v>
      </c>
      <c r="BW143" s="16">
        <f t="shared" si="150"/>
        <v>118.80200966400001</v>
      </c>
      <c r="BX143" s="16">
        <f t="shared" si="151"/>
        <v>103.96831392000001</v>
      </c>
      <c r="BY143" s="10">
        <f t="shared" si="118"/>
        <v>1818.8826078240004</v>
      </c>
      <c r="BZ143" s="10">
        <f t="shared" si="119"/>
        <v>53.507259648000009</v>
      </c>
      <c r="CA143" s="10">
        <f t="shared" si="120"/>
        <v>0</v>
      </c>
      <c r="CB143" s="10">
        <f t="shared" si="121"/>
        <v>397.00002672000005</v>
      </c>
      <c r="CC143" s="10">
        <f>IFERROR(Table1[[#This Row],[Labor
Saving]]*Table1[[#This Row],[Annual Volume]],"")</f>
        <v>898.6098941920003</v>
      </c>
      <c r="CD143" s="10">
        <f>IFERROR(Table1[[#This Row],[Annual Volume]]*Table1[[#This Row],[Yield
Saving]],"")</f>
        <v>0</v>
      </c>
      <c r="CE143" s="10">
        <f>IFERROR(Table1[[#This Row],[Annual Volume]]*Table1[[#This Row],[Material
Saving]],"")</f>
        <v>1370.78</v>
      </c>
      <c r="CF143" s="10">
        <f>IFERROR(Table1[[#This Row],[OH
Saving]]*Table1[[#This Row],[Annual Volume]],"")</f>
        <v>0</v>
      </c>
      <c r="CG143" s="10">
        <f>SUM(Table1[[#This Row],[Labor_ASV]:[OH_ASV]])</f>
        <v>2269.3898941920002</v>
      </c>
    </row>
    <row r="144" spans="1:85" x14ac:dyDescent="0.3">
      <c r="A144" t="str">
        <f>Table1[[#This Row],[Project Name]]&amp;Table1[[#This Row],[Part Number]]</f>
        <v>Diamond blade Supplier ER115</v>
      </c>
      <c r="B144" t="str">
        <f>IFERROR(Table1[[#This Row],[Project Number]]&amp;Table1[[#This Row],[Part Number]],"")</f>
        <v>AME25-034R115</v>
      </c>
      <c r="C144" s="22" t="s">
        <v>86</v>
      </c>
      <c r="D144" s="24" t="s">
        <v>353</v>
      </c>
      <c r="E144" s="25" t="s">
        <v>58</v>
      </c>
      <c r="F144" s="6">
        <f>INDEX(Proj_Reg!G:G,MATCH($C144,Proj_Reg!$B:$B,0),1)</f>
        <v>46113</v>
      </c>
      <c r="G144" s="6">
        <f>INDEX(Proj_Reg!H:H,MATCH($C144,Proj_Reg!$B:$B,0),1)</f>
        <v>46447</v>
      </c>
      <c r="H144" s="6" t="str">
        <f>IF(INDEX(Proj_Reg!C:C,MATCH($C144,Proj_Reg!$B:$B,0),1)=0,"",INDEX(Proj_Reg!C:C,MATCH($C144,Proj_Reg!$B:$B,0),1))</f>
        <v>Wafer Saw Dicing</v>
      </c>
      <c r="I144" s="6" t="str">
        <f>IF(INDEX(Proj_Reg!D:D,MATCH($C144,Proj_Reg!$B:$B,0),1)=0,"",INDEX(Proj_Reg!D:D,MATCH($C144,Proj_Reg!$B:$B,0),1))</f>
        <v>XCD</v>
      </c>
      <c r="J144" s="6" t="str">
        <f>INDEX(Proj_Reg!E:E,MATCH($C144,Proj_Reg!$B:$B,0),1)</f>
        <v>Diamond blade Supplier E</v>
      </c>
      <c r="K144" s="21">
        <v>1.3110928000000004E-2</v>
      </c>
      <c r="L144" s="21">
        <v>0</v>
      </c>
      <c r="M144" s="21">
        <v>0.02</v>
      </c>
      <c r="N144" s="21">
        <v>0</v>
      </c>
      <c r="O144" s="11">
        <f>SUM(Table1[[#This Row],[Labor
Saving]:[OH
Saving]])</f>
        <v>3.3110928000000005E-2</v>
      </c>
      <c r="Q144" s="40">
        <f t="shared" si="102"/>
        <v>0</v>
      </c>
      <c r="R144" s="40">
        <f t="shared" si="103"/>
        <v>0</v>
      </c>
      <c r="S144" s="40">
        <f t="shared" si="104"/>
        <v>0</v>
      </c>
      <c r="T144" s="40">
        <f t="shared" si="105"/>
        <v>610.79999999999995</v>
      </c>
      <c r="U144" s="40">
        <f t="shared" si="106"/>
        <v>0</v>
      </c>
      <c r="V144" s="40">
        <f t="shared" si="107"/>
        <v>0</v>
      </c>
      <c r="W144" s="40">
        <f t="shared" si="108"/>
        <v>0</v>
      </c>
      <c r="X144" s="40">
        <f t="shared" si="109"/>
        <v>0</v>
      </c>
      <c r="Y144" s="40">
        <f t="shared" si="110"/>
        <v>0</v>
      </c>
      <c r="Z144" s="40">
        <f t="shared" si="111"/>
        <v>5262</v>
      </c>
      <c r="AA144" s="40">
        <f t="shared" si="112"/>
        <v>3588</v>
      </c>
      <c r="AB144" s="40">
        <f t="shared" si="113"/>
        <v>3140</v>
      </c>
      <c r="AC144" s="37">
        <f>SUM(Table1[[#This Row],[Jan]:[Dec]])</f>
        <v>12600.8</v>
      </c>
      <c r="AD144" s="15">
        <f t="shared" si="122"/>
        <v>0</v>
      </c>
      <c r="AE144" s="15">
        <f t="shared" si="123"/>
        <v>0</v>
      </c>
      <c r="AF144" s="15">
        <f t="shared" si="124"/>
        <v>0</v>
      </c>
      <c r="AG144" s="15">
        <f t="shared" si="125"/>
        <v>20.224154822400003</v>
      </c>
      <c r="AH144" s="15">
        <f t="shared" si="126"/>
        <v>0</v>
      </c>
      <c r="AI144" s="15">
        <f t="shared" si="127"/>
        <v>0</v>
      </c>
      <c r="AJ144" s="15">
        <f t="shared" si="128"/>
        <v>0</v>
      </c>
      <c r="AK144" s="15">
        <f t="shared" si="129"/>
        <v>0</v>
      </c>
      <c r="AL144" s="15">
        <f t="shared" si="130"/>
        <v>0</v>
      </c>
      <c r="AM144" s="15">
        <f t="shared" si="131"/>
        <v>174.22970313600001</v>
      </c>
      <c r="AN144" s="15">
        <f t="shared" si="132"/>
        <v>118.80200966400001</v>
      </c>
      <c r="AO144" s="15">
        <f t="shared" si="133"/>
        <v>103.96831392000001</v>
      </c>
      <c r="AP144" s="10">
        <f t="shared" si="134"/>
        <v>0</v>
      </c>
      <c r="AQ144" s="10">
        <f t="shared" si="135"/>
        <v>20.224154822400003</v>
      </c>
      <c r="AR144" s="10">
        <f t="shared" si="136"/>
        <v>0</v>
      </c>
      <c r="AS144" s="10">
        <f t="shared" si="137"/>
        <v>397.00002672000005</v>
      </c>
      <c r="AT144" s="10" t="b">
        <f t="shared" si="138"/>
        <v>1</v>
      </c>
      <c r="AU144" s="10">
        <f t="shared" si="114"/>
        <v>165.20818154240004</v>
      </c>
      <c r="AV144" s="10">
        <f t="shared" si="115"/>
        <v>0</v>
      </c>
      <c r="AW144" s="10">
        <f t="shared" si="116"/>
        <v>252.01599999999999</v>
      </c>
      <c r="AX144" s="10">
        <f t="shared" si="117"/>
        <v>0</v>
      </c>
      <c r="AY144" s="10">
        <f t="shared" si="139"/>
        <v>417.22418154240006</v>
      </c>
      <c r="AZ144" s="19">
        <f>IFERROR(IF($E144="REC",INDEX(A_Type_Volume!$B:$B,MATCH($D144,A_Type_Volume!$A:$A,0),1),IF($E144="VAM",INDEX(C_Type_Volume!$B:$B,MATCH($D144,C_Type_Volume!$A:$A,0),1),"X")),"")</f>
        <v>38618</v>
      </c>
      <c r="BA144" s="19">
        <f>IFERROR(IF($E144="REC",INDEX(A_Type_Volume!$C:$C,MATCH($D144,A_Type_Volume!$A:$A,0),1),IF($E144="VAM",INDEX(C_Type_Volume!$C:$C,MATCH($D144,C_Type_Volume!$A:$A,0),1),"X")),"")</f>
        <v>37646</v>
      </c>
      <c r="BB144" s="19">
        <f>IFERROR(IF($E144="REC",INDEX(A_Type_Volume!$D:$D,MATCH($D144,A_Type_Volume!$A:$A,0),1),IF($E144="VAM",INDEX(C_Type_Volume!$D:$D,MATCH($D144,C_Type_Volume!$A:$A,0),1),"X")),"")</f>
        <v>13090</v>
      </c>
      <c r="BC144" s="19">
        <f>IFERROR(IF($E144="REC",INDEX(A_Type_Volume!$E:$E,MATCH($D144,A_Type_Volume!$A:$A,0),1),IF($E144="VAM",INDEX(C_Type_Volume!$E:$E,MATCH($D144,C_Type_Volume!$A:$A,0),1),"X")),"")</f>
        <v>2036</v>
      </c>
      <c r="BD144" s="19">
        <f>IFERROR(IF($E144="REC",INDEX(A_Type_Volume!$F:$F,MATCH($D144,A_Type_Volume!$A:$A,0),1),IF($E144="VAM",INDEX(C_Type_Volume!$F:$F,MATCH($D144,C_Type_Volume!$A:$A,0),1),"X")),"")</f>
        <v>0</v>
      </c>
      <c r="BE144" s="19">
        <f>IFERROR(IF($E144="REC",INDEX(A_Type_Volume!$G:$G,MATCH($D144,A_Type_Volume!$A:$A,0),1),IF($E144="VAM",INDEX(C_Type_Volume!$G:$G,MATCH($D144,C_Type_Volume!$A:$A,0),1),"X")),"")</f>
        <v>0</v>
      </c>
      <c r="BF144" s="19">
        <f>IFERROR(IF($E144="REC",INDEX(A_Type_Volume!$H:$H,MATCH($D144,A_Type_Volume!$A:$A,0),1),IF($E144="VAM",INDEX(C_Type_Volume!$H:$H,MATCH($D144,C_Type_Volume!$A:$A,0),1),"X")),"")</f>
        <v>0</v>
      </c>
      <c r="BG144" s="19">
        <f>IFERROR(IF($E144="REC",INDEX(A_Type_Volume!$I:$I,MATCH($D144,A_Type_Volume!$A:$A,0),1),IF($E144="VAM",INDEX(C_Type_Volume!$I:$I,MATCH($D144,C_Type_Volume!$A:$A,0),1),"X")),"")</f>
        <v>0</v>
      </c>
      <c r="BH144" s="19">
        <f>IFERROR(IF($E144="REC",INDEX(A_Type_Volume!$J:$J,MATCH($D144,A_Type_Volume!$A:$A,0),1),IF($E144="VAM",INDEX(C_Type_Volume!$J:$J,MATCH($D144,C_Type_Volume!$A:$A,0),1),"X")),"")</f>
        <v>0</v>
      </c>
      <c r="BI144" s="19">
        <f>IFERROR(IF($E144="REC",INDEX(A_Type_Volume!$K:$K,MATCH($D144,A_Type_Volume!$A:$A,0),1),IF($E144="VAM",INDEX(C_Type_Volume!$K:$K,MATCH($D144,C_Type_Volume!$A:$A,0),1),"X")),"")</f>
        <v>5262</v>
      </c>
      <c r="BJ144" s="19">
        <f>IFERROR(IF($E144="REC",INDEX(A_Type_Volume!$L:$L,MATCH($D144,A_Type_Volume!$A:$A,0),1),IF($E144="VAM",INDEX(C_Type_Volume!$L:$L,MATCH($D144,C_Type_Volume!$A:$A,0),1),"X")),"")</f>
        <v>3588</v>
      </c>
      <c r="BK144" s="19">
        <f>IFERROR(IF($E144="REC",INDEX(A_Type_Volume!M:M,MATCH($D144,A_Type_Volume!$A:$A,0),1),IF($E144="VAM",INDEX(C_Type_Volume!M:M,MATCH($D144,C_Type_Volume!$A:$A,0),1),"X")),"")</f>
        <v>3140</v>
      </c>
      <c r="BL144" s="38">
        <f>SUM(Table1[[#This Row],[Jan_AVF]:[Dec_AVF]])</f>
        <v>103380</v>
      </c>
      <c r="BM144" s="16">
        <f t="shared" si="140"/>
        <v>1278.6778175040001</v>
      </c>
      <c r="BN144" s="16">
        <f t="shared" si="141"/>
        <v>1246.4939954880001</v>
      </c>
      <c r="BO144" s="16">
        <f t="shared" si="142"/>
        <v>433.42204752000004</v>
      </c>
      <c r="BP144" s="16">
        <f t="shared" si="143"/>
        <v>67.413849408000004</v>
      </c>
      <c r="BQ144" s="16">
        <f t="shared" si="144"/>
        <v>0</v>
      </c>
      <c r="BR144" s="16">
        <f t="shared" si="145"/>
        <v>0</v>
      </c>
      <c r="BS144" s="16">
        <f t="shared" si="146"/>
        <v>0</v>
      </c>
      <c r="BT144" s="16">
        <f t="shared" si="147"/>
        <v>0</v>
      </c>
      <c r="BU144" s="16">
        <f t="shared" si="148"/>
        <v>0</v>
      </c>
      <c r="BV144" s="16">
        <f t="shared" si="149"/>
        <v>174.22970313600001</v>
      </c>
      <c r="BW144" s="16">
        <f t="shared" si="150"/>
        <v>118.80200966400001</v>
      </c>
      <c r="BX144" s="16">
        <f t="shared" si="151"/>
        <v>103.96831392000001</v>
      </c>
      <c r="BY144" s="10">
        <f t="shared" si="118"/>
        <v>2958.593860512</v>
      </c>
      <c r="BZ144" s="10">
        <f t="shared" si="119"/>
        <v>67.413849408000004</v>
      </c>
      <c r="CA144" s="10">
        <f t="shared" si="120"/>
        <v>0</v>
      </c>
      <c r="CB144" s="10">
        <f t="shared" si="121"/>
        <v>397.00002672000005</v>
      </c>
      <c r="CC144" s="10">
        <f>IFERROR(Table1[[#This Row],[Labor
Saving]]*Table1[[#This Row],[Annual Volume]],"")</f>
        <v>1355.4077366400004</v>
      </c>
      <c r="CD144" s="10">
        <f>IFERROR(Table1[[#This Row],[Annual Volume]]*Table1[[#This Row],[Yield
Saving]],"")</f>
        <v>0</v>
      </c>
      <c r="CE144" s="10">
        <f>IFERROR(Table1[[#This Row],[Annual Volume]]*Table1[[#This Row],[Material
Saving]],"")</f>
        <v>2067.6</v>
      </c>
      <c r="CF144" s="10">
        <f>IFERROR(Table1[[#This Row],[OH
Saving]]*Table1[[#This Row],[Annual Volume]],"")</f>
        <v>0</v>
      </c>
      <c r="CG144" s="10">
        <f>SUM(Table1[[#This Row],[Labor_ASV]:[OH_ASV]])</f>
        <v>3423.0077366400001</v>
      </c>
    </row>
    <row r="145" spans="1:85" x14ac:dyDescent="0.3">
      <c r="A145" t="str">
        <f>Table1[[#This Row],[Project Name]]&amp;Table1[[#This Row],[Part Number]]</f>
        <v>Diamond blade Supplier ER116</v>
      </c>
      <c r="B145" t="str">
        <f>IFERROR(Table1[[#This Row],[Project Number]]&amp;Table1[[#This Row],[Part Number]],"")</f>
        <v>AME25-034R116</v>
      </c>
      <c r="C145" s="22" t="s">
        <v>86</v>
      </c>
      <c r="D145" s="24" t="s">
        <v>354</v>
      </c>
      <c r="E145" s="25" t="s">
        <v>58</v>
      </c>
      <c r="F145" s="6">
        <f>INDEX(Proj_Reg!G:G,MATCH($C145,Proj_Reg!$B:$B,0),1)</f>
        <v>46113</v>
      </c>
      <c r="G145" s="6">
        <f>INDEX(Proj_Reg!H:H,MATCH($C145,Proj_Reg!$B:$B,0),1)</f>
        <v>46447</v>
      </c>
      <c r="H145" s="6" t="str">
        <f>IF(INDEX(Proj_Reg!C:C,MATCH($C145,Proj_Reg!$B:$B,0),1)=0,"",INDEX(Proj_Reg!C:C,MATCH($C145,Proj_Reg!$B:$B,0),1))</f>
        <v>Wafer Saw Dicing</v>
      </c>
      <c r="I145" s="6" t="str">
        <f>IF(INDEX(Proj_Reg!D:D,MATCH($C145,Proj_Reg!$B:$B,0),1)=0,"",INDEX(Proj_Reg!D:D,MATCH($C145,Proj_Reg!$B:$B,0),1))</f>
        <v>XCD</v>
      </c>
      <c r="J145" s="6" t="str">
        <f>INDEX(Proj_Reg!E:E,MATCH($C145,Proj_Reg!$B:$B,0),1)</f>
        <v>Diamond blade Supplier E</v>
      </c>
      <c r="K145" s="21">
        <v>1.3110928000000004E-2</v>
      </c>
      <c r="L145" s="21">
        <v>0</v>
      </c>
      <c r="M145" s="21">
        <v>0.02</v>
      </c>
      <c r="N145" s="21">
        <v>0</v>
      </c>
      <c r="O145" s="11">
        <f>SUM(Table1[[#This Row],[Labor
Saving]:[OH
Saving]])</f>
        <v>3.3110928000000005E-2</v>
      </c>
      <c r="Q145" s="40">
        <f t="shared" si="102"/>
        <v>0</v>
      </c>
      <c r="R145" s="40">
        <f t="shared" si="103"/>
        <v>0</v>
      </c>
      <c r="S145" s="40">
        <f t="shared" si="104"/>
        <v>0</v>
      </c>
      <c r="T145" s="40">
        <f t="shared" si="105"/>
        <v>0</v>
      </c>
      <c r="U145" s="40">
        <f t="shared" si="106"/>
        <v>0</v>
      </c>
      <c r="V145" s="40">
        <f t="shared" si="107"/>
        <v>0</v>
      </c>
      <c r="W145" s="40">
        <f t="shared" si="108"/>
        <v>0</v>
      </c>
      <c r="X145" s="40">
        <f t="shared" si="109"/>
        <v>0</v>
      </c>
      <c r="Y145" s="40">
        <f t="shared" si="110"/>
        <v>0</v>
      </c>
      <c r="Z145" s="40">
        <f t="shared" si="111"/>
        <v>1056</v>
      </c>
      <c r="AA145" s="40">
        <f t="shared" si="112"/>
        <v>720</v>
      </c>
      <c r="AB145" s="40">
        <f t="shared" si="113"/>
        <v>630</v>
      </c>
      <c r="AC145" s="37">
        <f>SUM(Table1[[#This Row],[Jan]:[Dec]])</f>
        <v>2406</v>
      </c>
      <c r="AD145" s="15">
        <f t="shared" si="122"/>
        <v>0</v>
      </c>
      <c r="AE145" s="15">
        <f t="shared" si="123"/>
        <v>0</v>
      </c>
      <c r="AF145" s="15">
        <f t="shared" si="124"/>
        <v>0</v>
      </c>
      <c r="AG145" s="15">
        <f t="shared" si="125"/>
        <v>0</v>
      </c>
      <c r="AH145" s="15">
        <f t="shared" si="126"/>
        <v>0</v>
      </c>
      <c r="AI145" s="15">
        <f t="shared" si="127"/>
        <v>0</v>
      </c>
      <c r="AJ145" s="15">
        <f t="shared" si="128"/>
        <v>0</v>
      </c>
      <c r="AK145" s="15">
        <f t="shared" si="129"/>
        <v>0</v>
      </c>
      <c r="AL145" s="15">
        <f t="shared" si="130"/>
        <v>0</v>
      </c>
      <c r="AM145" s="15">
        <f t="shared" si="131"/>
        <v>34.965139968000003</v>
      </c>
      <c r="AN145" s="15">
        <f t="shared" si="132"/>
        <v>23.839868160000002</v>
      </c>
      <c r="AO145" s="15">
        <f t="shared" si="133"/>
        <v>20.859884640000004</v>
      </c>
      <c r="AP145" s="10">
        <f t="shared" si="134"/>
        <v>0</v>
      </c>
      <c r="AQ145" s="10">
        <f t="shared" si="135"/>
        <v>0</v>
      </c>
      <c r="AR145" s="10">
        <f t="shared" si="136"/>
        <v>0</v>
      </c>
      <c r="AS145" s="10">
        <f t="shared" si="137"/>
        <v>79.664892768000016</v>
      </c>
      <c r="AT145" s="10" t="b">
        <f t="shared" si="138"/>
        <v>1</v>
      </c>
      <c r="AU145" s="10">
        <f t="shared" si="114"/>
        <v>31.544892768000011</v>
      </c>
      <c r="AV145" s="10">
        <f t="shared" si="115"/>
        <v>0</v>
      </c>
      <c r="AW145" s="10">
        <f t="shared" si="116"/>
        <v>48.120000000000005</v>
      </c>
      <c r="AX145" s="10">
        <f t="shared" si="117"/>
        <v>0</v>
      </c>
      <c r="AY145" s="10">
        <f t="shared" si="139"/>
        <v>79.664892768000016</v>
      </c>
      <c r="AZ145" s="19">
        <f>IFERROR(IF($E145="REC",INDEX(A_Type_Volume!$B:$B,MATCH($D145,A_Type_Volume!$A:$A,0),1),IF($E145="VAM",INDEX(C_Type_Volume!$B:$B,MATCH($D145,C_Type_Volume!$A:$A,0),1),"X")),"")</f>
        <v>13868</v>
      </c>
      <c r="BA145" s="19">
        <f>IFERROR(IF($E145="REC",INDEX(A_Type_Volume!$C:$C,MATCH($D145,A_Type_Volume!$A:$A,0),1),IF($E145="VAM",INDEX(C_Type_Volume!$C:$C,MATCH($D145,C_Type_Volume!$A:$A,0),1),"X")),"")</f>
        <v>6489</v>
      </c>
      <c r="BB145" s="19">
        <f>IFERROR(IF($E145="REC",INDEX(A_Type_Volume!$D:$D,MATCH($D145,A_Type_Volume!$A:$A,0),1),IF($E145="VAM",INDEX(C_Type_Volume!$D:$D,MATCH($D145,C_Type_Volume!$A:$A,0),1),"X")),"")</f>
        <v>1228</v>
      </c>
      <c r="BC145" s="19">
        <f>IFERROR(IF($E145="REC",INDEX(A_Type_Volume!$E:$E,MATCH($D145,A_Type_Volume!$A:$A,0),1),IF($E145="VAM",INDEX(C_Type_Volume!$E:$E,MATCH($D145,C_Type_Volume!$A:$A,0),1),"X")),"")</f>
        <v>0</v>
      </c>
      <c r="BD145" s="19">
        <f>IFERROR(IF($E145="REC",INDEX(A_Type_Volume!$F:$F,MATCH($D145,A_Type_Volume!$A:$A,0),1),IF($E145="VAM",INDEX(C_Type_Volume!$F:$F,MATCH($D145,C_Type_Volume!$A:$A,0),1),"X")),"")</f>
        <v>0</v>
      </c>
      <c r="BE145" s="19">
        <f>IFERROR(IF($E145="REC",INDEX(A_Type_Volume!$G:$G,MATCH($D145,A_Type_Volume!$A:$A,0),1),IF($E145="VAM",INDEX(C_Type_Volume!$G:$G,MATCH($D145,C_Type_Volume!$A:$A,0),1),"X")),"")</f>
        <v>0</v>
      </c>
      <c r="BF145" s="19">
        <f>IFERROR(IF($E145="REC",INDEX(A_Type_Volume!$H:$H,MATCH($D145,A_Type_Volume!$A:$A,0),1),IF($E145="VAM",INDEX(C_Type_Volume!$H:$H,MATCH($D145,C_Type_Volume!$A:$A,0),1),"X")),"")</f>
        <v>0</v>
      </c>
      <c r="BG145" s="19">
        <f>IFERROR(IF($E145="REC",INDEX(A_Type_Volume!$I:$I,MATCH($D145,A_Type_Volume!$A:$A,0),1),IF($E145="VAM",INDEX(C_Type_Volume!$I:$I,MATCH($D145,C_Type_Volume!$A:$A,0),1),"X")),"")</f>
        <v>0</v>
      </c>
      <c r="BH145" s="19">
        <f>IFERROR(IF($E145="REC",INDEX(A_Type_Volume!$J:$J,MATCH($D145,A_Type_Volume!$A:$A,0),1),IF($E145="VAM",INDEX(C_Type_Volume!$J:$J,MATCH($D145,C_Type_Volume!$A:$A,0),1),"X")),"")</f>
        <v>0</v>
      </c>
      <c r="BI145" s="19">
        <f>IFERROR(IF($E145="REC",INDEX(A_Type_Volume!$K:$K,MATCH($D145,A_Type_Volume!$A:$A,0),1),IF($E145="VAM",INDEX(C_Type_Volume!$K:$K,MATCH($D145,C_Type_Volume!$A:$A,0),1),"X")),"")</f>
        <v>1056</v>
      </c>
      <c r="BJ145" s="19">
        <f>IFERROR(IF($E145="REC",INDEX(A_Type_Volume!$L:$L,MATCH($D145,A_Type_Volume!$A:$A,0),1),IF($E145="VAM",INDEX(C_Type_Volume!$L:$L,MATCH($D145,C_Type_Volume!$A:$A,0),1),"X")),"")</f>
        <v>720</v>
      </c>
      <c r="BK145" s="19">
        <f>IFERROR(IF($E145="REC",INDEX(A_Type_Volume!M:M,MATCH($D145,A_Type_Volume!$A:$A,0),1),IF($E145="VAM",INDEX(C_Type_Volume!M:M,MATCH($D145,C_Type_Volume!$A:$A,0),1),"X")),"")</f>
        <v>630</v>
      </c>
      <c r="BL145" s="38">
        <f>SUM(Table1[[#This Row],[Jan_AVF]:[Dec_AVF]])</f>
        <v>23991</v>
      </c>
      <c r="BM145" s="16">
        <f t="shared" si="140"/>
        <v>459.18234950400006</v>
      </c>
      <c r="BN145" s="16">
        <f t="shared" si="141"/>
        <v>214.85681179200003</v>
      </c>
      <c r="BO145" s="16">
        <f t="shared" si="142"/>
        <v>40.660219584000004</v>
      </c>
      <c r="BP145" s="16">
        <f t="shared" si="143"/>
        <v>0</v>
      </c>
      <c r="BQ145" s="16">
        <f t="shared" si="144"/>
        <v>0</v>
      </c>
      <c r="BR145" s="16">
        <f t="shared" si="145"/>
        <v>0</v>
      </c>
      <c r="BS145" s="16">
        <f t="shared" si="146"/>
        <v>0</v>
      </c>
      <c r="BT145" s="16">
        <f t="shared" si="147"/>
        <v>0</v>
      </c>
      <c r="BU145" s="16">
        <f t="shared" si="148"/>
        <v>0</v>
      </c>
      <c r="BV145" s="16">
        <f t="shared" si="149"/>
        <v>34.965139968000003</v>
      </c>
      <c r="BW145" s="16">
        <f t="shared" si="150"/>
        <v>23.839868160000002</v>
      </c>
      <c r="BX145" s="16">
        <f t="shared" si="151"/>
        <v>20.859884640000004</v>
      </c>
      <c r="BY145" s="10">
        <f t="shared" si="118"/>
        <v>714.69938088000004</v>
      </c>
      <c r="BZ145" s="10">
        <f t="shared" si="119"/>
        <v>0</v>
      </c>
      <c r="CA145" s="10">
        <f t="shared" si="120"/>
        <v>0</v>
      </c>
      <c r="CB145" s="10">
        <f t="shared" si="121"/>
        <v>79.664892768000016</v>
      </c>
      <c r="CC145" s="10">
        <f>IFERROR(Table1[[#This Row],[Labor
Saving]]*Table1[[#This Row],[Annual Volume]],"")</f>
        <v>314.54427364800011</v>
      </c>
      <c r="CD145" s="10">
        <f>IFERROR(Table1[[#This Row],[Annual Volume]]*Table1[[#This Row],[Yield
Saving]],"")</f>
        <v>0</v>
      </c>
      <c r="CE145" s="10">
        <f>IFERROR(Table1[[#This Row],[Annual Volume]]*Table1[[#This Row],[Material
Saving]],"")</f>
        <v>479.82</v>
      </c>
      <c r="CF145" s="10">
        <f>IFERROR(Table1[[#This Row],[OH
Saving]]*Table1[[#This Row],[Annual Volume]],"")</f>
        <v>0</v>
      </c>
      <c r="CG145" s="10">
        <f>SUM(Table1[[#This Row],[Labor_ASV]:[OH_ASV]])</f>
        <v>794.36427364800011</v>
      </c>
    </row>
    <row r="146" spans="1:85" x14ac:dyDescent="0.3">
      <c r="A146" t="str">
        <f>Table1[[#This Row],[Project Name]]&amp;Table1[[#This Row],[Part Number]]</f>
        <v>Diamond blade Supplier ER117</v>
      </c>
      <c r="B146" t="str">
        <f>IFERROR(Table1[[#This Row],[Project Number]]&amp;Table1[[#This Row],[Part Number]],"")</f>
        <v>AME25-034R117</v>
      </c>
      <c r="C146" s="22" t="s">
        <v>86</v>
      </c>
      <c r="D146" s="24" t="s">
        <v>355</v>
      </c>
      <c r="E146" s="25" t="s">
        <v>58</v>
      </c>
      <c r="F146" s="6">
        <f>INDEX(Proj_Reg!G:G,MATCH($C146,Proj_Reg!$B:$B,0),1)</f>
        <v>46113</v>
      </c>
      <c r="G146" s="6">
        <f>INDEX(Proj_Reg!H:H,MATCH($C146,Proj_Reg!$B:$B,0),1)</f>
        <v>46447</v>
      </c>
      <c r="H146" s="6" t="str">
        <f>IF(INDEX(Proj_Reg!C:C,MATCH($C146,Proj_Reg!$B:$B,0),1)=0,"",INDEX(Proj_Reg!C:C,MATCH($C146,Proj_Reg!$B:$B,0),1))</f>
        <v>Wafer Saw Dicing</v>
      </c>
      <c r="I146" s="6" t="str">
        <f>IF(INDEX(Proj_Reg!D:D,MATCH($C146,Proj_Reg!$B:$B,0),1)=0,"",INDEX(Proj_Reg!D:D,MATCH($C146,Proj_Reg!$B:$B,0),1))</f>
        <v>XCD</v>
      </c>
      <c r="J146" s="6" t="str">
        <f>INDEX(Proj_Reg!E:E,MATCH($C146,Proj_Reg!$B:$B,0),1)</f>
        <v>Diamond blade Supplier E</v>
      </c>
      <c r="K146" s="21">
        <v>1.3110928000000004E-2</v>
      </c>
      <c r="L146" s="21">
        <v>0</v>
      </c>
      <c r="M146" s="21">
        <v>0.02</v>
      </c>
      <c r="N146" s="21">
        <v>0</v>
      </c>
      <c r="O146" s="11">
        <f>SUM(Table1[[#This Row],[Labor
Saving]:[OH
Saving]])</f>
        <v>3.3110928000000005E-2</v>
      </c>
      <c r="Q146" s="40">
        <f t="shared" si="102"/>
        <v>0</v>
      </c>
      <c r="R146" s="40">
        <f t="shared" si="103"/>
        <v>0</v>
      </c>
      <c r="S146" s="40">
        <f t="shared" si="104"/>
        <v>0</v>
      </c>
      <c r="T146" s="40">
        <f t="shared" si="105"/>
        <v>252</v>
      </c>
      <c r="U146" s="40">
        <f t="shared" si="106"/>
        <v>0</v>
      </c>
      <c r="V146" s="40">
        <f t="shared" si="107"/>
        <v>0</v>
      </c>
      <c r="W146" s="40">
        <f t="shared" si="108"/>
        <v>0</v>
      </c>
      <c r="X146" s="40">
        <f t="shared" si="109"/>
        <v>0</v>
      </c>
      <c r="Y146" s="40">
        <f t="shared" si="110"/>
        <v>0</v>
      </c>
      <c r="Z146" s="40">
        <f t="shared" si="111"/>
        <v>1056</v>
      </c>
      <c r="AA146" s="40">
        <f t="shared" si="112"/>
        <v>720</v>
      </c>
      <c r="AB146" s="40">
        <f t="shared" si="113"/>
        <v>630</v>
      </c>
      <c r="AC146" s="37">
        <f>SUM(Table1[[#This Row],[Jan]:[Dec]])</f>
        <v>2658</v>
      </c>
      <c r="AD146" s="15">
        <f t="shared" si="122"/>
        <v>0</v>
      </c>
      <c r="AE146" s="15">
        <f t="shared" si="123"/>
        <v>0</v>
      </c>
      <c r="AF146" s="15">
        <f t="shared" si="124"/>
        <v>0</v>
      </c>
      <c r="AG146" s="15">
        <f t="shared" si="125"/>
        <v>8.3439538560000006</v>
      </c>
      <c r="AH146" s="15">
        <f t="shared" si="126"/>
        <v>0</v>
      </c>
      <c r="AI146" s="15">
        <f t="shared" si="127"/>
        <v>0</v>
      </c>
      <c r="AJ146" s="15">
        <f t="shared" si="128"/>
        <v>0</v>
      </c>
      <c r="AK146" s="15">
        <f t="shared" si="129"/>
        <v>0</v>
      </c>
      <c r="AL146" s="15">
        <f t="shared" si="130"/>
        <v>0</v>
      </c>
      <c r="AM146" s="15">
        <f t="shared" si="131"/>
        <v>34.965139968000003</v>
      </c>
      <c r="AN146" s="15">
        <f t="shared" si="132"/>
        <v>23.839868160000002</v>
      </c>
      <c r="AO146" s="15">
        <f t="shared" si="133"/>
        <v>20.859884640000004</v>
      </c>
      <c r="AP146" s="10">
        <f t="shared" si="134"/>
        <v>0</v>
      </c>
      <c r="AQ146" s="10">
        <f t="shared" si="135"/>
        <v>8.3439538560000006</v>
      </c>
      <c r="AR146" s="10">
        <f t="shared" si="136"/>
        <v>0</v>
      </c>
      <c r="AS146" s="10">
        <f t="shared" si="137"/>
        <v>79.664892768000016</v>
      </c>
      <c r="AT146" s="10" t="b">
        <f t="shared" si="138"/>
        <v>1</v>
      </c>
      <c r="AU146" s="10">
        <f t="shared" si="114"/>
        <v>34.848846624000011</v>
      </c>
      <c r="AV146" s="10">
        <f t="shared" si="115"/>
        <v>0</v>
      </c>
      <c r="AW146" s="10">
        <f t="shared" si="116"/>
        <v>53.160000000000004</v>
      </c>
      <c r="AX146" s="10">
        <f t="shared" si="117"/>
        <v>0</v>
      </c>
      <c r="AY146" s="10">
        <f t="shared" si="139"/>
        <v>88.008846624000014</v>
      </c>
      <c r="AZ146" s="19">
        <f>IFERROR(IF($E146="REC",INDEX(A_Type_Volume!$B:$B,MATCH($D146,A_Type_Volume!$A:$A,0),1),IF($E146="VAM",INDEX(C_Type_Volume!$B:$B,MATCH($D146,C_Type_Volume!$A:$A,0),1),"X")),"")</f>
        <v>11536</v>
      </c>
      <c r="BA146" s="19">
        <f>IFERROR(IF($E146="REC",INDEX(A_Type_Volume!$C:$C,MATCH($D146,A_Type_Volume!$A:$A,0),1),IF($E146="VAM",INDEX(C_Type_Volume!$C:$C,MATCH($D146,C_Type_Volume!$A:$A,0),1),"X")),"")</f>
        <v>6221</v>
      </c>
      <c r="BB146" s="19">
        <f>IFERROR(IF($E146="REC",INDEX(A_Type_Volume!$D:$D,MATCH($D146,A_Type_Volume!$A:$A,0),1),IF($E146="VAM",INDEX(C_Type_Volume!$D:$D,MATCH($D146,C_Type_Volume!$A:$A,0),1),"X")),"")</f>
        <v>3105</v>
      </c>
      <c r="BC146" s="19">
        <f>IFERROR(IF($E146="REC",INDEX(A_Type_Volume!$E:$E,MATCH($D146,A_Type_Volume!$A:$A,0),1),IF($E146="VAM",INDEX(C_Type_Volume!$E:$E,MATCH($D146,C_Type_Volume!$A:$A,0),1),"X")),"")</f>
        <v>840</v>
      </c>
      <c r="BD146" s="19">
        <f>IFERROR(IF($E146="REC",INDEX(A_Type_Volume!$F:$F,MATCH($D146,A_Type_Volume!$A:$A,0),1),IF($E146="VAM",INDEX(C_Type_Volume!$F:$F,MATCH($D146,C_Type_Volume!$A:$A,0),1),"X")),"")</f>
        <v>0</v>
      </c>
      <c r="BE146" s="19">
        <f>IFERROR(IF($E146="REC",INDEX(A_Type_Volume!$G:$G,MATCH($D146,A_Type_Volume!$A:$A,0),1),IF($E146="VAM",INDEX(C_Type_Volume!$G:$G,MATCH($D146,C_Type_Volume!$A:$A,0),1),"X")),"")</f>
        <v>0</v>
      </c>
      <c r="BF146" s="19">
        <f>IFERROR(IF($E146="REC",INDEX(A_Type_Volume!$H:$H,MATCH($D146,A_Type_Volume!$A:$A,0),1),IF($E146="VAM",INDEX(C_Type_Volume!$H:$H,MATCH($D146,C_Type_Volume!$A:$A,0),1),"X")),"")</f>
        <v>0</v>
      </c>
      <c r="BG146" s="19">
        <f>IFERROR(IF($E146="REC",INDEX(A_Type_Volume!$I:$I,MATCH($D146,A_Type_Volume!$A:$A,0),1),IF($E146="VAM",INDEX(C_Type_Volume!$I:$I,MATCH($D146,C_Type_Volume!$A:$A,0),1),"X")),"")</f>
        <v>0</v>
      </c>
      <c r="BH146" s="19">
        <f>IFERROR(IF($E146="REC",INDEX(A_Type_Volume!$J:$J,MATCH($D146,A_Type_Volume!$A:$A,0),1),IF($E146="VAM",INDEX(C_Type_Volume!$J:$J,MATCH($D146,C_Type_Volume!$A:$A,0),1),"X")),"")</f>
        <v>0</v>
      </c>
      <c r="BI146" s="19">
        <f>IFERROR(IF($E146="REC",INDEX(A_Type_Volume!$K:$K,MATCH($D146,A_Type_Volume!$A:$A,0),1),IF($E146="VAM",INDEX(C_Type_Volume!$K:$K,MATCH($D146,C_Type_Volume!$A:$A,0),1),"X")),"")</f>
        <v>1056</v>
      </c>
      <c r="BJ146" s="19">
        <f>IFERROR(IF($E146="REC",INDEX(A_Type_Volume!$L:$L,MATCH($D146,A_Type_Volume!$A:$A,0),1),IF($E146="VAM",INDEX(C_Type_Volume!$L:$L,MATCH($D146,C_Type_Volume!$A:$A,0),1),"X")),"")</f>
        <v>720</v>
      </c>
      <c r="BK146" s="19">
        <f>IFERROR(IF($E146="REC",INDEX(A_Type_Volume!M:M,MATCH($D146,A_Type_Volume!$A:$A,0),1),IF($E146="VAM",INDEX(C_Type_Volume!M:M,MATCH($D146,C_Type_Volume!$A:$A,0),1),"X")),"")</f>
        <v>630</v>
      </c>
      <c r="BL146" s="38">
        <f>SUM(Table1[[#This Row],[Jan_AVF]:[Dec_AVF]])</f>
        <v>24108</v>
      </c>
      <c r="BM146" s="16">
        <f t="shared" si="140"/>
        <v>381.96766540800007</v>
      </c>
      <c r="BN146" s="16">
        <f t="shared" si="141"/>
        <v>205.98308308800003</v>
      </c>
      <c r="BO146" s="16">
        <f t="shared" si="142"/>
        <v>102.80943144000001</v>
      </c>
      <c r="BP146" s="16">
        <f t="shared" si="143"/>
        <v>27.813179520000006</v>
      </c>
      <c r="BQ146" s="16">
        <f t="shared" si="144"/>
        <v>0</v>
      </c>
      <c r="BR146" s="16">
        <f t="shared" si="145"/>
        <v>0</v>
      </c>
      <c r="BS146" s="16">
        <f t="shared" si="146"/>
        <v>0</v>
      </c>
      <c r="BT146" s="16">
        <f t="shared" si="147"/>
        <v>0</v>
      </c>
      <c r="BU146" s="16">
        <f t="shared" si="148"/>
        <v>0</v>
      </c>
      <c r="BV146" s="16">
        <f t="shared" si="149"/>
        <v>34.965139968000003</v>
      </c>
      <c r="BW146" s="16">
        <f t="shared" si="150"/>
        <v>23.839868160000002</v>
      </c>
      <c r="BX146" s="16">
        <f t="shared" si="151"/>
        <v>20.859884640000004</v>
      </c>
      <c r="BY146" s="10">
        <f t="shared" si="118"/>
        <v>690.7601799360001</v>
      </c>
      <c r="BZ146" s="10">
        <f t="shared" si="119"/>
        <v>27.813179520000006</v>
      </c>
      <c r="CA146" s="10">
        <f t="shared" si="120"/>
        <v>0</v>
      </c>
      <c r="CB146" s="10">
        <f t="shared" si="121"/>
        <v>79.664892768000016</v>
      </c>
      <c r="CC146" s="10">
        <f>IFERROR(Table1[[#This Row],[Labor
Saving]]*Table1[[#This Row],[Annual Volume]],"")</f>
        <v>316.0782522240001</v>
      </c>
      <c r="CD146" s="10">
        <f>IFERROR(Table1[[#This Row],[Annual Volume]]*Table1[[#This Row],[Yield
Saving]],"")</f>
        <v>0</v>
      </c>
      <c r="CE146" s="10">
        <f>IFERROR(Table1[[#This Row],[Annual Volume]]*Table1[[#This Row],[Material
Saving]],"")</f>
        <v>482.16</v>
      </c>
      <c r="CF146" s="10">
        <f>IFERROR(Table1[[#This Row],[OH
Saving]]*Table1[[#This Row],[Annual Volume]],"")</f>
        <v>0</v>
      </c>
      <c r="CG146" s="10">
        <f>SUM(Table1[[#This Row],[Labor_ASV]:[OH_ASV]])</f>
        <v>798.23825222400012</v>
      </c>
    </row>
    <row r="147" spans="1:85" x14ac:dyDescent="0.3">
      <c r="A147" t="str">
        <f>Table1[[#This Row],[Project Name]]&amp;Table1[[#This Row],[Part Number]]</f>
        <v>Tape Dicing 4R130</v>
      </c>
      <c r="B147" t="str">
        <f>IFERROR(Table1[[#This Row],[Project Number]]&amp;Table1[[#This Row],[Part Number]],"")</f>
        <v>AME25-089R130</v>
      </c>
      <c r="C147" s="22" t="s">
        <v>136</v>
      </c>
      <c r="D147" s="24" t="s">
        <v>368</v>
      </c>
      <c r="E147" s="25" t="s">
        <v>58</v>
      </c>
      <c r="F147" s="6">
        <f>INDEX(Proj_Reg!G:G,MATCH($C147,Proj_Reg!$B:$B,0),1)</f>
        <v>46082</v>
      </c>
      <c r="G147" s="6">
        <f>INDEX(Proj_Reg!H:H,MATCH($C147,Proj_Reg!$B:$B,0),1)</f>
        <v>46419</v>
      </c>
      <c r="H147" s="6" t="str">
        <f>IF(INDEX(Proj_Reg!C:C,MATCH($C147,Proj_Reg!$B:$B,0),1)=0,"",INDEX(Proj_Reg!C:C,MATCH($C147,Proj_Reg!$B:$B,0),1))</f>
        <v>Wafer Saw Dicing</v>
      </c>
      <c r="I147" s="6" t="str">
        <f>IF(INDEX(Proj_Reg!D:D,MATCH($C147,Proj_Reg!$B:$B,0),1)=0,"",INDEX(Proj_Reg!D:D,MATCH($C147,Proj_Reg!$B:$B,0),1))</f>
        <v>XCD</v>
      </c>
      <c r="J147" s="6" t="str">
        <f>INDEX(Proj_Reg!E:E,MATCH($C147,Proj_Reg!$B:$B,0),1)</f>
        <v>Tape Dicing 4</v>
      </c>
      <c r="K147" s="21">
        <v>1.3110928000000004E-2</v>
      </c>
      <c r="L147" s="21">
        <v>0</v>
      </c>
      <c r="M147" s="21">
        <v>0.02</v>
      </c>
      <c r="N147" s="21">
        <v>0</v>
      </c>
      <c r="O147" s="11">
        <f>SUM(Table1[[#This Row],[Labor
Saving]:[OH
Saving]])</f>
        <v>3.3110928000000005E-2</v>
      </c>
      <c r="Q147" s="40">
        <f t="shared" si="102"/>
        <v>0</v>
      </c>
      <c r="R147" s="40">
        <f t="shared" si="103"/>
        <v>0</v>
      </c>
      <c r="S147" s="40">
        <f t="shared" si="104"/>
        <v>222</v>
      </c>
      <c r="T147" s="40">
        <f t="shared" si="105"/>
        <v>663</v>
      </c>
      <c r="U147" s="40">
        <f t="shared" si="106"/>
        <v>850</v>
      </c>
      <c r="V147" s="40">
        <f t="shared" si="107"/>
        <v>816</v>
      </c>
      <c r="W147" s="40">
        <f t="shared" si="108"/>
        <v>824</v>
      </c>
      <c r="X147" s="40">
        <f t="shared" si="109"/>
        <v>302</v>
      </c>
      <c r="Y147" s="40">
        <f t="shared" si="110"/>
        <v>352</v>
      </c>
      <c r="Z147" s="40">
        <f t="shared" si="111"/>
        <v>2003</v>
      </c>
      <c r="AA147" s="40">
        <f t="shared" si="112"/>
        <v>1366</v>
      </c>
      <c r="AB147" s="40">
        <f t="shared" si="113"/>
        <v>1195</v>
      </c>
      <c r="AC147" s="37">
        <f>SUM(Table1[[#This Row],[Jan]:[Dec]])</f>
        <v>8593</v>
      </c>
      <c r="AD147" s="15">
        <f t="shared" si="122"/>
        <v>0</v>
      </c>
      <c r="AE147" s="15">
        <f t="shared" si="123"/>
        <v>0</v>
      </c>
      <c r="AF147" s="15">
        <f t="shared" si="124"/>
        <v>7.3506260160000014</v>
      </c>
      <c r="AG147" s="15">
        <f t="shared" si="125"/>
        <v>21.952545264000005</v>
      </c>
      <c r="AH147" s="15">
        <f t="shared" si="126"/>
        <v>28.144288800000005</v>
      </c>
      <c r="AI147" s="15">
        <f t="shared" si="127"/>
        <v>27.018517248000006</v>
      </c>
      <c r="AJ147" s="15">
        <f t="shared" si="128"/>
        <v>27.283404672000003</v>
      </c>
      <c r="AK147" s="15">
        <f t="shared" si="129"/>
        <v>9.999500256000001</v>
      </c>
      <c r="AL147" s="15">
        <f t="shared" si="130"/>
        <v>11.655046656000001</v>
      </c>
      <c r="AM147" s="15">
        <f t="shared" si="131"/>
        <v>66.321188784000014</v>
      </c>
      <c r="AN147" s="15">
        <f t="shared" si="132"/>
        <v>45.229527648000008</v>
      </c>
      <c r="AO147" s="15">
        <f t="shared" si="133"/>
        <v>39.567558960000007</v>
      </c>
      <c r="AP147" s="10">
        <f t="shared" si="134"/>
        <v>7.3506260160000014</v>
      </c>
      <c r="AQ147" s="10">
        <f t="shared" si="135"/>
        <v>77.115351312000016</v>
      </c>
      <c r="AR147" s="10">
        <f t="shared" si="136"/>
        <v>48.937951584000011</v>
      </c>
      <c r="AS147" s="10">
        <f t="shared" si="137"/>
        <v>151.11827539200004</v>
      </c>
      <c r="AT147" s="10" t="b">
        <f t="shared" si="138"/>
        <v>1</v>
      </c>
      <c r="AU147" s="10">
        <f t="shared" si="114"/>
        <v>112.66220430400004</v>
      </c>
      <c r="AV147" s="10">
        <f t="shared" si="115"/>
        <v>0</v>
      </c>
      <c r="AW147" s="10">
        <f t="shared" si="116"/>
        <v>171.86</v>
      </c>
      <c r="AX147" s="10">
        <f t="shared" si="117"/>
        <v>0</v>
      </c>
      <c r="AY147" s="10">
        <f t="shared" si="139"/>
        <v>284.52220430400007</v>
      </c>
      <c r="AZ147" s="19">
        <f>IFERROR(IF($E147="REC",INDEX(A_Type_Volume!$B:$B,MATCH($D147,A_Type_Volume!$A:$A,0),1),IF($E147="VAM",INDEX(C_Type_Volume!$B:$B,MATCH($D147,C_Type_Volume!$A:$A,0),1),"X")),"")</f>
        <v>0</v>
      </c>
      <c r="BA147" s="19">
        <f>IFERROR(IF($E147="REC",INDEX(A_Type_Volume!$C:$C,MATCH($D147,A_Type_Volume!$A:$A,0),1),IF($E147="VAM",INDEX(C_Type_Volume!$C:$C,MATCH($D147,C_Type_Volume!$A:$A,0),1),"X")),"")</f>
        <v>0</v>
      </c>
      <c r="BB147" s="19">
        <f>IFERROR(IF($E147="REC",INDEX(A_Type_Volume!$D:$D,MATCH($D147,A_Type_Volume!$A:$A,0),1),IF($E147="VAM",INDEX(C_Type_Volume!$D:$D,MATCH($D147,C_Type_Volume!$A:$A,0),1),"X")),"")</f>
        <v>740</v>
      </c>
      <c r="BC147" s="19">
        <f>IFERROR(IF($E147="REC",INDEX(A_Type_Volume!$E:$E,MATCH($D147,A_Type_Volume!$A:$A,0),1),IF($E147="VAM",INDEX(C_Type_Volume!$E:$E,MATCH($D147,C_Type_Volume!$A:$A,0),1),"X")),"")</f>
        <v>663</v>
      </c>
      <c r="BD147" s="19">
        <f>IFERROR(IF($E147="REC",INDEX(A_Type_Volume!$F:$F,MATCH($D147,A_Type_Volume!$A:$A,0),1),IF($E147="VAM",INDEX(C_Type_Volume!$F:$F,MATCH($D147,C_Type_Volume!$A:$A,0),1),"X")),"")</f>
        <v>850</v>
      </c>
      <c r="BE147" s="19">
        <f>IFERROR(IF($E147="REC",INDEX(A_Type_Volume!$G:$G,MATCH($D147,A_Type_Volume!$A:$A,0),1),IF($E147="VAM",INDEX(C_Type_Volume!$G:$G,MATCH($D147,C_Type_Volume!$A:$A,0),1),"X")),"")</f>
        <v>816</v>
      </c>
      <c r="BF147" s="19">
        <f>IFERROR(IF($E147="REC",INDEX(A_Type_Volume!$H:$H,MATCH($D147,A_Type_Volume!$A:$A,0),1),IF($E147="VAM",INDEX(C_Type_Volume!$H:$H,MATCH($D147,C_Type_Volume!$A:$A,0),1),"X")),"")</f>
        <v>824</v>
      </c>
      <c r="BG147" s="19">
        <f>IFERROR(IF($E147="REC",INDEX(A_Type_Volume!$I:$I,MATCH($D147,A_Type_Volume!$A:$A,0),1),IF($E147="VAM",INDEX(C_Type_Volume!$I:$I,MATCH($D147,C_Type_Volume!$A:$A,0),1),"X")),"")</f>
        <v>302</v>
      </c>
      <c r="BH147" s="19">
        <f>IFERROR(IF($E147="REC",INDEX(A_Type_Volume!$J:$J,MATCH($D147,A_Type_Volume!$A:$A,0),1),IF($E147="VAM",INDEX(C_Type_Volume!$J:$J,MATCH($D147,C_Type_Volume!$A:$A,0),1),"X")),"")</f>
        <v>352</v>
      </c>
      <c r="BI147" s="19">
        <f>IFERROR(IF($E147="REC",INDEX(A_Type_Volume!$K:$K,MATCH($D147,A_Type_Volume!$A:$A,0),1),IF($E147="VAM",INDEX(C_Type_Volume!$K:$K,MATCH($D147,C_Type_Volume!$A:$A,0),1),"X")),"")</f>
        <v>2003</v>
      </c>
      <c r="BJ147" s="19">
        <f>IFERROR(IF($E147="REC",INDEX(A_Type_Volume!$L:$L,MATCH($D147,A_Type_Volume!$A:$A,0),1),IF($E147="VAM",INDEX(C_Type_Volume!$L:$L,MATCH($D147,C_Type_Volume!$A:$A,0),1),"X")),"")</f>
        <v>1366</v>
      </c>
      <c r="BK147" s="19">
        <f>IFERROR(IF($E147="REC",INDEX(A_Type_Volume!M:M,MATCH($D147,A_Type_Volume!$A:$A,0),1),IF($E147="VAM",INDEX(C_Type_Volume!M:M,MATCH($D147,C_Type_Volume!$A:$A,0),1),"X")),"")</f>
        <v>1195</v>
      </c>
      <c r="BL147" s="38">
        <f>SUM(Table1[[#This Row],[Jan_AVF]:[Dec_AVF]])</f>
        <v>9111</v>
      </c>
      <c r="BM147" s="16">
        <f t="shared" si="140"/>
        <v>0</v>
      </c>
      <c r="BN147" s="16">
        <f t="shared" si="141"/>
        <v>0</v>
      </c>
      <c r="BO147" s="16">
        <f t="shared" si="142"/>
        <v>24.502086720000005</v>
      </c>
      <c r="BP147" s="16">
        <f t="shared" si="143"/>
        <v>21.952545264000005</v>
      </c>
      <c r="BQ147" s="16">
        <f t="shared" si="144"/>
        <v>28.144288800000005</v>
      </c>
      <c r="BR147" s="16">
        <f t="shared" si="145"/>
        <v>27.018517248000006</v>
      </c>
      <c r="BS147" s="16">
        <f t="shared" si="146"/>
        <v>27.283404672000003</v>
      </c>
      <c r="BT147" s="16">
        <f t="shared" si="147"/>
        <v>9.999500256000001</v>
      </c>
      <c r="BU147" s="16">
        <f t="shared" si="148"/>
        <v>11.655046656000001</v>
      </c>
      <c r="BV147" s="16">
        <f t="shared" si="149"/>
        <v>66.321188784000014</v>
      </c>
      <c r="BW147" s="16">
        <f t="shared" si="150"/>
        <v>45.229527648000008</v>
      </c>
      <c r="BX147" s="16">
        <f t="shared" si="151"/>
        <v>39.567558960000007</v>
      </c>
      <c r="BY147" s="10">
        <f t="shared" si="118"/>
        <v>24.502086720000005</v>
      </c>
      <c r="BZ147" s="10">
        <f t="shared" si="119"/>
        <v>77.115351312000016</v>
      </c>
      <c r="CA147" s="10">
        <f t="shared" si="120"/>
        <v>48.937951584000011</v>
      </c>
      <c r="CB147" s="10">
        <f t="shared" si="121"/>
        <v>151.11827539200004</v>
      </c>
      <c r="CC147" s="10">
        <f>IFERROR(Table1[[#This Row],[Labor
Saving]]*Table1[[#This Row],[Annual Volume]],"")</f>
        <v>119.45366500800004</v>
      </c>
      <c r="CD147" s="10">
        <f>IFERROR(Table1[[#This Row],[Annual Volume]]*Table1[[#This Row],[Yield
Saving]],"")</f>
        <v>0</v>
      </c>
      <c r="CE147" s="10">
        <f>IFERROR(Table1[[#This Row],[Annual Volume]]*Table1[[#This Row],[Material
Saving]],"")</f>
        <v>182.22</v>
      </c>
      <c r="CF147" s="10">
        <f>IFERROR(Table1[[#This Row],[OH
Saving]]*Table1[[#This Row],[Annual Volume]],"")</f>
        <v>0</v>
      </c>
      <c r="CG147" s="10">
        <f>SUM(Table1[[#This Row],[Labor_ASV]:[OH_ASV]])</f>
        <v>301.67366500800006</v>
      </c>
    </row>
    <row r="148" spans="1:85" x14ac:dyDescent="0.3">
      <c r="A148" t="str">
        <f>Table1[[#This Row],[Project Name]]&amp;Table1[[#This Row],[Part Number]]</f>
        <v>Tape Dicing 4R131</v>
      </c>
      <c r="B148" t="str">
        <f>IFERROR(Table1[[#This Row],[Project Number]]&amp;Table1[[#This Row],[Part Number]],"")</f>
        <v>AME25-089R131</v>
      </c>
      <c r="C148" s="22" t="s">
        <v>136</v>
      </c>
      <c r="D148" s="24" t="s">
        <v>369</v>
      </c>
      <c r="E148" s="25" t="s">
        <v>58</v>
      </c>
      <c r="F148" s="6">
        <f>INDEX(Proj_Reg!G:G,MATCH($C148,Proj_Reg!$B:$B,0),1)</f>
        <v>46082</v>
      </c>
      <c r="G148" s="6">
        <f>INDEX(Proj_Reg!H:H,MATCH($C148,Proj_Reg!$B:$B,0),1)</f>
        <v>46419</v>
      </c>
      <c r="H148" s="6" t="str">
        <f>IF(INDEX(Proj_Reg!C:C,MATCH($C148,Proj_Reg!$B:$B,0),1)=0,"",INDEX(Proj_Reg!C:C,MATCH($C148,Proj_Reg!$B:$B,0),1))</f>
        <v>Wafer Saw Dicing</v>
      </c>
      <c r="I148" s="6" t="str">
        <f>IF(INDEX(Proj_Reg!D:D,MATCH($C148,Proj_Reg!$B:$B,0),1)=0,"",INDEX(Proj_Reg!D:D,MATCH($C148,Proj_Reg!$B:$B,0),1))</f>
        <v>XCD</v>
      </c>
      <c r="J148" s="6" t="str">
        <f>INDEX(Proj_Reg!E:E,MATCH($C148,Proj_Reg!$B:$B,0),1)</f>
        <v>Tape Dicing 4</v>
      </c>
      <c r="K148" s="21">
        <v>1.3110928000000004E-2</v>
      </c>
      <c r="L148" s="21">
        <v>0</v>
      </c>
      <c r="M148" s="21">
        <v>0.02</v>
      </c>
      <c r="N148" s="21">
        <v>0</v>
      </c>
      <c r="O148" s="11">
        <f>SUM(Table1[[#This Row],[Labor
Saving]:[OH
Saving]])</f>
        <v>3.3110928000000005E-2</v>
      </c>
      <c r="Q148" s="40">
        <f t="shared" si="102"/>
        <v>0</v>
      </c>
      <c r="R148" s="40">
        <f t="shared" si="103"/>
        <v>0</v>
      </c>
      <c r="S148" s="40">
        <f t="shared" si="104"/>
        <v>162.6</v>
      </c>
      <c r="T148" s="40">
        <f t="shared" si="105"/>
        <v>485</v>
      </c>
      <c r="U148" s="40">
        <f t="shared" si="106"/>
        <v>566</v>
      </c>
      <c r="V148" s="40">
        <f t="shared" si="107"/>
        <v>569</v>
      </c>
      <c r="W148" s="40">
        <f t="shared" si="108"/>
        <v>589</v>
      </c>
      <c r="X148" s="40">
        <f t="shared" si="109"/>
        <v>216</v>
      </c>
      <c r="Y148" s="40">
        <f t="shared" si="110"/>
        <v>252</v>
      </c>
      <c r="Z148" s="40">
        <f t="shared" si="111"/>
        <v>2003</v>
      </c>
      <c r="AA148" s="40">
        <f t="shared" si="112"/>
        <v>1366</v>
      </c>
      <c r="AB148" s="40">
        <f t="shared" si="113"/>
        <v>1195</v>
      </c>
      <c r="AC148" s="37">
        <f>SUM(Table1[[#This Row],[Jan]:[Dec]])</f>
        <v>7403.6</v>
      </c>
      <c r="AD148" s="15">
        <f t="shared" si="122"/>
        <v>0</v>
      </c>
      <c r="AE148" s="15">
        <f t="shared" si="123"/>
        <v>0</v>
      </c>
      <c r="AF148" s="15">
        <f t="shared" si="124"/>
        <v>5.3838368928000007</v>
      </c>
      <c r="AG148" s="15">
        <f t="shared" si="125"/>
        <v>16.058800080000001</v>
      </c>
      <c r="AH148" s="15">
        <f t="shared" si="126"/>
        <v>18.740785248000002</v>
      </c>
      <c r="AI148" s="15">
        <f t="shared" si="127"/>
        <v>18.840118032000003</v>
      </c>
      <c r="AJ148" s="15">
        <f t="shared" si="128"/>
        <v>19.502336592000002</v>
      </c>
      <c r="AK148" s="15">
        <f t="shared" si="129"/>
        <v>7.1519604480000014</v>
      </c>
      <c r="AL148" s="15">
        <f t="shared" si="130"/>
        <v>8.3439538560000006</v>
      </c>
      <c r="AM148" s="15">
        <f t="shared" si="131"/>
        <v>66.321188784000014</v>
      </c>
      <c r="AN148" s="15">
        <f t="shared" si="132"/>
        <v>45.229527648000008</v>
      </c>
      <c r="AO148" s="15">
        <f t="shared" si="133"/>
        <v>39.567558960000007</v>
      </c>
      <c r="AP148" s="10">
        <f t="shared" si="134"/>
        <v>5.3838368928000007</v>
      </c>
      <c r="AQ148" s="10">
        <f t="shared" si="135"/>
        <v>53.639703360000013</v>
      </c>
      <c r="AR148" s="10">
        <f t="shared" si="136"/>
        <v>34.998250896000002</v>
      </c>
      <c r="AS148" s="10">
        <f t="shared" si="137"/>
        <v>151.11827539200004</v>
      </c>
      <c r="AT148" s="10" t="b">
        <f t="shared" si="138"/>
        <v>1</v>
      </c>
      <c r="AU148" s="10">
        <f t="shared" si="114"/>
        <v>97.068066540800032</v>
      </c>
      <c r="AV148" s="10">
        <f t="shared" si="115"/>
        <v>0</v>
      </c>
      <c r="AW148" s="10">
        <f t="shared" si="116"/>
        <v>148.072</v>
      </c>
      <c r="AX148" s="10">
        <f t="shared" si="117"/>
        <v>0</v>
      </c>
      <c r="AY148" s="10">
        <f t="shared" si="139"/>
        <v>245.14006654080003</v>
      </c>
      <c r="AZ148" s="19">
        <f>IFERROR(IF($E148="REC",INDEX(A_Type_Volume!$B:$B,MATCH($D148,A_Type_Volume!$A:$A,0),1),IF($E148="VAM",INDEX(C_Type_Volume!$B:$B,MATCH($D148,C_Type_Volume!$A:$A,0),1),"X")),"")</f>
        <v>389</v>
      </c>
      <c r="BA148" s="19">
        <f>IFERROR(IF($E148="REC",INDEX(A_Type_Volume!$C:$C,MATCH($D148,A_Type_Volume!$A:$A,0),1),IF($E148="VAM",INDEX(C_Type_Volume!$C:$C,MATCH($D148,C_Type_Volume!$A:$A,0),1),"X")),"")</f>
        <v>0</v>
      </c>
      <c r="BB148" s="19">
        <f>IFERROR(IF($E148="REC",INDEX(A_Type_Volume!$D:$D,MATCH($D148,A_Type_Volume!$A:$A,0),1),IF($E148="VAM",INDEX(C_Type_Volume!$D:$D,MATCH($D148,C_Type_Volume!$A:$A,0),1),"X")),"")</f>
        <v>542</v>
      </c>
      <c r="BC148" s="19">
        <f>IFERROR(IF($E148="REC",INDEX(A_Type_Volume!$E:$E,MATCH($D148,A_Type_Volume!$A:$A,0),1),IF($E148="VAM",INDEX(C_Type_Volume!$E:$E,MATCH($D148,C_Type_Volume!$A:$A,0),1),"X")),"")</f>
        <v>485</v>
      </c>
      <c r="BD148" s="19">
        <f>IFERROR(IF($E148="REC",INDEX(A_Type_Volume!$F:$F,MATCH($D148,A_Type_Volume!$A:$A,0),1),IF($E148="VAM",INDEX(C_Type_Volume!$F:$F,MATCH($D148,C_Type_Volume!$A:$A,0),1),"X")),"")</f>
        <v>566</v>
      </c>
      <c r="BE148" s="19">
        <f>IFERROR(IF($E148="REC",INDEX(A_Type_Volume!$G:$G,MATCH($D148,A_Type_Volume!$A:$A,0),1),IF($E148="VAM",INDEX(C_Type_Volume!$G:$G,MATCH($D148,C_Type_Volume!$A:$A,0),1),"X")),"")</f>
        <v>569</v>
      </c>
      <c r="BF148" s="19">
        <f>IFERROR(IF($E148="REC",INDEX(A_Type_Volume!$H:$H,MATCH($D148,A_Type_Volume!$A:$A,0),1),IF($E148="VAM",INDEX(C_Type_Volume!$H:$H,MATCH($D148,C_Type_Volume!$A:$A,0),1),"X")),"")</f>
        <v>589</v>
      </c>
      <c r="BG148" s="19">
        <f>IFERROR(IF($E148="REC",INDEX(A_Type_Volume!$I:$I,MATCH($D148,A_Type_Volume!$A:$A,0),1),IF($E148="VAM",INDEX(C_Type_Volume!$I:$I,MATCH($D148,C_Type_Volume!$A:$A,0),1),"X")),"")</f>
        <v>216</v>
      </c>
      <c r="BH148" s="19">
        <f>IFERROR(IF($E148="REC",INDEX(A_Type_Volume!$J:$J,MATCH($D148,A_Type_Volume!$A:$A,0),1),IF($E148="VAM",INDEX(C_Type_Volume!$J:$J,MATCH($D148,C_Type_Volume!$A:$A,0),1),"X")),"")</f>
        <v>252</v>
      </c>
      <c r="BI148" s="19">
        <f>IFERROR(IF($E148="REC",INDEX(A_Type_Volume!$K:$K,MATCH($D148,A_Type_Volume!$A:$A,0),1),IF($E148="VAM",INDEX(C_Type_Volume!$K:$K,MATCH($D148,C_Type_Volume!$A:$A,0),1),"X")),"")</f>
        <v>2003</v>
      </c>
      <c r="BJ148" s="19">
        <f>IFERROR(IF($E148="REC",INDEX(A_Type_Volume!$L:$L,MATCH($D148,A_Type_Volume!$A:$A,0),1),IF($E148="VAM",INDEX(C_Type_Volume!$L:$L,MATCH($D148,C_Type_Volume!$A:$A,0),1),"X")),"")</f>
        <v>1366</v>
      </c>
      <c r="BK148" s="19">
        <f>IFERROR(IF($E148="REC",INDEX(A_Type_Volume!M:M,MATCH($D148,A_Type_Volume!$A:$A,0),1),IF($E148="VAM",INDEX(C_Type_Volume!M:M,MATCH($D148,C_Type_Volume!$A:$A,0),1),"X")),"")</f>
        <v>1195</v>
      </c>
      <c r="BL148" s="38">
        <f>SUM(Table1[[#This Row],[Jan_AVF]:[Dec_AVF]])</f>
        <v>8172</v>
      </c>
      <c r="BM148" s="16">
        <f t="shared" si="140"/>
        <v>12.880150992000003</v>
      </c>
      <c r="BN148" s="16">
        <f t="shared" si="141"/>
        <v>0</v>
      </c>
      <c r="BO148" s="16">
        <f t="shared" si="142"/>
        <v>17.946122976000002</v>
      </c>
      <c r="BP148" s="16">
        <f t="shared" si="143"/>
        <v>16.058800080000001</v>
      </c>
      <c r="BQ148" s="16">
        <f t="shared" si="144"/>
        <v>18.740785248000002</v>
      </c>
      <c r="BR148" s="16">
        <f t="shared" si="145"/>
        <v>18.840118032000003</v>
      </c>
      <c r="BS148" s="16">
        <f t="shared" si="146"/>
        <v>19.502336592000002</v>
      </c>
      <c r="BT148" s="16">
        <f t="shared" si="147"/>
        <v>7.1519604480000014</v>
      </c>
      <c r="BU148" s="16">
        <f t="shared" si="148"/>
        <v>8.3439538560000006</v>
      </c>
      <c r="BV148" s="16">
        <f t="shared" si="149"/>
        <v>66.321188784000014</v>
      </c>
      <c r="BW148" s="16">
        <f t="shared" si="150"/>
        <v>45.229527648000008</v>
      </c>
      <c r="BX148" s="16">
        <f t="shared" si="151"/>
        <v>39.567558960000007</v>
      </c>
      <c r="BY148" s="10">
        <f t="shared" si="118"/>
        <v>30.826273968000002</v>
      </c>
      <c r="BZ148" s="10">
        <f t="shared" si="119"/>
        <v>53.639703360000013</v>
      </c>
      <c r="CA148" s="10">
        <f t="shared" si="120"/>
        <v>34.998250896000002</v>
      </c>
      <c r="CB148" s="10">
        <f t="shared" si="121"/>
        <v>151.11827539200004</v>
      </c>
      <c r="CC148" s="10">
        <f>IFERROR(Table1[[#This Row],[Labor
Saving]]*Table1[[#This Row],[Annual Volume]],"")</f>
        <v>107.14250361600004</v>
      </c>
      <c r="CD148" s="10">
        <f>IFERROR(Table1[[#This Row],[Annual Volume]]*Table1[[#This Row],[Yield
Saving]],"")</f>
        <v>0</v>
      </c>
      <c r="CE148" s="10">
        <f>IFERROR(Table1[[#This Row],[Annual Volume]]*Table1[[#This Row],[Material
Saving]],"")</f>
        <v>163.44</v>
      </c>
      <c r="CF148" s="10">
        <f>IFERROR(Table1[[#This Row],[OH
Saving]]*Table1[[#This Row],[Annual Volume]],"")</f>
        <v>0</v>
      </c>
      <c r="CG148" s="10">
        <f>SUM(Table1[[#This Row],[Labor_ASV]:[OH_ASV]])</f>
        <v>270.58250361600005</v>
      </c>
    </row>
    <row r="149" spans="1:85" x14ac:dyDescent="0.3">
      <c r="A149" t="str">
        <f>Table1[[#This Row],[Project Name]]&amp;Table1[[#This Row],[Part Number]]</f>
        <v>Tape Dicing 4R132</v>
      </c>
      <c r="B149" t="str">
        <f>IFERROR(Table1[[#This Row],[Project Number]]&amp;Table1[[#This Row],[Part Number]],"")</f>
        <v>AME25-089R132</v>
      </c>
      <c r="C149" s="22" t="s">
        <v>136</v>
      </c>
      <c r="D149" s="24" t="s">
        <v>370</v>
      </c>
      <c r="E149" s="25" t="s">
        <v>58</v>
      </c>
      <c r="F149" s="6">
        <f>INDEX(Proj_Reg!G:G,MATCH($C149,Proj_Reg!$B:$B,0),1)</f>
        <v>46082</v>
      </c>
      <c r="G149" s="6">
        <f>INDEX(Proj_Reg!H:H,MATCH($C149,Proj_Reg!$B:$B,0),1)</f>
        <v>46419</v>
      </c>
      <c r="H149" s="6" t="str">
        <f>IF(INDEX(Proj_Reg!C:C,MATCH($C149,Proj_Reg!$B:$B,0),1)=0,"",INDEX(Proj_Reg!C:C,MATCH($C149,Proj_Reg!$B:$B,0),1))</f>
        <v>Wafer Saw Dicing</v>
      </c>
      <c r="I149" s="6" t="str">
        <f>IF(INDEX(Proj_Reg!D:D,MATCH($C149,Proj_Reg!$B:$B,0),1)=0,"",INDEX(Proj_Reg!D:D,MATCH($C149,Proj_Reg!$B:$B,0),1))</f>
        <v>XCD</v>
      </c>
      <c r="J149" s="6" t="str">
        <f>INDEX(Proj_Reg!E:E,MATCH($C149,Proj_Reg!$B:$B,0),1)</f>
        <v>Tape Dicing 4</v>
      </c>
      <c r="K149" s="21">
        <v>1.3110928000000004E-2</v>
      </c>
      <c r="L149" s="21">
        <v>0</v>
      </c>
      <c r="M149" s="21">
        <v>0.02</v>
      </c>
      <c r="N149" s="21">
        <v>0</v>
      </c>
      <c r="O149" s="11">
        <f>SUM(Table1[[#This Row],[Labor
Saving]:[OH
Saving]])</f>
        <v>3.3110928000000005E-2</v>
      </c>
      <c r="Q149" s="40">
        <f t="shared" si="102"/>
        <v>0</v>
      </c>
      <c r="R149" s="40">
        <f t="shared" si="103"/>
        <v>0</v>
      </c>
      <c r="S149" s="40">
        <f t="shared" si="104"/>
        <v>1359.6</v>
      </c>
      <c r="T149" s="40">
        <f t="shared" si="105"/>
        <v>4056</v>
      </c>
      <c r="U149" s="40">
        <f t="shared" si="106"/>
        <v>4833</v>
      </c>
      <c r="V149" s="40">
        <f t="shared" si="107"/>
        <v>4991</v>
      </c>
      <c r="W149" s="40">
        <f t="shared" si="108"/>
        <v>5573</v>
      </c>
      <c r="X149" s="40">
        <f t="shared" si="109"/>
        <v>2043</v>
      </c>
      <c r="Y149" s="40">
        <f t="shared" si="110"/>
        <v>2383</v>
      </c>
      <c r="Z149" s="40">
        <f t="shared" si="111"/>
        <v>7028</v>
      </c>
      <c r="AA149" s="40">
        <f t="shared" si="112"/>
        <v>4792</v>
      </c>
      <c r="AB149" s="40">
        <f t="shared" si="113"/>
        <v>4193</v>
      </c>
      <c r="AC149" s="37">
        <f>SUM(Table1[[#This Row],[Jan]:[Dec]])</f>
        <v>41251.599999999999</v>
      </c>
      <c r="AD149" s="15">
        <f t="shared" si="122"/>
        <v>0</v>
      </c>
      <c r="AE149" s="15">
        <f t="shared" si="123"/>
        <v>0</v>
      </c>
      <c r="AF149" s="15">
        <f t="shared" si="124"/>
        <v>45.017617708800003</v>
      </c>
      <c r="AG149" s="15">
        <f t="shared" si="125"/>
        <v>134.29792396800002</v>
      </c>
      <c r="AH149" s="15">
        <f t="shared" si="126"/>
        <v>160.02511502400003</v>
      </c>
      <c r="AI149" s="15">
        <f t="shared" si="127"/>
        <v>165.25664164800003</v>
      </c>
      <c r="AJ149" s="15">
        <f t="shared" si="128"/>
        <v>184.52720174400002</v>
      </c>
      <c r="AK149" s="15">
        <f t="shared" si="129"/>
        <v>67.645625904000013</v>
      </c>
      <c r="AL149" s="15">
        <f t="shared" si="130"/>
        <v>78.903341424000018</v>
      </c>
      <c r="AM149" s="15">
        <f t="shared" si="131"/>
        <v>232.70360198400004</v>
      </c>
      <c r="AN149" s="15">
        <f t="shared" si="132"/>
        <v>158.66756697600002</v>
      </c>
      <c r="AO149" s="15">
        <f t="shared" si="133"/>
        <v>138.83412110400002</v>
      </c>
      <c r="AP149" s="10">
        <f t="shared" si="134"/>
        <v>45.017617708800003</v>
      </c>
      <c r="AQ149" s="10">
        <f t="shared" si="135"/>
        <v>459.57968064000011</v>
      </c>
      <c r="AR149" s="10">
        <f t="shared" si="136"/>
        <v>331.07616907200008</v>
      </c>
      <c r="AS149" s="10">
        <f t="shared" si="137"/>
        <v>530.20529006400011</v>
      </c>
      <c r="AT149" s="10" t="b">
        <f t="shared" si="138"/>
        <v>1</v>
      </c>
      <c r="AU149" s="10">
        <f t="shared" si="114"/>
        <v>540.84675748480015</v>
      </c>
      <c r="AV149" s="10">
        <f t="shared" si="115"/>
        <v>0</v>
      </c>
      <c r="AW149" s="10">
        <f t="shared" si="116"/>
        <v>825.03200000000004</v>
      </c>
      <c r="AX149" s="10">
        <f t="shared" si="117"/>
        <v>0</v>
      </c>
      <c r="AY149" s="10">
        <f t="shared" si="139"/>
        <v>1365.8787574848002</v>
      </c>
      <c r="AZ149" s="19">
        <f>IFERROR(IF($E149="REC",INDEX(A_Type_Volume!$B:$B,MATCH($D149,A_Type_Volume!$A:$A,0),1),IF($E149="VAM",INDEX(C_Type_Volume!$B:$B,MATCH($D149,C_Type_Volume!$A:$A,0),1),"X")),"")</f>
        <v>35591</v>
      </c>
      <c r="BA149" s="19">
        <f>IFERROR(IF($E149="REC",INDEX(A_Type_Volume!$C:$C,MATCH($D149,A_Type_Volume!$A:$A,0),1),IF($E149="VAM",INDEX(C_Type_Volume!$C:$C,MATCH($D149,C_Type_Volume!$A:$A,0),1),"X")),"")</f>
        <v>0</v>
      </c>
      <c r="BB149" s="19">
        <f>IFERROR(IF($E149="REC",INDEX(A_Type_Volume!$D:$D,MATCH($D149,A_Type_Volume!$A:$A,0),1),IF($E149="VAM",INDEX(C_Type_Volume!$D:$D,MATCH($D149,C_Type_Volume!$A:$A,0),1),"X")),"")</f>
        <v>4532</v>
      </c>
      <c r="BC149" s="19">
        <f>IFERROR(IF($E149="REC",INDEX(A_Type_Volume!$E:$E,MATCH($D149,A_Type_Volume!$A:$A,0),1),IF($E149="VAM",INDEX(C_Type_Volume!$E:$E,MATCH($D149,C_Type_Volume!$A:$A,0),1),"X")),"")</f>
        <v>4056</v>
      </c>
      <c r="BD149" s="19">
        <f>IFERROR(IF($E149="REC",INDEX(A_Type_Volume!$F:$F,MATCH($D149,A_Type_Volume!$A:$A,0),1),IF($E149="VAM",INDEX(C_Type_Volume!$F:$F,MATCH($D149,C_Type_Volume!$A:$A,0),1),"X")),"")</f>
        <v>4833</v>
      </c>
      <c r="BE149" s="19">
        <f>IFERROR(IF($E149="REC",INDEX(A_Type_Volume!$G:$G,MATCH($D149,A_Type_Volume!$A:$A,0),1),IF($E149="VAM",INDEX(C_Type_Volume!$G:$G,MATCH($D149,C_Type_Volume!$A:$A,0),1),"X")),"")</f>
        <v>4991</v>
      </c>
      <c r="BF149" s="19">
        <f>IFERROR(IF($E149="REC",INDEX(A_Type_Volume!$H:$H,MATCH($D149,A_Type_Volume!$A:$A,0),1),IF($E149="VAM",INDEX(C_Type_Volume!$H:$H,MATCH($D149,C_Type_Volume!$A:$A,0),1),"X")),"")</f>
        <v>5573</v>
      </c>
      <c r="BG149" s="19">
        <f>IFERROR(IF($E149="REC",INDEX(A_Type_Volume!$I:$I,MATCH($D149,A_Type_Volume!$A:$A,0),1),IF($E149="VAM",INDEX(C_Type_Volume!$I:$I,MATCH($D149,C_Type_Volume!$A:$A,0),1),"X")),"")</f>
        <v>2043</v>
      </c>
      <c r="BH149" s="19">
        <f>IFERROR(IF($E149="REC",INDEX(A_Type_Volume!$J:$J,MATCH($D149,A_Type_Volume!$A:$A,0),1),IF($E149="VAM",INDEX(C_Type_Volume!$J:$J,MATCH($D149,C_Type_Volume!$A:$A,0),1),"X")),"")</f>
        <v>2383</v>
      </c>
      <c r="BI149" s="19">
        <f>IFERROR(IF($E149="REC",INDEX(A_Type_Volume!$K:$K,MATCH($D149,A_Type_Volume!$A:$A,0),1),IF($E149="VAM",INDEX(C_Type_Volume!$K:$K,MATCH($D149,C_Type_Volume!$A:$A,0),1),"X")),"")</f>
        <v>7028</v>
      </c>
      <c r="BJ149" s="19">
        <f>IFERROR(IF($E149="REC",INDEX(A_Type_Volume!$L:$L,MATCH($D149,A_Type_Volume!$A:$A,0),1),IF($E149="VAM",INDEX(C_Type_Volume!$L:$L,MATCH($D149,C_Type_Volume!$A:$A,0),1),"X")),"")</f>
        <v>4792</v>
      </c>
      <c r="BK149" s="19">
        <f>IFERROR(IF($E149="REC",INDEX(A_Type_Volume!M:M,MATCH($D149,A_Type_Volume!$A:$A,0),1),IF($E149="VAM",INDEX(C_Type_Volume!M:M,MATCH($D149,C_Type_Volume!$A:$A,0),1),"X")),"")</f>
        <v>4193</v>
      </c>
      <c r="BL149" s="38">
        <f>SUM(Table1[[#This Row],[Jan_AVF]:[Dec_AVF]])</f>
        <v>80015</v>
      </c>
      <c r="BM149" s="16">
        <f t="shared" si="140"/>
        <v>1178.4510384480002</v>
      </c>
      <c r="BN149" s="16">
        <f t="shared" si="141"/>
        <v>0</v>
      </c>
      <c r="BO149" s="16">
        <f t="shared" si="142"/>
        <v>150.05872569600001</v>
      </c>
      <c r="BP149" s="16">
        <f t="shared" si="143"/>
        <v>134.29792396800002</v>
      </c>
      <c r="BQ149" s="16">
        <f t="shared" si="144"/>
        <v>160.02511502400003</v>
      </c>
      <c r="BR149" s="16">
        <f t="shared" si="145"/>
        <v>165.25664164800003</v>
      </c>
      <c r="BS149" s="16">
        <f t="shared" si="146"/>
        <v>184.52720174400002</v>
      </c>
      <c r="BT149" s="16">
        <f t="shared" si="147"/>
        <v>67.645625904000013</v>
      </c>
      <c r="BU149" s="16">
        <f t="shared" si="148"/>
        <v>78.903341424000018</v>
      </c>
      <c r="BV149" s="16">
        <f t="shared" si="149"/>
        <v>232.70360198400004</v>
      </c>
      <c r="BW149" s="16">
        <f t="shared" si="150"/>
        <v>158.66756697600002</v>
      </c>
      <c r="BX149" s="16">
        <f t="shared" si="151"/>
        <v>138.83412110400002</v>
      </c>
      <c r="BY149" s="10">
        <f t="shared" si="118"/>
        <v>1328.5097641440002</v>
      </c>
      <c r="BZ149" s="10">
        <f t="shared" si="119"/>
        <v>459.57968064000011</v>
      </c>
      <c r="CA149" s="10">
        <f t="shared" si="120"/>
        <v>331.07616907200008</v>
      </c>
      <c r="CB149" s="10">
        <f t="shared" si="121"/>
        <v>530.20529006400011</v>
      </c>
      <c r="CC149" s="10">
        <f>IFERROR(Table1[[#This Row],[Labor
Saving]]*Table1[[#This Row],[Annual Volume]],"")</f>
        <v>1049.0709039200003</v>
      </c>
      <c r="CD149" s="10">
        <f>IFERROR(Table1[[#This Row],[Annual Volume]]*Table1[[#This Row],[Yield
Saving]],"")</f>
        <v>0</v>
      </c>
      <c r="CE149" s="10">
        <f>IFERROR(Table1[[#This Row],[Annual Volume]]*Table1[[#This Row],[Material
Saving]],"")</f>
        <v>1600.3</v>
      </c>
      <c r="CF149" s="10">
        <f>IFERROR(Table1[[#This Row],[OH
Saving]]*Table1[[#This Row],[Annual Volume]],"")</f>
        <v>0</v>
      </c>
      <c r="CG149" s="10">
        <f>SUM(Table1[[#This Row],[Labor_ASV]:[OH_ASV]])</f>
        <v>2649.3709039200003</v>
      </c>
    </row>
    <row r="150" spans="1:85" x14ac:dyDescent="0.3">
      <c r="A150" t="str">
        <f>Table1[[#This Row],[Project Name]]&amp;Table1[[#This Row],[Part Number]]</f>
        <v>Tape Dicing 4R133</v>
      </c>
      <c r="B150" t="str">
        <f>IFERROR(Table1[[#This Row],[Project Number]]&amp;Table1[[#This Row],[Part Number]],"")</f>
        <v>AME25-089R133</v>
      </c>
      <c r="C150" s="22" t="s">
        <v>136</v>
      </c>
      <c r="D150" s="24" t="s">
        <v>371</v>
      </c>
      <c r="E150" s="25" t="s">
        <v>58</v>
      </c>
      <c r="F150" s="6">
        <f>INDEX(Proj_Reg!G:G,MATCH($C150,Proj_Reg!$B:$B,0),1)</f>
        <v>46082</v>
      </c>
      <c r="G150" s="6">
        <f>INDEX(Proj_Reg!H:H,MATCH($C150,Proj_Reg!$B:$B,0),1)</f>
        <v>46419</v>
      </c>
      <c r="H150" s="6" t="str">
        <f>IF(INDEX(Proj_Reg!C:C,MATCH($C150,Proj_Reg!$B:$B,0),1)=0,"",INDEX(Proj_Reg!C:C,MATCH($C150,Proj_Reg!$B:$B,0),1))</f>
        <v>Wafer Saw Dicing</v>
      </c>
      <c r="I150" s="6" t="str">
        <f>IF(INDEX(Proj_Reg!D:D,MATCH($C150,Proj_Reg!$B:$B,0),1)=0,"",INDEX(Proj_Reg!D:D,MATCH($C150,Proj_Reg!$B:$B,0),1))</f>
        <v>XCD</v>
      </c>
      <c r="J150" s="6" t="str">
        <f>INDEX(Proj_Reg!E:E,MATCH($C150,Proj_Reg!$B:$B,0),1)</f>
        <v>Tape Dicing 4</v>
      </c>
      <c r="K150" s="21">
        <v>1.3110928000000004E-2</v>
      </c>
      <c r="L150" s="21">
        <v>0</v>
      </c>
      <c r="M150" s="21">
        <v>0.02</v>
      </c>
      <c r="N150" s="21">
        <v>0</v>
      </c>
      <c r="O150" s="11">
        <f>SUM(Table1[[#This Row],[Labor
Saving]:[OH
Saving]])</f>
        <v>3.3110928000000005E-2</v>
      </c>
      <c r="Q150" s="40">
        <f t="shared" si="102"/>
        <v>0</v>
      </c>
      <c r="R150" s="40">
        <f t="shared" si="103"/>
        <v>0</v>
      </c>
      <c r="S150" s="40">
        <f t="shared" si="104"/>
        <v>1283.7</v>
      </c>
      <c r="T150" s="40">
        <f t="shared" si="105"/>
        <v>3830</v>
      </c>
      <c r="U150" s="40">
        <f t="shared" si="106"/>
        <v>4550</v>
      </c>
      <c r="V150" s="40">
        <f t="shared" si="107"/>
        <v>4687</v>
      </c>
      <c r="W150" s="40">
        <f t="shared" si="108"/>
        <v>5259</v>
      </c>
      <c r="X150" s="40">
        <f t="shared" si="109"/>
        <v>1928</v>
      </c>
      <c r="Y150" s="40">
        <f t="shared" si="110"/>
        <v>2249</v>
      </c>
      <c r="Z150" s="40">
        <f t="shared" si="111"/>
        <v>7028</v>
      </c>
      <c r="AA150" s="40">
        <f t="shared" si="112"/>
        <v>4792</v>
      </c>
      <c r="AB150" s="40">
        <f t="shared" si="113"/>
        <v>4193</v>
      </c>
      <c r="AC150" s="37">
        <f>SUM(Table1[[#This Row],[Jan]:[Dec]])</f>
        <v>39799.699999999997</v>
      </c>
      <c r="AD150" s="15">
        <f t="shared" si="122"/>
        <v>0</v>
      </c>
      <c r="AE150" s="15">
        <f t="shared" si="123"/>
        <v>0</v>
      </c>
      <c r="AF150" s="15">
        <f t="shared" si="124"/>
        <v>42.504498273600007</v>
      </c>
      <c r="AG150" s="15">
        <f t="shared" si="125"/>
        <v>126.81485424000002</v>
      </c>
      <c r="AH150" s="15">
        <f t="shared" si="126"/>
        <v>150.65472240000003</v>
      </c>
      <c r="AI150" s="15">
        <f t="shared" si="127"/>
        <v>155.19091953600002</v>
      </c>
      <c r="AJ150" s="15">
        <f t="shared" si="128"/>
        <v>174.13037035200003</v>
      </c>
      <c r="AK150" s="15">
        <f t="shared" si="129"/>
        <v>63.837869184000006</v>
      </c>
      <c r="AL150" s="15">
        <f t="shared" si="130"/>
        <v>74.466477072000018</v>
      </c>
      <c r="AM150" s="15">
        <f t="shared" si="131"/>
        <v>232.70360198400004</v>
      </c>
      <c r="AN150" s="15">
        <f t="shared" si="132"/>
        <v>158.66756697600002</v>
      </c>
      <c r="AO150" s="15">
        <f t="shared" si="133"/>
        <v>138.83412110400002</v>
      </c>
      <c r="AP150" s="10">
        <f t="shared" si="134"/>
        <v>42.504498273600007</v>
      </c>
      <c r="AQ150" s="10">
        <f t="shared" si="135"/>
        <v>432.66049617600004</v>
      </c>
      <c r="AR150" s="10">
        <f t="shared" si="136"/>
        <v>312.43471660800003</v>
      </c>
      <c r="AS150" s="10">
        <f t="shared" si="137"/>
        <v>530.20529006400011</v>
      </c>
      <c r="AT150" s="10" t="b">
        <f t="shared" si="138"/>
        <v>1</v>
      </c>
      <c r="AU150" s="10">
        <f t="shared" si="114"/>
        <v>521.81100112160016</v>
      </c>
      <c r="AV150" s="10">
        <f t="shared" si="115"/>
        <v>0</v>
      </c>
      <c r="AW150" s="10">
        <f t="shared" si="116"/>
        <v>795.99399999999991</v>
      </c>
      <c r="AX150" s="10">
        <f t="shared" si="117"/>
        <v>0</v>
      </c>
      <c r="AY150" s="10">
        <f t="shared" si="139"/>
        <v>1317.8050011216001</v>
      </c>
      <c r="AZ150" s="19">
        <f>IFERROR(IF($E150="REC",INDEX(A_Type_Volume!$B:$B,MATCH($D150,A_Type_Volume!$A:$A,0),1),IF($E150="VAM",INDEX(C_Type_Volume!$B:$B,MATCH($D150,C_Type_Volume!$A:$A,0),1),"X")),"")</f>
        <v>33137</v>
      </c>
      <c r="BA150" s="19">
        <f>IFERROR(IF($E150="REC",INDEX(A_Type_Volume!$C:$C,MATCH($D150,A_Type_Volume!$A:$A,0),1),IF($E150="VAM",INDEX(C_Type_Volume!$C:$C,MATCH($D150,C_Type_Volume!$A:$A,0),1),"X")),"")</f>
        <v>22728</v>
      </c>
      <c r="BB150" s="19">
        <f>IFERROR(IF($E150="REC",INDEX(A_Type_Volume!$D:$D,MATCH($D150,A_Type_Volume!$A:$A,0),1),IF($E150="VAM",INDEX(C_Type_Volume!$D:$D,MATCH($D150,C_Type_Volume!$A:$A,0),1),"X")),"")</f>
        <v>4279</v>
      </c>
      <c r="BC150" s="19">
        <f>IFERROR(IF($E150="REC",INDEX(A_Type_Volume!$E:$E,MATCH($D150,A_Type_Volume!$A:$A,0),1),IF($E150="VAM",INDEX(C_Type_Volume!$E:$E,MATCH($D150,C_Type_Volume!$A:$A,0),1),"X")),"")</f>
        <v>3830</v>
      </c>
      <c r="BD150" s="19">
        <f>IFERROR(IF($E150="REC",INDEX(A_Type_Volume!$F:$F,MATCH($D150,A_Type_Volume!$A:$A,0),1),IF($E150="VAM",INDEX(C_Type_Volume!$F:$F,MATCH($D150,C_Type_Volume!$A:$A,0),1),"X")),"")</f>
        <v>4550</v>
      </c>
      <c r="BE150" s="19">
        <f>IFERROR(IF($E150="REC",INDEX(A_Type_Volume!$G:$G,MATCH($D150,A_Type_Volume!$A:$A,0),1),IF($E150="VAM",INDEX(C_Type_Volume!$G:$G,MATCH($D150,C_Type_Volume!$A:$A,0),1),"X")),"")</f>
        <v>4687</v>
      </c>
      <c r="BF150" s="19">
        <f>IFERROR(IF($E150="REC",INDEX(A_Type_Volume!$H:$H,MATCH($D150,A_Type_Volume!$A:$A,0),1),IF($E150="VAM",INDEX(C_Type_Volume!$H:$H,MATCH($D150,C_Type_Volume!$A:$A,0),1),"X")),"")</f>
        <v>5259</v>
      </c>
      <c r="BG150" s="19">
        <f>IFERROR(IF($E150="REC",INDEX(A_Type_Volume!$I:$I,MATCH($D150,A_Type_Volume!$A:$A,0),1),IF($E150="VAM",INDEX(C_Type_Volume!$I:$I,MATCH($D150,C_Type_Volume!$A:$A,0),1),"X")),"")</f>
        <v>1928</v>
      </c>
      <c r="BH150" s="19">
        <f>IFERROR(IF($E150="REC",INDEX(A_Type_Volume!$J:$J,MATCH($D150,A_Type_Volume!$A:$A,0),1),IF($E150="VAM",INDEX(C_Type_Volume!$J:$J,MATCH($D150,C_Type_Volume!$A:$A,0),1),"X")),"")</f>
        <v>2249</v>
      </c>
      <c r="BI150" s="19">
        <f>IFERROR(IF($E150="REC",INDEX(A_Type_Volume!$K:$K,MATCH($D150,A_Type_Volume!$A:$A,0),1),IF($E150="VAM",INDEX(C_Type_Volume!$K:$K,MATCH($D150,C_Type_Volume!$A:$A,0),1),"X")),"")</f>
        <v>7028</v>
      </c>
      <c r="BJ150" s="19">
        <f>IFERROR(IF($E150="REC",INDEX(A_Type_Volume!$L:$L,MATCH($D150,A_Type_Volume!$A:$A,0),1),IF($E150="VAM",INDEX(C_Type_Volume!$L:$L,MATCH($D150,C_Type_Volume!$A:$A,0),1),"X")),"")</f>
        <v>4792</v>
      </c>
      <c r="BK150" s="19">
        <f>IFERROR(IF($E150="REC",INDEX(A_Type_Volume!M:M,MATCH($D150,A_Type_Volume!$A:$A,0),1),IF($E150="VAM",INDEX(C_Type_Volume!M:M,MATCH($D150,C_Type_Volume!$A:$A,0),1),"X")),"")</f>
        <v>4193</v>
      </c>
      <c r="BL150" s="38">
        <f>SUM(Table1[[#This Row],[Jan_AVF]:[Dec_AVF]])</f>
        <v>98660</v>
      </c>
      <c r="BM150" s="16">
        <f t="shared" si="140"/>
        <v>1097.1968211360002</v>
      </c>
      <c r="BN150" s="16">
        <f t="shared" si="141"/>
        <v>752.54517158400006</v>
      </c>
      <c r="BO150" s="16">
        <f t="shared" si="142"/>
        <v>141.68166091200001</v>
      </c>
      <c r="BP150" s="16">
        <f t="shared" si="143"/>
        <v>126.81485424000002</v>
      </c>
      <c r="BQ150" s="16">
        <f t="shared" si="144"/>
        <v>150.65472240000003</v>
      </c>
      <c r="BR150" s="16">
        <f t="shared" si="145"/>
        <v>155.19091953600002</v>
      </c>
      <c r="BS150" s="16">
        <f t="shared" si="146"/>
        <v>174.13037035200003</v>
      </c>
      <c r="BT150" s="16">
        <f t="shared" si="147"/>
        <v>63.837869184000006</v>
      </c>
      <c r="BU150" s="16">
        <f t="shared" si="148"/>
        <v>74.466477072000018</v>
      </c>
      <c r="BV150" s="16">
        <f t="shared" si="149"/>
        <v>232.70360198400004</v>
      </c>
      <c r="BW150" s="16">
        <f t="shared" si="150"/>
        <v>158.66756697600002</v>
      </c>
      <c r="BX150" s="16">
        <f t="shared" si="151"/>
        <v>138.83412110400002</v>
      </c>
      <c r="BY150" s="10">
        <f t="shared" si="118"/>
        <v>1991.4236536320004</v>
      </c>
      <c r="BZ150" s="10">
        <f t="shared" si="119"/>
        <v>432.66049617600004</v>
      </c>
      <c r="CA150" s="10">
        <f t="shared" si="120"/>
        <v>312.43471660800003</v>
      </c>
      <c r="CB150" s="10">
        <f t="shared" si="121"/>
        <v>530.20529006400011</v>
      </c>
      <c r="CC150" s="10">
        <f>IFERROR(Table1[[#This Row],[Labor
Saving]]*Table1[[#This Row],[Annual Volume]],"")</f>
        <v>1293.5241564800003</v>
      </c>
      <c r="CD150" s="10">
        <f>IFERROR(Table1[[#This Row],[Annual Volume]]*Table1[[#This Row],[Yield
Saving]],"")</f>
        <v>0</v>
      </c>
      <c r="CE150" s="10">
        <f>IFERROR(Table1[[#This Row],[Annual Volume]]*Table1[[#This Row],[Material
Saving]],"")</f>
        <v>1973.2</v>
      </c>
      <c r="CF150" s="10">
        <f>IFERROR(Table1[[#This Row],[OH
Saving]]*Table1[[#This Row],[Annual Volume]],"")</f>
        <v>0</v>
      </c>
      <c r="CG150" s="10">
        <f>SUM(Table1[[#This Row],[Labor_ASV]:[OH_ASV]])</f>
        <v>3266.7241564800006</v>
      </c>
    </row>
    <row r="151" spans="1:85" x14ac:dyDescent="0.3">
      <c r="A151" t="str">
        <f>Table1[[#This Row],[Project Name]]&amp;Table1[[#This Row],[Part Number]]</f>
        <v>Tape Dicing 4R134</v>
      </c>
      <c r="B151" t="str">
        <f>IFERROR(Table1[[#This Row],[Project Number]]&amp;Table1[[#This Row],[Part Number]],"")</f>
        <v>AME25-089R134</v>
      </c>
      <c r="C151" s="22" t="s">
        <v>136</v>
      </c>
      <c r="D151" s="24" t="s">
        <v>372</v>
      </c>
      <c r="E151" s="25" t="s">
        <v>58</v>
      </c>
      <c r="F151" s="6">
        <f>INDEX(Proj_Reg!G:G,MATCH($C151,Proj_Reg!$B:$B,0),1)</f>
        <v>46082</v>
      </c>
      <c r="G151" s="6">
        <f>INDEX(Proj_Reg!H:H,MATCH($C151,Proj_Reg!$B:$B,0),1)</f>
        <v>46419</v>
      </c>
      <c r="H151" s="6" t="str">
        <f>IF(INDEX(Proj_Reg!C:C,MATCH($C151,Proj_Reg!$B:$B,0),1)=0,"",INDEX(Proj_Reg!C:C,MATCH($C151,Proj_Reg!$B:$B,0),1))</f>
        <v>Wafer Saw Dicing</v>
      </c>
      <c r="I151" s="6" t="str">
        <f>IF(INDEX(Proj_Reg!D:D,MATCH($C151,Proj_Reg!$B:$B,0),1)=0,"",INDEX(Proj_Reg!D:D,MATCH($C151,Proj_Reg!$B:$B,0),1))</f>
        <v>XCD</v>
      </c>
      <c r="J151" s="6" t="str">
        <f>INDEX(Proj_Reg!E:E,MATCH($C151,Proj_Reg!$B:$B,0),1)</f>
        <v>Tape Dicing 4</v>
      </c>
      <c r="K151" s="21">
        <v>1.3110928000000004E-2</v>
      </c>
      <c r="L151" s="21">
        <v>0</v>
      </c>
      <c r="M151" s="21">
        <v>0.02</v>
      </c>
      <c r="N151" s="21">
        <v>0</v>
      </c>
      <c r="O151" s="11">
        <f>SUM(Table1[[#This Row],[Labor
Saving]:[OH
Saving]])</f>
        <v>3.3110928000000005E-2</v>
      </c>
      <c r="Q151" s="40">
        <f t="shared" si="102"/>
        <v>0</v>
      </c>
      <c r="R151" s="40">
        <f t="shared" si="103"/>
        <v>0</v>
      </c>
      <c r="S151" s="40">
        <f t="shared" si="104"/>
        <v>4473.8999999999996</v>
      </c>
      <c r="T151" s="40">
        <f t="shared" si="105"/>
        <v>13349</v>
      </c>
      <c r="U151" s="40">
        <f t="shared" si="106"/>
        <v>15895</v>
      </c>
      <c r="V151" s="40">
        <f t="shared" si="107"/>
        <v>16586</v>
      </c>
      <c r="W151" s="40">
        <f t="shared" si="108"/>
        <v>18094</v>
      </c>
      <c r="X151" s="40">
        <f t="shared" si="109"/>
        <v>6632</v>
      </c>
      <c r="Y151" s="40">
        <f t="shared" si="110"/>
        <v>7737</v>
      </c>
      <c r="Z151" s="40">
        <f t="shared" si="111"/>
        <v>20084</v>
      </c>
      <c r="AA151" s="40">
        <f t="shared" si="112"/>
        <v>13694</v>
      </c>
      <c r="AB151" s="40">
        <f t="shared" si="113"/>
        <v>11982</v>
      </c>
      <c r="AC151" s="37">
        <f>SUM(Table1[[#This Row],[Jan]:[Dec]])</f>
        <v>128526.9</v>
      </c>
      <c r="AD151" s="15">
        <f t="shared" si="122"/>
        <v>0</v>
      </c>
      <c r="AE151" s="15">
        <f t="shared" si="123"/>
        <v>0</v>
      </c>
      <c r="AF151" s="15">
        <f t="shared" si="124"/>
        <v>148.13498077920002</v>
      </c>
      <c r="AG151" s="15">
        <f t="shared" si="125"/>
        <v>441.99777787200009</v>
      </c>
      <c r="AH151" s="15">
        <f t="shared" si="126"/>
        <v>526.29820056000005</v>
      </c>
      <c r="AI151" s="15">
        <f t="shared" si="127"/>
        <v>549.17785180800013</v>
      </c>
      <c r="AJ151" s="15">
        <f t="shared" si="128"/>
        <v>599.1091312320001</v>
      </c>
      <c r="AK151" s="15">
        <f t="shared" si="129"/>
        <v>219.59167449600002</v>
      </c>
      <c r="AL151" s="15">
        <f t="shared" si="130"/>
        <v>256.17924993600002</v>
      </c>
      <c r="AM151" s="15">
        <f t="shared" si="131"/>
        <v>664.99987795200013</v>
      </c>
      <c r="AN151" s="15">
        <f t="shared" si="132"/>
        <v>453.42104803200004</v>
      </c>
      <c r="AO151" s="15">
        <f t="shared" si="133"/>
        <v>396.73513929600006</v>
      </c>
      <c r="AP151" s="10">
        <f t="shared" si="134"/>
        <v>148.13498077920002</v>
      </c>
      <c r="AQ151" s="10">
        <f t="shared" si="135"/>
        <v>1517.4738302400001</v>
      </c>
      <c r="AR151" s="10">
        <f t="shared" si="136"/>
        <v>1074.8800556640001</v>
      </c>
      <c r="AS151" s="10">
        <f t="shared" si="137"/>
        <v>1515.1560652800003</v>
      </c>
      <c r="AT151" s="10" t="b">
        <f t="shared" si="138"/>
        <v>1</v>
      </c>
      <c r="AU151" s="10">
        <f t="shared" si="114"/>
        <v>1685.1069319632004</v>
      </c>
      <c r="AV151" s="10">
        <f t="shared" si="115"/>
        <v>0</v>
      </c>
      <c r="AW151" s="10">
        <f t="shared" si="116"/>
        <v>2570.538</v>
      </c>
      <c r="AX151" s="10">
        <f t="shared" si="117"/>
        <v>0</v>
      </c>
      <c r="AY151" s="10">
        <f t="shared" si="139"/>
        <v>4255.6449319632002</v>
      </c>
      <c r="AZ151" s="19">
        <f>IFERROR(IF($E151="REC",INDEX(A_Type_Volume!$B:$B,MATCH($D151,A_Type_Volume!$A:$A,0),1),IF($E151="VAM",INDEX(C_Type_Volume!$B:$B,MATCH($D151,C_Type_Volume!$A:$A,0),1),"X")),"")</f>
        <v>19023</v>
      </c>
      <c r="BA151" s="19">
        <f>IFERROR(IF($E151="REC",INDEX(A_Type_Volume!$C:$C,MATCH($D151,A_Type_Volume!$A:$A,0),1),IF($E151="VAM",INDEX(C_Type_Volume!$C:$C,MATCH($D151,C_Type_Volume!$A:$A,0),1),"X")),"")</f>
        <v>4014</v>
      </c>
      <c r="BB151" s="19">
        <f>IFERROR(IF($E151="REC",INDEX(A_Type_Volume!$D:$D,MATCH($D151,A_Type_Volume!$A:$A,0),1),IF($E151="VAM",INDEX(C_Type_Volume!$D:$D,MATCH($D151,C_Type_Volume!$A:$A,0),1),"X")),"")</f>
        <v>14913</v>
      </c>
      <c r="BC151" s="19">
        <f>IFERROR(IF($E151="REC",INDEX(A_Type_Volume!$E:$E,MATCH($D151,A_Type_Volume!$A:$A,0),1),IF($E151="VAM",INDEX(C_Type_Volume!$E:$E,MATCH($D151,C_Type_Volume!$A:$A,0),1),"X")),"")</f>
        <v>13349</v>
      </c>
      <c r="BD151" s="19">
        <f>IFERROR(IF($E151="REC",INDEX(A_Type_Volume!$F:$F,MATCH($D151,A_Type_Volume!$A:$A,0),1),IF($E151="VAM",INDEX(C_Type_Volume!$F:$F,MATCH($D151,C_Type_Volume!$A:$A,0),1),"X")),"")</f>
        <v>15895</v>
      </c>
      <c r="BE151" s="19">
        <f>IFERROR(IF($E151="REC",INDEX(A_Type_Volume!$G:$G,MATCH($D151,A_Type_Volume!$A:$A,0),1),IF($E151="VAM",INDEX(C_Type_Volume!$G:$G,MATCH($D151,C_Type_Volume!$A:$A,0),1),"X")),"")</f>
        <v>16586</v>
      </c>
      <c r="BF151" s="19">
        <f>IFERROR(IF($E151="REC",INDEX(A_Type_Volume!$H:$H,MATCH($D151,A_Type_Volume!$A:$A,0),1),IF($E151="VAM",INDEX(C_Type_Volume!$H:$H,MATCH($D151,C_Type_Volume!$A:$A,0),1),"X")),"")</f>
        <v>18094</v>
      </c>
      <c r="BG151" s="19">
        <f>IFERROR(IF($E151="REC",INDEX(A_Type_Volume!$I:$I,MATCH($D151,A_Type_Volume!$A:$A,0),1),IF($E151="VAM",INDEX(C_Type_Volume!$I:$I,MATCH($D151,C_Type_Volume!$A:$A,0),1),"X")),"")</f>
        <v>6632</v>
      </c>
      <c r="BH151" s="19">
        <f>IFERROR(IF($E151="REC",INDEX(A_Type_Volume!$J:$J,MATCH($D151,A_Type_Volume!$A:$A,0),1),IF($E151="VAM",INDEX(C_Type_Volume!$J:$J,MATCH($D151,C_Type_Volume!$A:$A,0),1),"X")),"")</f>
        <v>7737</v>
      </c>
      <c r="BI151" s="19">
        <f>IFERROR(IF($E151="REC",INDEX(A_Type_Volume!$K:$K,MATCH($D151,A_Type_Volume!$A:$A,0),1),IF($E151="VAM",INDEX(C_Type_Volume!$K:$K,MATCH($D151,C_Type_Volume!$A:$A,0),1),"X")),"")</f>
        <v>20084</v>
      </c>
      <c r="BJ151" s="19">
        <f>IFERROR(IF($E151="REC",INDEX(A_Type_Volume!$L:$L,MATCH($D151,A_Type_Volume!$A:$A,0),1),IF($E151="VAM",INDEX(C_Type_Volume!$L:$L,MATCH($D151,C_Type_Volume!$A:$A,0),1),"X")),"")</f>
        <v>13694</v>
      </c>
      <c r="BK151" s="19">
        <f>IFERROR(IF($E151="REC",INDEX(A_Type_Volume!M:M,MATCH($D151,A_Type_Volume!$A:$A,0),1),IF($E151="VAM",INDEX(C_Type_Volume!M:M,MATCH($D151,C_Type_Volume!$A:$A,0),1),"X")),"")</f>
        <v>11982</v>
      </c>
      <c r="BL151" s="38">
        <f>SUM(Table1[[#This Row],[Jan_AVF]:[Dec_AVF]])</f>
        <v>162003</v>
      </c>
      <c r="BM151" s="16">
        <f t="shared" si="140"/>
        <v>629.86918334400013</v>
      </c>
      <c r="BN151" s="16">
        <f t="shared" si="141"/>
        <v>132.90726499200002</v>
      </c>
      <c r="BO151" s="16">
        <f t="shared" si="142"/>
        <v>493.78326926400007</v>
      </c>
      <c r="BP151" s="16">
        <f t="shared" si="143"/>
        <v>441.99777787200009</v>
      </c>
      <c r="BQ151" s="16">
        <f t="shared" si="144"/>
        <v>526.29820056000005</v>
      </c>
      <c r="BR151" s="16">
        <f t="shared" si="145"/>
        <v>549.17785180800013</v>
      </c>
      <c r="BS151" s="16">
        <f t="shared" si="146"/>
        <v>599.1091312320001</v>
      </c>
      <c r="BT151" s="16">
        <f t="shared" si="147"/>
        <v>219.59167449600002</v>
      </c>
      <c r="BU151" s="16">
        <f t="shared" si="148"/>
        <v>256.17924993600002</v>
      </c>
      <c r="BV151" s="16">
        <f t="shared" si="149"/>
        <v>664.99987795200013</v>
      </c>
      <c r="BW151" s="16">
        <f t="shared" si="150"/>
        <v>453.42104803200004</v>
      </c>
      <c r="BX151" s="16">
        <f t="shared" si="151"/>
        <v>396.73513929600006</v>
      </c>
      <c r="BY151" s="10">
        <f t="shared" si="118"/>
        <v>1256.5597176000001</v>
      </c>
      <c r="BZ151" s="10">
        <f t="shared" si="119"/>
        <v>1517.4738302400001</v>
      </c>
      <c r="CA151" s="10">
        <f t="shared" si="120"/>
        <v>1074.8800556640001</v>
      </c>
      <c r="CB151" s="10">
        <f t="shared" si="121"/>
        <v>1515.1560652800003</v>
      </c>
      <c r="CC151" s="10">
        <f>IFERROR(Table1[[#This Row],[Labor
Saving]]*Table1[[#This Row],[Annual Volume]],"")</f>
        <v>2124.0096687840005</v>
      </c>
      <c r="CD151" s="10">
        <f>IFERROR(Table1[[#This Row],[Annual Volume]]*Table1[[#This Row],[Yield
Saving]],"")</f>
        <v>0</v>
      </c>
      <c r="CE151" s="10">
        <f>IFERROR(Table1[[#This Row],[Annual Volume]]*Table1[[#This Row],[Material
Saving]],"")</f>
        <v>3240.06</v>
      </c>
      <c r="CF151" s="10">
        <f>IFERROR(Table1[[#This Row],[OH
Saving]]*Table1[[#This Row],[Annual Volume]],"")</f>
        <v>0</v>
      </c>
      <c r="CG151" s="10">
        <f>SUM(Table1[[#This Row],[Labor_ASV]:[OH_ASV]])</f>
        <v>5364.0696687840009</v>
      </c>
    </row>
    <row r="152" spans="1:85" x14ac:dyDescent="0.3">
      <c r="A152" t="str">
        <f>Table1[[#This Row],[Project Name]]&amp;Table1[[#This Row],[Part Number]]</f>
        <v>Tape Dicing 4R135</v>
      </c>
      <c r="B152" t="str">
        <f>IFERROR(Table1[[#This Row],[Project Number]]&amp;Table1[[#This Row],[Part Number]],"")</f>
        <v>AME25-089R135</v>
      </c>
      <c r="C152" s="22" t="s">
        <v>136</v>
      </c>
      <c r="D152" s="24" t="s">
        <v>373</v>
      </c>
      <c r="E152" s="25" t="s">
        <v>58</v>
      </c>
      <c r="F152" s="6">
        <f>INDEX(Proj_Reg!G:G,MATCH($C152,Proj_Reg!$B:$B,0),1)</f>
        <v>46082</v>
      </c>
      <c r="G152" s="6">
        <f>INDEX(Proj_Reg!H:H,MATCH($C152,Proj_Reg!$B:$B,0),1)</f>
        <v>46419</v>
      </c>
      <c r="H152" s="6" t="str">
        <f>IF(INDEX(Proj_Reg!C:C,MATCH($C152,Proj_Reg!$B:$B,0),1)=0,"",INDEX(Proj_Reg!C:C,MATCH($C152,Proj_Reg!$B:$B,0),1))</f>
        <v>Wafer Saw Dicing</v>
      </c>
      <c r="I152" s="6" t="str">
        <f>IF(INDEX(Proj_Reg!D:D,MATCH($C152,Proj_Reg!$B:$B,0),1)=0,"",INDEX(Proj_Reg!D:D,MATCH($C152,Proj_Reg!$B:$B,0),1))</f>
        <v>XCD</v>
      </c>
      <c r="J152" s="6" t="str">
        <f>INDEX(Proj_Reg!E:E,MATCH($C152,Proj_Reg!$B:$B,0),1)</f>
        <v>Tape Dicing 4</v>
      </c>
      <c r="K152" s="21">
        <v>1.3110928000000004E-2</v>
      </c>
      <c r="L152" s="21">
        <v>0</v>
      </c>
      <c r="M152" s="21">
        <v>0.02</v>
      </c>
      <c r="N152" s="21">
        <v>0</v>
      </c>
      <c r="O152" s="11">
        <f>SUM(Table1[[#This Row],[Labor
Saving]:[OH
Saving]])</f>
        <v>3.3110928000000005E-2</v>
      </c>
      <c r="Q152" s="40">
        <f t="shared" si="102"/>
        <v>0</v>
      </c>
      <c r="R152" s="40">
        <f t="shared" si="103"/>
        <v>0</v>
      </c>
      <c r="S152" s="40">
        <f t="shared" si="104"/>
        <v>4744.8</v>
      </c>
      <c r="T152" s="40">
        <f t="shared" si="105"/>
        <v>14157</v>
      </c>
      <c r="U152" s="40">
        <f t="shared" si="106"/>
        <v>16330</v>
      </c>
      <c r="V152" s="40">
        <f t="shared" si="107"/>
        <v>16757</v>
      </c>
      <c r="W152" s="40">
        <f t="shared" si="108"/>
        <v>16936</v>
      </c>
      <c r="X152" s="40">
        <f t="shared" si="109"/>
        <v>6207</v>
      </c>
      <c r="Y152" s="40">
        <f t="shared" si="110"/>
        <v>7242</v>
      </c>
      <c r="Z152" s="40">
        <f t="shared" si="111"/>
        <v>20084</v>
      </c>
      <c r="AA152" s="40">
        <f t="shared" si="112"/>
        <v>13694</v>
      </c>
      <c r="AB152" s="40">
        <f t="shared" si="113"/>
        <v>11982</v>
      </c>
      <c r="AC152" s="37">
        <f>SUM(Table1[[#This Row],[Jan]:[Dec]])</f>
        <v>128133.8</v>
      </c>
      <c r="AD152" s="15">
        <f t="shared" si="122"/>
        <v>0</v>
      </c>
      <c r="AE152" s="15">
        <f t="shared" si="123"/>
        <v>0</v>
      </c>
      <c r="AF152" s="15">
        <f t="shared" si="124"/>
        <v>157.10473117440003</v>
      </c>
      <c r="AG152" s="15">
        <f t="shared" si="125"/>
        <v>468.75140769600006</v>
      </c>
      <c r="AH152" s="15">
        <f t="shared" si="126"/>
        <v>540.70145424000009</v>
      </c>
      <c r="AI152" s="15">
        <f t="shared" si="127"/>
        <v>554.83982049600013</v>
      </c>
      <c r="AJ152" s="15">
        <f t="shared" si="128"/>
        <v>560.76667660800013</v>
      </c>
      <c r="AK152" s="15">
        <f t="shared" si="129"/>
        <v>205.51953009600004</v>
      </c>
      <c r="AL152" s="15">
        <f t="shared" si="130"/>
        <v>239.78934057600003</v>
      </c>
      <c r="AM152" s="15">
        <f t="shared" si="131"/>
        <v>664.99987795200013</v>
      </c>
      <c r="AN152" s="15">
        <f t="shared" si="132"/>
        <v>453.42104803200004</v>
      </c>
      <c r="AO152" s="15">
        <f t="shared" si="133"/>
        <v>396.73513929600006</v>
      </c>
      <c r="AP152" s="10">
        <f t="shared" si="134"/>
        <v>157.10473117440003</v>
      </c>
      <c r="AQ152" s="10">
        <f t="shared" si="135"/>
        <v>1564.2926824320002</v>
      </c>
      <c r="AR152" s="10">
        <f t="shared" si="136"/>
        <v>1006.0755472800001</v>
      </c>
      <c r="AS152" s="10">
        <f t="shared" si="137"/>
        <v>1515.1560652800003</v>
      </c>
      <c r="AT152" s="10" t="b">
        <f t="shared" si="138"/>
        <v>1</v>
      </c>
      <c r="AU152" s="10">
        <f t="shared" si="114"/>
        <v>1679.9530261664006</v>
      </c>
      <c r="AV152" s="10">
        <f t="shared" si="115"/>
        <v>0</v>
      </c>
      <c r="AW152" s="10">
        <f t="shared" si="116"/>
        <v>2562.6759999999999</v>
      </c>
      <c r="AX152" s="10">
        <f t="shared" si="117"/>
        <v>0</v>
      </c>
      <c r="AY152" s="10">
        <f t="shared" si="139"/>
        <v>4242.6290261664008</v>
      </c>
      <c r="AZ152" s="19">
        <f>IFERROR(IF($E152="REC",INDEX(A_Type_Volume!$B:$B,MATCH($D152,A_Type_Volume!$A:$A,0),1),IF($E152="VAM",INDEX(C_Type_Volume!$B:$B,MATCH($D152,C_Type_Volume!$A:$A,0),1),"X")),"")</f>
        <v>34364</v>
      </c>
      <c r="BA152" s="19">
        <f>IFERROR(IF($E152="REC",INDEX(A_Type_Volume!$C:$C,MATCH($D152,A_Type_Volume!$A:$A,0),1),IF($E152="VAM",INDEX(C_Type_Volume!$C:$C,MATCH($D152,C_Type_Volume!$A:$A,0),1),"X")),"")</f>
        <v>1003</v>
      </c>
      <c r="BB152" s="19">
        <f>IFERROR(IF($E152="REC",INDEX(A_Type_Volume!$D:$D,MATCH($D152,A_Type_Volume!$A:$A,0),1),IF($E152="VAM",INDEX(C_Type_Volume!$D:$D,MATCH($D152,C_Type_Volume!$A:$A,0),1),"X")),"")</f>
        <v>15816</v>
      </c>
      <c r="BC152" s="19">
        <f>IFERROR(IF($E152="REC",INDEX(A_Type_Volume!$E:$E,MATCH($D152,A_Type_Volume!$A:$A,0),1),IF($E152="VAM",INDEX(C_Type_Volume!$E:$E,MATCH($D152,C_Type_Volume!$A:$A,0),1),"X")),"")</f>
        <v>14157</v>
      </c>
      <c r="BD152" s="19">
        <f>IFERROR(IF($E152="REC",INDEX(A_Type_Volume!$F:$F,MATCH($D152,A_Type_Volume!$A:$A,0),1),IF($E152="VAM",INDEX(C_Type_Volume!$F:$F,MATCH($D152,C_Type_Volume!$A:$A,0),1),"X")),"")</f>
        <v>16330</v>
      </c>
      <c r="BE152" s="19">
        <f>IFERROR(IF($E152="REC",INDEX(A_Type_Volume!$G:$G,MATCH($D152,A_Type_Volume!$A:$A,0),1),IF($E152="VAM",INDEX(C_Type_Volume!$G:$G,MATCH($D152,C_Type_Volume!$A:$A,0),1),"X")),"")</f>
        <v>16757</v>
      </c>
      <c r="BF152" s="19">
        <f>IFERROR(IF($E152="REC",INDEX(A_Type_Volume!$H:$H,MATCH($D152,A_Type_Volume!$A:$A,0),1),IF($E152="VAM",INDEX(C_Type_Volume!$H:$H,MATCH($D152,C_Type_Volume!$A:$A,0),1),"X")),"")</f>
        <v>16936</v>
      </c>
      <c r="BG152" s="19">
        <f>IFERROR(IF($E152="REC",INDEX(A_Type_Volume!$I:$I,MATCH($D152,A_Type_Volume!$A:$A,0),1),IF($E152="VAM",INDEX(C_Type_Volume!$I:$I,MATCH($D152,C_Type_Volume!$A:$A,0),1),"X")),"")</f>
        <v>6207</v>
      </c>
      <c r="BH152" s="19">
        <f>IFERROR(IF($E152="REC",INDEX(A_Type_Volume!$J:$J,MATCH($D152,A_Type_Volume!$A:$A,0),1),IF($E152="VAM",INDEX(C_Type_Volume!$J:$J,MATCH($D152,C_Type_Volume!$A:$A,0),1),"X")),"")</f>
        <v>7242</v>
      </c>
      <c r="BI152" s="19">
        <f>IFERROR(IF($E152="REC",INDEX(A_Type_Volume!$K:$K,MATCH($D152,A_Type_Volume!$A:$A,0),1),IF($E152="VAM",INDEX(C_Type_Volume!$K:$K,MATCH($D152,C_Type_Volume!$A:$A,0),1),"X")),"")</f>
        <v>20084</v>
      </c>
      <c r="BJ152" s="19">
        <f>IFERROR(IF($E152="REC",INDEX(A_Type_Volume!$L:$L,MATCH($D152,A_Type_Volume!$A:$A,0),1),IF($E152="VAM",INDEX(C_Type_Volume!$L:$L,MATCH($D152,C_Type_Volume!$A:$A,0),1),"X")),"")</f>
        <v>13694</v>
      </c>
      <c r="BK152" s="19">
        <f>IFERROR(IF($E152="REC",INDEX(A_Type_Volume!M:M,MATCH($D152,A_Type_Volume!$A:$A,0),1),IF($E152="VAM",INDEX(C_Type_Volume!M:M,MATCH($D152,C_Type_Volume!$A:$A,0),1),"X")),"")</f>
        <v>11982</v>
      </c>
      <c r="BL152" s="38">
        <f>SUM(Table1[[#This Row],[Jan_AVF]:[Dec_AVF]])</f>
        <v>174572</v>
      </c>
      <c r="BM152" s="16">
        <f t="shared" si="140"/>
        <v>1137.8239297920002</v>
      </c>
      <c r="BN152" s="16">
        <f t="shared" si="141"/>
        <v>33.210260784000006</v>
      </c>
      <c r="BO152" s="16">
        <f t="shared" si="142"/>
        <v>523.68243724800004</v>
      </c>
      <c r="BP152" s="16">
        <f t="shared" si="143"/>
        <v>468.75140769600006</v>
      </c>
      <c r="BQ152" s="16">
        <f t="shared" si="144"/>
        <v>540.70145424000009</v>
      </c>
      <c r="BR152" s="16">
        <f t="shared" si="145"/>
        <v>554.83982049600013</v>
      </c>
      <c r="BS152" s="16">
        <f t="shared" si="146"/>
        <v>560.76667660800013</v>
      </c>
      <c r="BT152" s="16">
        <f t="shared" si="147"/>
        <v>205.51953009600004</v>
      </c>
      <c r="BU152" s="16">
        <f t="shared" si="148"/>
        <v>239.78934057600003</v>
      </c>
      <c r="BV152" s="16">
        <f t="shared" si="149"/>
        <v>664.99987795200013</v>
      </c>
      <c r="BW152" s="16">
        <f t="shared" si="150"/>
        <v>453.42104803200004</v>
      </c>
      <c r="BX152" s="16">
        <f t="shared" si="151"/>
        <v>396.73513929600006</v>
      </c>
      <c r="BY152" s="10">
        <f t="shared" si="118"/>
        <v>1694.7166278240002</v>
      </c>
      <c r="BZ152" s="10">
        <f t="shared" si="119"/>
        <v>1564.2926824320002</v>
      </c>
      <c r="CA152" s="10">
        <f t="shared" si="120"/>
        <v>1006.0755472800001</v>
      </c>
      <c r="CB152" s="10">
        <f t="shared" si="121"/>
        <v>1515.1560652800003</v>
      </c>
      <c r="CC152" s="10">
        <f>IFERROR(Table1[[#This Row],[Labor
Saving]]*Table1[[#This Row],[Annual Volume]],"")</f>
        <v>2288.8009228160008</v>
      </c>
      <c r="CD152" s="10">
        <f>IFERROR(Table1[[#This Row],[Annual Volume]]*Table1[[#This Row],[Yield
Saving]],"")</f>
        <v>0</v>
      </c>
      <c r="CE152" s="10">
        <f>IFERROR(Table1[[#This Row],[Annual Volume]]*Table1[[#This Row],[Material
Saving]],"")</f>
        <v>3491.44</v>
      </c>
      <c r="CF152" s="10">
        <f>IFERROR(Table1[[#This Row],[OH
Saving]]*Table1[[#This Row],[Annual Volume]],"")</f>
        <v>0</v>
      </c>
      <c r="CG152" s="10">
        <f>SUM(Table1[[#This Row],[Labor_ASV]:[OH_ASV]])</f>
        <v>5780.2409228160013</v>
      </c>
    </row>
    <row r="153" spans="1:85" x14ac:dyDescent="0.3">
      <c r="A153" t="str">
        <f>Table1[[#This Row],[Project Name]]&amp;Table1[[#This Row],[Part Number]]</f>
        <v>Tape Dicing 4R136</v>
      </c>
      <c r="B153" t="str">
        <f>IFERROR(Table1[[#This Row],[Project Number]]&amp;Table1[[#This Row],[Part Number]],"")</f>
        <v>AME25-089R136</v>
      </c>
      <c r="C153" s="22" t="s">
        <v>136</v>
      </c>
      <c r="D153" s="24" t="s">
        <v>374</v>
      </c>
      <c r="E153" s="25" t="s">
        <v>58</v>
      </c>
      <c r="F153" s="6">
        <f>INDEX(Proj_Reg!G:G,MATCH($C153,Proj_Reg!$B:$B,0),1)</f>
        <v>46082</v>
      </c>
      <c r="G153" s="6">
        <f>INDEX(Proj_Reg!H:H,MATCH($C153,Proj_Reg!$B:$B,0),1)</f>
        <v>46419</v>
      </c>
      <c r="H153" s="6" t="str">
        <f>IF(INDEX(Proj_Reg!C:C,MATCH($C153,Proj_Reg!$B:$B,0),1)=0,"",INDEX(Proj_Reg!C:C,MATCH($C153,Proj_Reg!$B:$B,0),1))</f>
        <v>Wafer Saw Dicing</v>
      </c>
      <c r="I153" s="6" t="str">
        <f>IF(INDEX(Proj_Reg!D:D,MATCH($C153,Proj_Reg!$B:$B,0),1)=0,"",INDEX(Proj_Reg!D:D,MATCH($C153,Proj_Reg!$B:$B,0),1))</f>
        <v>XCD</v>
      </c>
      <c r="J153" s="6" t="str">
        <f>INDEX(Proj_Reg!E:E,MATCH($C153,Proj_Reg!$B:$B,0),1)</f>
        <v>Tape Dicing 4</v>
      </c>
      <c r="K153" s="21">
        <v>1.3110928000000004E-2</v>
      </c>
      <c r="L153" s="21">
        <v>0</v>
      </c>
      <c r="M153" s="21">
        <v>0.02</v>
      </c>
      <c r="N153" s="21">
        <v>0</v>
      </c>
      <c r="O153" s="11">
        <f>SUM(Table1[[#This Row],[Labor
Saving]:[OH
Saving]])</f>
        <v>3.3110928000000005E-2</v>
      </c>
      <c r="Q153" s="40">
        <f t="shared" si="102"/>
        <v>0</v>
      </c>
      <c r="R153" s="40">
        <f t="shared" si="103"/>
        <v>0</v>
      </c>
      <c r="S153" s="40">
        <f t="shared" si="104"/>
        <v>4603.8</v>
      </c>
      <c r="T153" s="40">
        <f t="shared" si="105"/>
        <v>0</v>
      </c>
      <c r="U153" s="40">
        <f t="shared" si="106"/>
        <v>0</v>
      </c>
      <c r="V153" s="40">
        <f t="shared" si="107"/>
        <v>0</v>
      </c>
      <c r="W153" s="40">
        <f t="shared" si="108"/>
        <v>0</v>
      </c>
      <c r="X153" s="40">
        <f t="shared" si="109"/>
        <v>0</v>
      </c>
      <c r="Y153" s="40">
        <f t="shared" si="110"/>
        <v>0</v>
      </c>
      <c r="Z153" s="40">
        <f t="shared" si="111"/>
        <v>15058</v>
      </c>
      <c r="AA153" s="40">
        <f t="shared" si="112"/>
        <v>10267</v>
      </c>
      <c r="AB153" s="40">
        <f t="shared" si="113"/>
        <v>8984</v>
      </c>
      <c r="AC153" s="37">
        <f>SUM(Table1[[#This Row],[Jan]:[Dec]])</f>
        <v>38912.800000000003</v>
      </c>
      <c r="AD153" s="15">
        <f t="shared" si="122"/>
        <v>0</v>
      </c>
      <c r="AE153" s="15">
        <f t="shared" si="123"/>
        <v>0</v>
      </c>
      <c r="AF153" s="15">
        <f t="shared" si="124"/>
        <v>152.43609032640003</v>
      </c>
      <c r="AG153" s="15">
        <f t="shared" si="125"/>
        <v>0</v>
      </c>
      <c r="AH153" s="15">
        <f t="shared" si="126"/>
        <v>0</v>
      </c>
      <c r="AI153" s="15">
        <f t="shared" si="127"/>
        <v>0</v>
      </c>
      <c r="AJ153" s="15">
        <f t="shared" si="128"/>
        <v>0</v>
      </c>
      <c r="AK153" s="15">
        <f t="shared" si="129"/>
        <v>0</v>
      </c>
      <c r="AL153" s="15">
        <f t="shared" si="130"/>
        <v>0</v>
      </c>
      <c r="AM153" s="15">
        <f t="shared" si="131"/>
        <v>498.58435382400006</v>
      </c>
      <c r="AN153" s="15">
        <f t="shared" si="132"/>
        <v>339.94989777600006</v>
      </c>
      <c r="AO153" s="15">
        <f t="shared" si="133"/>
        <v>297.46857715200002</v>
      </c>
      <c r="AP153" s="10">
        <f t="shared" si="134"/>
        <v>152.43609032640003</v>
      </c>
      <c r="AQ153" s="10">
        <f t="shared" si="135"/>
        <v>0</v>
      </c>
      <c r="AR153" s="10">
        <f t="shared" si="136"/>
        <v>0</v>
      </c>
      <c r="AS153" s="10">
        <f t="shared" si="137"/>
        <v>1136.0028287520001</v>
      </c>
      <c r="AT153" s="10" t="b">
        <f t="shared" si="138"/>
        <v>1</v>
      </c>
      <c r="AU153" s="10">
        <f t="shared" si="114"/>
        <v>510.18291907840023</v>
      </c>
      <c r="AV153" s="10">
        <f t="shared" si="115"/>
        <v>0</v>
      </c>
      <c r="AW153" s="10">
        <f t="shared" si="116"/>
        <v>778.25600000000009</v>
      </c>
      <c r="AX153" s="10">
        <f t="shared" si="117"/>
        <v>0</v>
      </c>
      <c r="AY153" s="10">
        <f t="shared" si="139"/>
        <v>1288.4389190784004</v>
      </c>
      <c r="AZ153" s="19">
        <f>IFERROR(IF($E153="REC",INDEX(A_Type_Volume!$B:$B,MATCH($D153,A_Type_Volume!$A:$A,0),1),IF($E153="VAM",INDEX(C_Type_Volume!$B:$B,MATCH($D153,C_Type_Volume!$A:$A,0),1),"X")),"")</f>
        <v>31091</v>
      </c>
      <c r="BA153" s="19">
        <f>IFERROR(IF($E153="REC",INDEX(A_Type_Volume!$C:$C,MATCH($D153,A_Type_Volume!$A:$A,0),1),IF($E153="VAM",INDEX(C_Type_Volume!$C:$C,MATCH($D153,C_Type_Volume!$A:$A,0),1),"X")),"")</f>
        <v>2007</v>
      </c>
      <c r="BB153" s="19">
        <f>IFERROR(IF($E153="REC",INDEX(A_Type_Volume!$D:$D,MATCH($D153,A_Type_Volume!$A:$A,0),1),IF($E153="VAM",INDEX(C_Type_Volume!$D:$D,MATCH($D153,C_Type_Volume!$A:$A,0),1),"X")),"")</f>
        <v>15346</v>
      </c>
      <c r="BC153" s="19">
        <f>IFERROR(IF($E153="REC",INDEX(A_Type_Volume!$E:$E,MATCH($D153,A_Type_Volume!$A:$A,0),1),IF($E153="VAM",INDEX(C_Type_Volume!$E:$E,MATCH($D153,C_Type_Volume!$A:$A,0),1),"X")),"")</f>
        <v>0</v>
      </c>
      <c r="BD153" s="19">
        <f>IFERROR(IF($E153="REC",INDEX(A_Type_Volume!$F:$F,MATCH($D153,A_Type_Volume!$A:$A,0),1),IF($E153="VAM",INDEX(C_Type_Volume!$F:$F,MATCH($D153,C_Type_Volume!$A:$A,0),1),"X")),"")</f>
        <v>0</v>
      </c>
      <c r="BE153" s="19">
        <f>IFERROR(IF($E153="REC",INDEX(A_Type_Volume!$G:$G,MATCH($D153,A_Type_Volume!$A:$A,0),1),IF($E153="VAM",INDEX(C_Type_Volume!$G:$G,MATCH($D153,C_Type_Volume!$A:$A,0),1),"X")),"")</f>
        <v>0</v>
      </c>
      <c r="BF153" s="19">
        <f>IFERROR(IF($E153="REC",INDEX(A_Type_Volume!$H:$H,MATCH($D153,A_Type_Volume!$A:$A,0),1),IF($E153="VAM",INDEX(C_Type_Volume!$H:$H,MATCH($D153,C_Type_Volume!$A:$A,0),1),"X")),"")</f>
        <v>0</v>
      </c>
      <c r="BG153" s="19">
        <f>IFERROR(IF($E153="REC",INDEX(A_Type_Volume!$I:$I,MATCH($D153,A_Type_Volume!$A:$A,0),1),IF($E153="VAM",INDEX(C_Type_Volume!$I:$I,MATCH($D153,C_Type_Volume!$A:$A,0),1),"X")),"")</f>
        <v>0</v>
      </c>
      <c r="BH153" s="19">
        <f>IFERROR(IF($E153="REC",INDEX(A_Type_Volume!$J:$J,MATCH($D153,A_Type_Volume!$A:$A,0),1),IF($E153="VAM",INDEX(C_Type_Volume!$J:$J,MATCH($D153,C_Type_Volume!$A:$A,0),1),"X")),"")</f>
        <v>0</v>
      </c>
      <c r="BI153" s="19">
        <f>IFERROR(IF($E153="REC",INDEX(A_Type_Volume!$K:$K,MATCH($D153,A_Type_Volume!$A:$A,0),1),IF($E153="VAM",INDEX(C_Type_Volume!$K:$K,MATCH($D153,C_Type_Volume!$A:$A,0),1),"X")),"")</f>
        <v>15058</v>
      </c>
      <c r="BJ153" s="19">
        <f>IFERROR(IF($E153="REC",INDEX(A_Type_Volume!$L:$L,MATCH($D153,A_Type_Volume!$A:$A,0),1),IF($E153="VAM",INDEX(C_Type_Volume!$L:$L,MATCH($D153,C_Type_Volume!$A:$A,0),1),"X")),"")</f>
        <v>10267</v>
      </c>
      <c r="BK153" s="19">
        <f>IFERROR(IF($E153="REC",INDEX(A_Type_Volume!M:M,MATCH($D153,A_Type_Volume!$A:$A,0),1),IF($E153="VAM",INDEX(C_Type_Volume!M:M,MATCH($D153,C_Type_Volume!$A:$A,0),1),"X")),"")</f>
        <v>8984</v>
      </c>
      <c r="BL153" s="38">
        <f>SUM(Table1[[#This Row],[Jan_AVF]:[Dec_AVF]])</f>
        <v>82753</v>
      </c>
      <c r="BM153" s="16">
        <f t="shared" si="140"/>
        <v>1029.4518624480002</v>
      </c>
      <c r="BN153" s="16">
        <f t="shared" si="141"/>
        <v>66.453632496000012</v>
      </c>
      <c r="BO153" s="16">
        <f t="shared" si="142"/>
        <v>508.12030108800008</v>
      </c>
      <c r="BP153" s="16">
        <f t="shared" si="143"/>
        <v>0</v>
      </c>
      <c r="BQ153" s="16">
        <f t="shared" si="144"/>
        <v>0</v>
      </c>
      <c r="BR153" s="16">
        <f t="shared" si="145"/>
        <v>0</v>
      </c>
      <c r="BS153" s="16">
        <f t="shared" si="146"/>
        <v>0</v>
      </c>
      <c r="BT153" s="16">
        <f t="shared" si="147"/>
        <v>0</v>
      </c>
      <c r="BU153" s="16">
        <f t="shared" si="148"/>
        <v>0</v>
      </c>
      <c r="BV153" s="16">
        <f t="shared" si="149"/>
        <v>498.58435382400006</v>
      </c>
      <c r="BW153" s="16">
        <f t="shared" si="150"/>
        <v>339.94989777600006</v>
      </c>
      <c r="BX153" s="16">
        <f t="shared" si="151"/>
        <v>297.46857715200002</v>
      </c>
      <c r="BY153" s="10">
        <f t="shared" si="118"/>
        <v>1604.0257960320002</v>
      </c>
      <c r="BZ153" s="10">
        <f t="shared" si="119"/>
        <v>0</v>
      </c>
      <c r="CA153" s="10">
        <f t="shared" si="120"/>
        <v>0</v>
      </c>
      <c r="CB153" s="10">
        <f t="shared" si="121"/>
        <v>1136.0028287520001</v>
      </c>
      <c r="CC153" s="10">
        <f>IFERROR(Table1[[#This Row],[Labor
Saving]]*Table1[[#This Row],[Annual Volume]],"")</f>
        <v>1084.9686247840004</v>
      </c>
      <c r="CD153" s="10">
        <f>IFERROR(Table1[[#This Row],[Annual Volume]]*Table1[[#This Row],[Yield
Saving]],"")</f>
        <v>0</v>
      </c>
      <c r="CE153" s="10">
        <f>IFERROR(Table1[[#This Row],[Annual Volume]]*Table1[[#This Row],[Material
Saving]],"")</f>
        <v>1655.06</v>
      </c>
      <c r="CF153" s="10">
        <f>IFERROR(Table1[[#This Row],[OH
Saving]]*Table1[[#This Row],[Annual Volume]],"")</f>
        <v>0</v>
      </c>
      <c r="CG153" s="10">
        <f>SUM(Table1[[#This Row],[Labor_ASV]:[OH_ASV]])</f>
        <v>2740.0286247840004</v>
      </c>
    </row>
    <row r="154" spans="1:85" x14ac:dyDescent="0.3">
      <c r="A154" t="str">
        <f>Table1[[#This Row],[Project Name]]&amp;Table1[[#This Row],[Part Number]]</f>
        <v>Tape Dicing 4R137</v>
      </c>
      <c r="B154" t="str">
        <f>IFERROR(Table1[[#This Row],[Project Number]]&amp;Table1[[#This Row],[Part Number]],"")</f>
        <v>AME25-089R137</v>
      </c>
      <c r="C154" s="22" t="s">
        <v>136</v>
      </c>
      <c r="D154" s="24" t="s">
        <v>375</v>
      </c>
      <c r="E154" s="25" t="s">
        <v>58</v>
      </c>
      <c r="F154" s="6">
        <f>INDEX(Proj_Reg!G:G,MATCH($C154,Proj_Reg!$B:$B,0),1)</f>
        <v>46082</v>
      </c>
      <c r="G154" s="6">
        <f>INDEX(Proj_Reg!H:H,MATCH($C154,Proj_Reg!$B:$B,0),1)</f>
        <v>46419</v>
      </c>
      <c r="H154" s="6" t="str">
        <f>IF(INDEX(Proj_Reg!C:C,MATCH($C154,Proj_Reg!$B:$B,0),1)=0,"",INDEX(Proj_Reg!C:C,MATCH($C154,Proj_Reg!$B:$B,0),1))</f>
        <v>Wafer Saw Dicing</v>
      </c>
      <c r="I154" s="6" t="str">
        <f>IF(INDEX(Proj_Reg!D:D,MATCH($C154,Proj_Reg!$B:$B,0),1)=0,"",INDEX(Proj_Reg!D:D,MATCH($C154,Proj_Reg!$B:$B,0),1))</f>
        <v>XCD</v>
      </c>
      <c r="J154" s="6" t="str">
        <f>INDEX(Proj_Reg!E:E,MATCH($C154,Proj_Reg!$B:$B,0),1)</f>
        <v>Tape Dicing 4</v>
      </c>
      <c r="K154" s="21">
        <v>1.3110928000000004E-2</v>
      </c>
      <c r="L154" s="21">
        <v>0</v>
      </c>
      <c r="M154" s="21">
        <v>0.02</v>
      </c>
      <c r="N154" s="21">
        <v>0</v>
      </c>
      <c r="O154" s="11">
        <f>SUM(Table1[[#This Row],[Labor
Saving]:[OH
Saving]])</f>
        <v>3.3110928000000005E-2</v>
      </c>
      <c r="Q154" s="40">
        <f t="shared" si="102"/>
        <v>0</v>
      </c>
      <c r="R154" s="40">
        <f t="shared" si="103"/>
        <v>0</v>
      </c>
      <c r="S154" s="40">
        <f t="shared" si="104"/>
        <v>9267.2999999999993</v>
      </c>
      <c r="T154" s="40">
        <f t="shared" si="105"/>
        <v>0</v>
      </c>
      <c r="U154" s="40">
        <f t="shared" si="106"/>
        <v>0</v>
      </c>
      <c r="V154" s="40">
        <f t="shared" si="107"/>
        <v>0</v>
      </c>
      <c r="W154" s="40">
        <f t="shared" si="108"/>
        <v>0</v>
      </c>
      <c r="X154" s="40">
        <f t="shared" si="109"/>
        <v>0</v>
      </c>
      <c r="Y154" s="40">
        <f t="shared" si="110"/>
        <v>0</v>
      </c>
      <c r="Z154" s="40">
        <f t="shared" si="111"/>
        <v>15058</v>
      </c>
      <c r="AA154" s="40">
        <f t="shared" si="112"/>
        <v>10267</v>
      </c>
      <c r="AB154" s="40">
        <f t="shared" si="113"/>
        <v>8984</v>
      </c>
      <c r="AC154" s="37">
        <f>SUM(Table1[[#This Row],[Jan]:[Dec]])</f>
        <v>43576.3</v>
      </c>
      <c r="AD154" s="15">
        <f t="shared" si="122"/>
        <v>0</v>
      </c>
      <c r="AE154" s="15">
        <f t="shared" si="123"/>
        <v>0</v>
      </c>
      <c r="AF154" s="15">
        <f t="shared" si="124"/>
        <v>306.84890305440001</v>
      </c>
      <c r="AG154" s="15">
        <f t="shared" si="125"/>
        <v>0</v>
      </c>
      <c r="AH154" s="15">
        <f t="shared" si="126"/>
        <v>0</v>
      </c>
      <c r="AI154" s="15">
        <f t="shared" si="127"/>
        <v>0</v>
      </c>
      <c r="AJ154" s="15">
        <f t="shared" si="128"/>
        <v>0</v>
      </c>
      <c r="AK154" s="15">
        <f t="shared" si="129"/>
        <v>0</v>
      </c>
      <c r="AL154" s="15">
        <f t="shared" si="130"/>
        <v>0</v>
      </c>
      <c r="AM154" s="15">
        <f t="shared" si="131"/>
        <v>498.58435382400006</v>
      </c>
      <c r="AN154" s="15">
        <f t="shared" si="132"/>
        <v>339.94989777600006</v>
      </c>
      <c r="AO154" s="15">
        <f t="shared" si="133"/>
        <v>297.46857715200002</v>
      </c>
      <c r="AP154" s="10">
        <f t="shared" si="134"/>
        <v>306.84890305440001</v>
      </c>
      <c r="AQ154" s="10">
        <f t="shared" si="135"/>
        <v>0</v>
      </c>
      <c r="AR154" s="10">
        <f t="shared" si="136"/>
        <v>0</v>
      </c>
      <c r="AS154" s="10">
        <f t="shared" si="137"/>
        <v>1136.0028287520001</v>
      </c>
      <c r="AT154" s="10" t="b">
        <f t="shared" si="138"/>
        <v>1</v>
      </c>
      <c r="AU154" s="10">
        <f t="shared" si="114"/>
        <v>571.3257318064002</v>
      </c>
      <c r="AV154" s="10">
        <f t="shared" si="115"/>
        <v>0</v>
      </c>
      <c r="AW154" s="10">
        <f t="shared" si="116"/>
        <v>871.52600000000007</v>
      </c>
      <c r="AX154" s="10">
        <f t="shared" si="117"/>
        <v>0</v>
      </c>
      <c r="AY154" s="10">
        <f t="shared" si="139"/>
        <v>1442.8517318064003</v>
      </c>
      <c r="AZ154" s="19">
        <f>IFERROR(IF($E154="REC",INDEX(A_Type_Volume!$B:$B,MATCH($D154,A_Type_Volume!$A:$A,0),1),IF($E154="VAM",INDEX(C_Type_Volume!$B:$B,MATCH($D154,C_Type_Volume!$A:$A,0),1),"X")),"")</f>
        <v>29557</v>
      </c>
      <c r="BA154" s="19">
        <f>IFERROR(IF($E154="REC",INDEX(A_Type_Volume!$C:$C,MATCH($D154,A_Type_Volume!$A:$A,0),1),IF($E154="VAM",INDEX(C_Type_Volume!$C:$C,MATCH($D154,C_Type_Volume!$A:$A,0),1),"X")),"")</f>
        <v>25186</v>
      </c>
      <c r="BB154" s="19">
        <f>IFERROR(IF($E154="REC",INDEX(A_Type_Volume!$D:$D,MATCH($D154,A_Type_Volume!$A:$A,0),1),IF($E154="VAM",INDEX(C_Type_Volume!$D:$D,MATCH($D154,C_Type_Volume!$A:$A,0),1),"X")),"")</f>
        <v>30891</v>
      </c>
      <c r="BC154" s="19">
        <f>IFERROR(IF($E154="REC",INDEX(A_Type_Volume!$E:$E,MATCH($D154,A_Type_Volume!$A:$A,0),1),IF($E154="VAM",INDEX(C_Type_Volume!$E:$E,MATCH($D154,C_Type_Volume!$A:$A,0),1),"X")),"")</f>
        <v>0</v>
      </c>
      <c r="BD154" s="19">
        <f>IFERROR(IF($E154="REC",INDEX(A_Type_Volume!$F:$F,MATCH($D154,A_Type_Volume!$A:$A,0),1),IF($E154="VAM",INDEX(C_Type_Volume!$F:$F,MATCH($D154,C_Type_Volume!$A:$A,0),1),"X")),"")</f>
        <v>0</v>
      </c>
      <c r="BE154" s="19">
        <f>IFERROR(IF($E154="REC",INDEX(A_Type_Volume!$G:$G,MATCH($D154,A_Type_Volume!$A:$A,0),1),IF($E154="VAM",INDEX(C_Type_Volume!$G:$G,MATCH($D154,C_Type_Volume!$A:$A,0),1),"X")),"")</f>
        <v>0</v>
      </c>
      <c r="BF154" s="19">
        <f>IFERROR(IF($E154="REC",INDEX(A_Type_Volume!$H:$H,MATCH($D154,A_Type_Volume!$A:$A,0),1),IF($E154="VAM",INDEX(C_Type_Volume!$H:$H,MATCH($D154,C_Type_Volume!$A:$A,0),1),"X")),"")</f>
        <v>0</v>
      </c>
      <c r="BG154" s="19">
        <f>IFERROR(IF($E154="REC",INDEX(A_Type_Volume!$I:$I,MATCH($D154,A_Type_Volume!$A:$A,0),1),IF($E154="VAM",INDEX(C_Type_Volume!$I:$I,MATCH($D154,C_Type_Volume!$A:$A,0),1),"X")),"")</f>
        <v>0</v>
      </c>
      <c r="BH154" s="19">
        <f>IFERROR(IF($E154="REC",INDEX(A_Type_Volume!$J:$J,MATCH($D154,A_Type_Volume!$A:$A,0),1),IF($E154="VAM",INDEX(C_Type_Volume!$J:$J,MATCH($D154,C_Type_Volume!$A:$A,0),1),"X")),"")</f>
        <v>0</v>
      </c>
      <c r="BI154" s="19">
        <f>IFERROR(IF($E154="REC",INDEX(A_Type_Volume!$K:$K,MATCH($D154,A_Type_Volume!$A:$A,0),1),IF($E154="VAM",INDEX(C_Type_Volume!$K:$K,MATCH($D154,C_Type_Volume!$A:$A,0),1),"X")),"")</f>
        <v>15058</v>
      </c>
      <c r="BJ154" s="19">
        <f>IFERROR(IF($E154="REC",INDEX(A_Type_Volume!$L:$L,MATCH($D154,A_Type_Volume!$A:$A,0),1),IF($E154="VAM",INDEX(C_Type_Volume!$L:$L,MATCH($D154,C_Type_Volume!$A:$A,0),1),"X")),"")</f>
        <v>10267</v>
      </c>
      <c r="BK154" s="19">
        <f>IFERROR(IF($E154="REC",INDEX(A_Type_Volume!M:M,MATCH($D154,A_Type_Volume!$A:$A,0),1),IF($E154="VAM",INDEX(C_Type_Volume!M:M,MATCH($D154,C_Type_Volume!$A:$A,0),1),"X")),"")</f>
        <v>8984</v>
      </c>
      <c r="BL154" s="38">
        <f>SUM(Table1[[#This Row],[Jan_AVF]:[Dec_AVF]])</f>
        <v>119943</v>
      </c>
      <c r="BM154" s="16">
        <f t="shared" si="140"/>
        <v>978.65969889600012</v>
      </c>
      <c r="BN154" s="16">
        <f t="shared" si="141"/>
        <v>833.93183260800015</v>
      </c>
      <c r="BO154" s="16">
        <f t="shared" si="142"/>
        <v>1022.8296768480002</v>
      </c>
      <c r="BP154" s="16">
        <f t="shared" si="143"/>
        <v>0</v>
      </c>
      <c r="BQ154" s="16">
        <f t="shared" si="144"/>
        <v>0</v>
      </c>
      <c r="BR154" s="16">
        <f t="shared" si="145"/>
        <v>0</v>
      </c>
      <c r="BS154" s="16">
        <f t="shared" si="146"/>
        <v>0</v>
      </c>
      <c r="BT154" s="16">
        <f t="shared" si="147"/>
        <v>0</v>
      </c>
      <c r="BU154" s="16">
        <f t="shared" si="148"/>
        <v>0</v>
      </c>
      <c r="BV154" s="16">
        <f t="shared" si="149"/>
        <v>498.58435382400006</v>
      </c>
      <c r="BW154" s="16">
        <f t="shared" si="150"/>
        <v>339.94989777600006</v>
      </c>
      <c r="BX154" s="16">
        <f t="shared" si="151"/>
        <v>297.46857715200002</v>
      </c>
      <c r="BY154" s="10">
        <f t="shared" si="118"/>
        <v>2835.4212083520006</v>
      </c>
      <c r="BZ154" s="10">
        <f t="shared" si="119"/>
        <v>0</v>
      </c>
      <c r="CA154" s="10">
        <f t="shared" si="120"/>
        <v>0</v>
      </c>
      <c r="CB154" s="10">
        <f t="shared" si="121"/>
        <v>1136.0028287520001</v>
      </c>
      <c r="CC154" s="10">
        <f>IFERROR(Table1[[#This Row],[Labor
Saving]]*Table1[[#This Row],[Annual Volume]],"")</f>
        <v>1572.5640371040006</v>
      </c>
      <c r="CD154" s="10">
        <f>IFERROR(Table1[[#This Row],[Annual Volume]]*Table1[[#This Row],[Yield
Saving]],"")</f>
        <v>0</v>
      </c>
      <c r="CE154" s="10">
        <f>IFERROR(Table1[[#This Row],[Annual Volume]]*Table1[[#This Row],[Material
Saving]],"")</f>
        <v>2398.86</v>
      </c>
      <c r="CF154" s="10">
        <f>IFERROR(Table1[[#This Row],[OH
Saving]]*Table1[[#This Row],[Annual Volume]],"")</f>
        <v>0</v>
      </c>
      <c r="CG154" s="10">
        <f>SUM(Table1[[#This Row],[Labor_ASV]:[OH_ASV]])</f>
        <v>3971.4240371040005</v>
      </c>
    </row>
    <row r="155" spans="1:85" x14ac:dyDescent="0.3">
      <c r="A155" t="str">
        <f>Table1[[#This Row],[Project Name]]&amp;Table1[[#This Row],[Part Number]]</f>
        <v>Tape Dicing 4R138</v>
      </c>
      <c r="B155" t="str">
        <f>IFERROR(Table1[[#This Row],[Project Number]]&amp;Table1[[#This Row],[Part Number]],"")</f>
        <v>AME25-089R138</v>
      </c>
      <c r="C155" s="22" t="s">
        <v>136</v>
      </c>
      <c r="D155" s="24" t="s">
        <v>376</v>
      </c>
      <c r="E155" s="25" t="s">
        <v>58</v>
      </c>
      <c r="F155" s="6">
        <f>INDEX(Proj_Reg!G:G,MATCH($C155,Proj_Reg!$B:$B,0),1)</f>
        <v>46082</v>
      </c>
      <c r="G155" s="6">
        <f>INDEX(Proj_Reg!H:H,MATCH($C155,Proj_Reg!$B:$B,0),1)</f>
        <v>46419</v>
      </c>
      <c r="H155" s="6" t="str">
        <f>IF(INDEX(Proj_Reg!C:C,MATCH($C155,Proj_Reg!$B:$B,0),1)=0,"",INDEX(Proj_Reg!C:C,MATCH($C155,Proj_Reg!$B:$B,0),1))</f>
        <v>Wafer Saw Dicing</v>
      </c>
      <c r="I155" s="6" t="str">
        <f>IF(INDEX(Proj_Reg!D:D,MATCH($C155,Proj_Reg!$B:$B,0),1)=0,"",INDEX(Proj_Reg!D:D,MATCH($C155,Proj_Reg!$B:$B,0),1))</f>
        <v>XCD</v>
      </c>
      <c r="J155" s="6" t="str">
        <f>INDEX(Proj_Reg!E:E,MATCH($C155,Proj_Reg!$B:$B,0),1)</f>
        <v>Tape Dicing 4</v>
      </c>
      <c r="K155" s="21">
        <v>1.3110928000000004E-2</v>
      </c>
      <c r="L155" s="21">
        <v>0</v>
      </c>
      <c r="M155" s="21">
        <v>0.02</v>
      </c>
      <c r="N155" s="21">
        <v>0</v>
      </c>
      <c r="O155" s="11">
        <f>SUM(Table1[[#This Row],[Labor
Saving]:[OH
Saving]])</f>
        <v>3.3110928000000005E-2</v>
      </c>
      <c r="Q155" s="40">
        <f t="shared" si="102"/>
        <v>0</v>
      </c>
      <c r="R155" s="40">
        <f t="shared" si="103"/>
        <v>0</v>
      </c>
      <c r="S155" s="40">
        <f t="shared" si="104"/>
        <v>1695.3</v>
      </c>
      <c r="T155" s="40">
        <f t="shared" si="105"/>
        <v>0</v>
      </c>
      <c r="U155" s="40">
        <f t="shared" si="106"/>
        <v>0</v>
      </c>
      <c r="V155" s="40">
        <f t="shared" si="107"/>
        <v>0</v>
      </c>
      <c r="W155" s="40">
        <f t="shared" si="108"/>
        <v>0</v>
      </c>
      <c r="X155" s="40">
        <f t="shared" si="109"/>
        <v>0</v>
      </c>
      <c r="Y155" s="40">
        <f t="shared" si="110"/>
        <v>0</v>
      </c>
      <c r="Z155" s="40">
        <f t="shared" si="111"/>
        <v>5026</v>
      </c>
      <c r="AA155" s="40">
        <f t="shared" si="112"/>
        <v>3427</v>
      </c>
      <c r="AB155" s="40">
        <f t="shared" si="113"/>
        <v>2998</v>
      </c>
      <c r="AC155" s="37">
        <f>SUM(Table1[[#This Row],[Jan]:[Dec]])</f>
        <v>13146.3</v>
      </c>
      <c r="AD155" s="15">
        <f t="shared" si="122"/>
        <v>0</v>
      </c>
      <c r="AE155" s="15">
        <f t="shared" si="123"/>
        <v>0</v>
      </c>
      <c r="AF155" s="15">
        <f t="shared" si="124"/>
        <v>56.132956238400006</v>
      </c>
      <c r="AG155" s="15">
        <f t="shared" si="125"/>
        <v>0</v>
      </c>
      <c r="AH155" s="15">
        <f t="shared" si="126"/>
        <v>0</v>
      </c>
      <c r="AI155" s="15">
        <f t="shared" si="127"/>
        <v>0</v>
      </c>
      <c r="AJ155" s="15">
        <f t="shared" si="128"/>
        <v>0</v>
      </c>
      <c r="AK155" s="15">
        <f t="shared" si="129"/>
        <v>0</v>
      </c>
      <c r="AL155" s="15">
        <f t="shared" si="130"/>
        <v>0</v>
      </c>
      <c r="AM155" s="15">
        <f t="shared" si="131"/>
        <v>166.41552412800002</v>
      </c>
      <c r="AN155" s="15">
        <f t="shared" si="132"/>
        <v>113.47115025600002</v>
      </c>
      <c r="AO155" s="15">
        <f t="shared" si="133"/>
        <v>99.266562144000019</v>
      </c>
      <c r="AP155" s="10">
        <f t="shared" si="134"/>
        <v>56.132956238400006</v>
      </c>
      <c r="AQ155" s="10">
        <f t="shared" si="135"/>
        <v>0</v>
      </c>
      <c r="AR155" s="10">
        <f t="shared" si="136"/>
        <v>0</v>
      </c>
      <c r="AS155" s="10">
        <f t="shared" si="137"/>
        <v>379.15323652800004</v>
      </c>
      <c r="AT155" s="10" t="b">
        <f t="shared" si="138"/>
        <v>1</v>
      </c>
      <c r="AU155" s="10">
        <f t="shared" si="114"/>
        <v>172.36019276640005</v>
      </c>
      <c r="AV155" s="10">
        <f t="shared" si="115"/>
        <v>0</v>
      </c>
      <c r="AW155" s="10">
        <f t="shared" si="116"/>
        <v>262.92599999999999</v>
      </c>
      <c r="AX155" s="10">
        <f t="shared" si="117"/>
        <v>0</v>
      </c>
      <c r="AY155" s="10">
        <f t="shared" si="139"/>
        <v>435.28619276640006</v>
      </c>
      <c r="AZ155" s="19">
        <f>IFERROR(IF($E155="REC",INDEX(A_Type_Volume!$B:$B,MATCH($D155,A_Type_Volume!$A:$A,0),1),IF($E155="VAM",INDEX(C_Type_Volume!$B:$B,MATCH($D155,C_Type_Volume!$A:$A,0),1),"X")),"")</f>
        <v>8448</v>
      </c>
      <c r="BA155" s="19">
        <f>IFERROR(IF($E155="REC",INDEX(A_Type_Volume!$C:$C,MATCH($D155,A_Type_Volume!$A:$A,0),1),IF($E155="VAM",INDEX(C_Type_Volume!$C:$C,MATCH($D155,C_Type_Volume!$A:$A,0),1),"X")),"")</f>
        <v>2776</v>
      </c>
      <c r="BB155" s="19">
        <f>IFERROR(IF($E155="REC",INDEX(A_Type_Volume!$D:$D,MATCH($D155,A_Type_Volume!$A:$A,0),1),IF($E155="VAM",INDEX(C_Type_Volume!$D:$D,MATCH($D155,C_Type_Volume!$A:$A,0),1),"X")),"")</f>
        <v>5651</v>
      </c>
      <c r="BC155" s="19">
        <f>IFERROR(IF($E155="REC",INDEX(A_Type_Volume!$E:$E,MATCH($D155,A_Type_Volume!$A:$A,0),1),IF($E155="VAM",INDEX(C_Type_Volume!$E:$E,MATCH($D155,C_Type_Volume!$A:$A,0),1),"X")),"")</f>
        <v>0</v>
      </c>
      <c r="BD155" s="19">
        <f>IFERROR(IF($E155="REC",INDEX(A_Type_Volume!$F:$F,MATCH($D155,A_Type_Volume!$A:$A,0),1),IF($E155="VAM",INDEX(C_Type_Volume!$F:$F,MATCH($D155,C_Type_Volume!$A:$A,0),1),"X")),"")</f>
        <v>0</v>
      </c>
      <c r="BE155" s="19">
        <f>IFERROR(IF($E155="REC",INDEX(A_Type_Volume!$G:$G,MATCH($D155,A_Type_Volume!$A:$A,0),1),IF($E155="VAM",INDEX(C_Type_Volume!$G:$G,MATCH($D155,C_Type_Volume!$A:$A,0),1),"X")),"")</f>
        <v>0</v>
      </c>
      <c r="BF155" s="19">
        <f>IFERROR(IF($E155="REC",INDEX(A_Type_Volume!$H:$H,MATCH($D155,A_Type_Volume!$A:$A,0),1),IF($E155="VAM",INDEX(C_Type_Volume!$H:$H,MATCH($D155,C_Type_Volume!$A:$A,0),1),"X")),"")</f>
        <v>0</v>
      </c>
      <c r="BG155" s="19">
        <f>IFERROR(IF($E155="REC",INDEX(A_Type_Volume!$I:$I,MATCH($D155,A_Type_Volume!$A:$A,0),1),IF($E155="VAM",INDEX(C_Type_Volume!$I:$I,MATCH($D155,C_Type_Volume!$A:$A,0),1),"X")),"")</f>
        <v>0</v>
      </c>
      <c r="BH155" s="19">
        <f>IFERROR(IF($E155="REC",INDEX(A_Type_Volume!$J:$J,MATCH($D155,A_Type_Volume!$A:$A,0),1),IF($E155="VAM",INDEX(C_Type_Volume!$J:$J,MATCH($D155,C_Type_Volume!$A:$A,0),1),"X")),"")</f>
        <v>0</v>
      </c>
      <c r="BI155" s="19">
        <f>IFERROR(IF($E155="REC",INDEX(A_Type_Volume!$K:$K,MATCH($D155,A_Type_Volume!$A:$A,0),1),IF($E155="VAM",INDEX(C_Type_Volume!$K:$K,MATCH($D155,C_Type_Volume!$A:$A,0),1),"X")),"")</f>
        <v>5026</v>
      </c>
      <c r="BJ155" s="19">
        <f>IFERROR(IF($E155="REC",INDEX(A_Type_Volume!$L:$L,MATCH($D155,A_Type_Volume!$A:$A,0),1),IF($E155="VAM",INDEX(C_Type_Volume!$L:$L,MATCH($D155,C_Type_Volume!$A:$A,0),1),"X")),"")</f>
        <v>3427</v>
      </c>
      <c r="BK155" s="19">
        <f>IFERROR(IF($E155="REC",INDEX(A_Type_Volume!M:M,MATCH($D155,A_Type_Volume!$A:$A,0),1),IF($E155="VAM",INDEX(C_Type_Volume!M:M,MATCH($D155,C_Type_Volume!$A:$A,0),1),"X")),"")</f>
        <v>2998</v>
      </c>
      <c r="BL155" s="38">
        <f>SUM(Table1[[#This Row],[Jan_AVF]:[Dec_AVF]])</f>
        <v>28326</v>
      </c>
      <c r="BM155" s="16">
        <f t="shared" si="140"/>
        <v>279.72111974400002</v>
      </c>
      <c r="BN155" s="16">
        <f t="shared" si="141"/>
        <v>91.915936128000013</v>
      </c>
      <c r="BO155" s="16">
        <f t="shared" si="142"/>
        <v>187.10985412800002</v>
      </c>
      <c r="BP155" s="16">
        <f t="shared" si="143"/>
        <v>0</v>
      </c>
      <c r="BQ155" s="16">
        <f t="shared" si="144"/>
        <v>0</v>
      </c>
      <c r="BR155" s="16">
        <f t="shared" si="145"/>
        <v>0</v>
      </c>
      <c r="BS155" s="16">
        <f t="shared" si="146"/>
        <v>0</v>
      </c>
      <c r="BT155" s="16">
        <f t="shared" si="147"/>
        <v>0</v>
      </c>
      <c r="BU155" s="16">
        <f t="shared" si="148"/>
        <v>0</v>
      </c>
      <c r="BV155" s="16">
        <f t="shared" si="149"/>
        <v>166.41552412800002</v>
      </c>
      <c r="BW155" s="16">
        <f t="shared" si="150"/>
        <v>113.47115025600002</v>
      </c>
      <c r="BX155" s="16">
        <f t="shared" si="151"/>
        <v>99.266562144000019</v>
      </c>
      <c r="BY155" s="10">
        <f t="shared" si="118"/>
        <v>558.74691000000007</v>
      </c>
      <c r="BZ155" s="10">
        <f t="shared" si="119"/>
        <v>0</v>
      </c>
      <c r="CA155" s="10">
        <f t="shared" si="120"/>
        <v>0</v>
      </c>
      <c r="CB155" s="10">
        <f t="shared" si="121"/>
        <v>379.15323652800004</v>
      </c>
      <c r="CC155" s="10">
        <f>IFERROR(Table1[[#This Row],[Labor
Saving]]*Table1[[#This Row],[Annual Volume]],"")</f>
        <v>371.38014652800013</v>
      </c>
      <c r="CD155" s="10">
        <f>IFERROR(Table1[[#This Row],[Annual Volume]]*Table1[[#This Row],[Yield
Saving]],"")</f>
        <v>0</v>
      </c>
      <c r="CE155" s="10">
        <f>IFERROR(Table1[[#This Row],[Annual Volume]]*Table1[[#This Row],[Material
Saving]],"")</f>
        <v>566.52</v>
      </c>
      <c r="CF155" s="10">
        <f>IFERROR(Table1[[#This Row],[OH
Saving]]*Table1[[#This Row],[Annual Volume]],"")</f>
        <v>0</v>
      </c>
      <c r="CG155" s="10">
        <f>SUM(Table1[[#This Row],[Labor_ASV]:[OH_ASV]])</f>
        <v>937.90014652800005</v>
      </c>
    </row>
    <row r="156" spans="1:85" x14ac:dyDescent="0.3">
      <c r="A156" t="str">
        <f>Table1[[#This Row],[Project Name]]&amp;Table1[[#This Row],[Part Number]]</f>
        <v>Tape Dicing 4R139</v>
      </c>
      <c r="B156" t="str">
        <f>IFERROR(Table1[[#This Row],[Project Number]]&amp;Table1[[#This Row],[Part Number]],"")</f>
        <v>AME25-089R139</v>
      </c>
      <c r="C156" s="22" t="s">
        <v>136</v>
      </c>
      <c r="D156" s="24" t="s">
        <v>377</v>
      </c>
      <c r="E156" s="25" t="s">
        <v>58</v>
      </c>
      <c r="F156" s="6">
        <f>INDEX(Proj_Reg!G:G,MATCH($C156,Proj_Reg!$B:$B,0),1)</f>
        <v>46082</v>
      </c>
      <c r="G156" s="6">
        <f>INDEX(Proj_Reg!H:H,MATCH($C156,Proj_Reg!$B:$B,0),1)</f>
        <v>46419</v>
      </c>
      <c r="H156" s="6" t="str">
        <f>IF(INDEX(Proj_Reg!C:C,MATCH($C156,Proj_Reg!$B:$B,0),1)=0,"",INDEX(Proj_Reg!C:C,MATCH($C156,Proj_Reg!$B:$B,0),1))</f>
        <v>Wafer Saw Dicing</v>
      </c>
      <c r="I156" s="6" t="str">
        <f>IF(INDEX(Proj_Reg!D:D,MATCH($C156,Proj_Reg!$B:$B,0),1)=0,"",INDEX(Proj_Reg!D:D,MATCH($C156,Proj_Reg!$B:$B,0),1))</f>
        <v>XCD</v>
      </c>
      <c r="J156" s="6" t="str">
        <f>INDEX(Proj_Reg!E:E,MATCH($C156,Proj_Reg!$B:$B,0),1)</f>
        <v>Tape Dicing 4</v>
      </c>
      <c r="K156" s="21">
        <v>1.3110928000000004E-2</v>
      </c>
      <c r="L156" s="21">
        <v>0</v>
      </c>
      <c r="M156" s="21">
        <v>0.02</v>
      </c>
      <c r="N156" s="21">
        <v>0</v>
      </c>
      <c r="O156" s="11">
        <f>SUM(Table1[[#This Row],[Labor
Saving]:[OH
Saving]])</f>
        <v>3.3110928000000005E-2</v>
      </c>
      <c r="Q156" s="40">
        <f t="shared" si="102"/>
        <v>0</v>
      </c>
      <c r="R156" s="40">
        <f t="shared" si="103"/>
        <v>0</v>
      </c>
      <c r="S156" s="40">
        <f t="shared" si="104"/>
        <v>1744.2</v>
      </c>
      <c r="T156" s="40">
        <f t="shared" si="105"/>
        <v>0</v>
      </c>
      <c r="U156" s="40">
        <f t="shared" si="106"/>
        <v>0</v>
      </c>
      <c r="V156" s="40">
        <f t="shared" si="107"/>
        <v>0</v>
      </c>
      <c r="W156" s="40">
        <f t="shared" si="108"/>
        <v>0</v>
      </c>
      <c r="X156" s="40">
        <f t="shared" si="109"/>
        <v>0</v>
      </c>
      <c r="Y156" s="40">
        <f t="shared" si="110"/>
        <v>0</v>
      </c>
      <c r="Z156" s="40">
        <f t="shared" si="111"/>
        <v>5026</v>
      </c>
      <c r="AA156" s="40">
        <f t="shared" si="112"/>
        <v>3427</v>
      </c>
      <c r="AB156" s="40">
        <f t="shared" si="113"/>
        <v>2998</v>
      </c>
      <c r="AC156" s="37">
        <f>SUM(Table1[[#This Row],[Jan]:[Dec]])</f>
        <v>13195.2</v>
      </c>
      <c r="AD156" s="15">
        <f t="shared" si="122"/>
        <v>0</v>
      </c>
      <c r="AE156" s="15">
        <f t="shared" si="123"/>
        <v>0</v>
      </c>
      <c r="AF156" s="15">
        <f t="shared" si="124"/>
        <v>57.752080617600008</v>
      </c>
      <c r="AG156" s="15">
        <f t="shared" si="125"/>
        <v>0</v>
      </c>
      <c r="AH156" s="15">
        <f t="shared" si="126"/>
        <v>0</v>
      </c>
      <c r="AI156" s="15">
        <f t="shared" si="127"/>
        <v>0</v>
      </c>
      <c r="AJ156" s="15">
        <f t="shared" si="128"/>
        <v>0</v>
      </c>
      <c r="AK156" s="15">
        <f t="shared" si="129"/>
        <v>0</v>
      </c>
      <c r="AL156" s="15">
        <f t="shared" si="130"/>
        <v>0</v>
      </c>
      <c r="AM156" s="15">
        <f t="shared" si="131"/>
        <v>166.41552412800002</v>
      </c>
      <c r="AN156" s="15">
        <f t="shared" si="132"/>
        <v>113.47115025600002</v>
      </c>
      <c r="AO156" s="15">
        <f t="shared" si="133"/>
        <v>99.266562144000019</v>
      </c>
      <c r="AP156" s="10">
        <f t="shared" si="134"/>
        <v>57.752080617600008</v>
      </c>
      <c r="AQ156" s="10">
        <f t="shared" si="135"/>
        <v>0</v>
      </c>
      <c r="AR156" s="10">
        <f t="shared" si="136"/>
        <v>0</v>
      </c>
      <c r="AS156" s="10">
        <f t="shared" si="137"/>
        <v>379.15323652800004</v>
      </c>
      <c r="AT156" s="10" t="b">
        <f t="shared" si="138"/>
        <v>1</v>
      </c>
      <c r="AU156" s="10">
        <f t="shared" si="114"/>
        <v>173.00131714560007</v>
      </c>
      <c r="AV156" s="10">
        <f t="shared" si="115"/>
        <v>0</v>
      </c>
      <c r="AW156" s="10">
        <f t="shared" si="116"/>
        <v>263.904</v>
      </c>
      <c r="AX156" s="10">
        <f t="shared" si="117"/>
        <v>0</v>
      </c>
      <c r="AY156" s="10">
        <f t="shared" si="139"/>
        <v>436.90531714560007</v>
      </c>
      <c r="AZ156" s="19">
        <f>IFERROR(IF($E156="REC",INDEX(A_Type_Volume!$B:$B,MATCH($D156,A_Type_Volume!$A:$A,0),1),IF($E156="VAM",INDEX(C_Type_Volume!$B:$B,MATCH($D156,C_Type_Volume!$A:$A,0),1),"X")),"")</f>
        <v>9000</v>
      </c>
      <c r="BA156" s="19">
        <f>IFERROR(IF($E156="REC",INDEX(A_Type_Volume!$C:$C,MATCH($D156,A_Type_Volume!$A:$A,0),1),IF($E156="VAM",INDEX(C_Type_Volume!$C:$C,MATCH($D156,C_Type_Volume!$A:$A,0),1),"X")),"")</f>
        <v>0</v>
      </c>
      <c r="BB156" s="19">
        <f>IFERROR(IF($E156="REC",INDEX(A_Type_Volume!$D:$D,MATCH($D156,A_Type_Volume!$A:$A,0),1),IF($E156="VAM",INDEX(C_Type_Volume!$D:$D,MATCH($D156,C_Type_Volume!$A:$A,0),1),"X")),"")</f>
        <v>5814</v>
      </c>
      <c r="BC156" s="19">
        <f>IFERROR(IF($E156="REC",INDEX(A_Type_Volume!$E:$E,MATCH($D156,A_Type_Volume!$A:$A,0),1),IF($E156="VAM",INDEX(C_Type_Volume!$E:$E,MATCH($D156,C_Type_Volume!$A:$A,0),1),"X")),"")</f>
        <v>0</v>
      </c>
      <c r="BD156" s="19">
        <f>IFERROR(IF($E156="REC",INDEX(A_Type_Volume!$F:$F,MATCH($D156,A_Type_Volume!$A:$A,0),1),IF($E156="VAM",INDEX(C_Type_Volume!$F:$F,MATCH($D156,C_Type_Volume!$A:$A,0),1),"X")),"")</f>
        <v>0</v>
      </c>
      <c r="BE156" s="19">
        <f>IFERROR(IF($E156="REC",INDEX(A_Type_Volume!$G:$G,MATCH($D156,A_Type_Volume!$A:$A,0),1),IF($E156="VAM",INDEX(C_Type_Volume!$G:$G,MATCH($D156,C_Type_Volume!$A:$A,0),1),"X")),"")</f>
        <v>0</v>
      </c>
      <c r="BF156" s="19">
        <f>IFERROR(IF($E156="REC",INDEX(A_Type_Volume!$H:$H,MATCH($D156,A_Type_Volume!$A:$A,0),1),IF($E156="VAM",INDEX(C_Type_Volume!$H:$H,MATCH($D156,C_Type_Volume!$A:$A,0),1),"X")),"")</f>
        <v>0</v>
      </c>
      <c r="BG156" s="19">
        <f>IFERROR(IF($E156="REC",INDEX(A_Type_Volume!$I:$I,MATCH($D156,A_Type_Volume!$A:$A,0),1),IF($E156="VAM",INDEX(C_Type_Volume!$I:$I,MATCH($D156,C_Type_Volume!$A:$A,0),1),"X")),"")</f>
        <v>0</v>
      </c>
      <c r="BH156" s="19">
        <f>IFERROR(IF($E156="REC",INDEX(A_Type_Volume!$J:$J,MATCH($D156,A_Type_Volume!$A:$A,0),1),IF($E156="VAM",INDEX(C_Type_Volume!$J:$J,MATCH($D156,C_Type_Volume!$A:$A,0),1),"X")),"")</f>
        <v>0</v>
      </c>
      <c r="BI156" s="19">
        <f>IFERROR(IF($E156="REC",INDEX(A_Type_Volume!$K:$K,MATCH($D156,A_Type_Volume!$A:$A,0),1),IF($E156="VAM",INDEX(C_Type_Volume!$K:$K,MATCH($D156,C_Type_Volume!$A:$A,0),1),"X")),"")</f>
        <v>5026</v>
      </c>
      <c r="BJ156" s="19">
        <f>IFERROR(IF($E156="REC",INDEX(A_Type_Volume!$L:$L,MATCH($D156,A_Type_Volume!$A:$A,0),1),IF($E156="VAM",INDEX(C_Type_Volume!$L:$L,MATCH($D156,C_Type_Volume!$A:$A,0),1),"X")),"")</f>
        <v>3427</v>
      </c>
      <c r="BK156" s="19">
        <f>IFERROR(IF($E156="REC",INDEX(A_Type_Volume!M:M,MATCH($D156,A_Type_Volume!$A:$A,0),1),IF($E156="VAM",INDEX(C_Type_Volume!M:M,MATCH($D156,C_Type_Volume!$A:$A,0),1),"X")),"")</f>
        <v>2998</v>
      </c>
      <c r="BL156" s="38">
        <f>SUM(Table1[[#This Row],[Jan_AVF]:[Dec_AVF]])</f>
        <v>26265</v>
      </c>
      <c r="BM156" s="16">
        <f t="shared" si="140"/>
        <v>297.99835200000007</v>
      </c>
      <c r="BN156" s="16">
        <f t="shared" si="141"/>
        <v>0</v>
      </c>
      <c r="BO156" s="16">
        <f t="shared" si="142"/>
        <v>192.50693539200003</v>
      </c>
      <c r="BP156" s="16">
        <f t="shared" si="143"/>
        <v>0</v>
      </c>
      <c r="BQ156" s="16">
        <f t="shared" si="144"/>
        <v>0</v>
      </c>
      <c r="BR156" s="16">
        <f t="shared" si="145"/>
        <v>0</v>
      </c>
      <c r="BS156" s="16">
        <f t="shared" si="146"/>
        <v>0</v>
      </c>
      <c r="BT156" s="16">
        <f t="shared" si="147"/>
        <v>0</v>
      </c>
      <c r="BU156" s="16">
        <f t="shared" si="148"/>
        <v>0</v>
      </c>
      <c r="BV156" s="16">
        <f t="shared" si="149"/>
        <v>166.41552412800002</v>
      </c>
      <c r="BW156" s="16">
        <f t="shared" si="150"/>
        <v>113.47115025600002</v>
      </c>
      <c r="BX156" s="16">
        <f t="shared" si="151"/>
        <v>99.266562144000019</v>
      </c>
      <c r="BY156" s="10">
        <f t="shared" si="118"/>
        <v>490.50528739200013</v>
      </c>
      <c r="BZ156" s="10">
        <f t="shared" si="119"/>
        <v>0</v>
      </c>
      <c r="CA156" s="10">
        <f t="shared" si="120"/>
        <v>0</v>
      </c>
      <c r="CB156" s="10">
        <f t="shared" si="121"/>
        <v>379.15323652800004</v>
      </c>
      <c r="CC156" s="10">
        <f>IFERROR(Table1[[#This Row],[Labor
Saving]]*Table1[[#This Row],[Annual Volume]],"")</f>
        <v>344.3585239200001</v>
      </c>
      <c r="CD156" s="10">
        <f>IFERROR(Table1[[#This Row],[Annual Volume]]*Table1[[#This Row],[Yield
Saving]],"")</f>
        <v>0</v>
      </c>
      <c r="CE156" s="10">
        <f>IFERROR(Table1[[#This Row],[Annual Volume]]*Table1[[#This Row],[Material
Saving]],"")</f>
        <v>525.29999999999995</v>
      </c>
      <c r="CF156" s="10">
        <f>IFERROR(Table1[[#This Row],[OH
Saving]]*Table1[[#This Row],[Annual Volume]],"")</f>
        <v>0</v>
      </c>
      <c r="CG156" s="10">
        <f>SUM(Table1[[#This Row],[Labor_ASV]:[OH_ASV]])</f>
        <v>869.65852392000011</v>
      </c>
    </row>
    <row r="157" spans="1:85" x14ac:dyDescent="0.3">
      <c r="A157" t="str">
        <f>Table1[[#This Row],[Project Name]]&amp;Table1[[#This Row],[Part Number]]</f>
        <v>Tape Dicing 4R140</v>
      </c>
      <c r="B157" t="str">
        <f>IFERROR(Table1[[#This Row],[Project Number]]&amp;Table1[[#This Row],[Part Number]],"")</f>
        <v>AME25-089R140</v>
      </c>
      <c r="C157" s="22" t="s">
        <v>136</v>
      </c>
      <c r="D157" s="24" t="s">
        <v>378</v>
      </c>
      <c r="E157" s="25" t="s">
        <v>58</v>
      </c>
      <c r="F157" s="6">
        <f>INDEX(Proj_Reg!G:G,MATCH($C157,Proj_Reg!$B:$B,0),1)</f>
        <v>46082</v>
      </c>
      <c r="G157" s="6">
        <f>INDEX(Proj_Reg!H:H,MATCH($C157,Proj_Reg!$B:$B,0),1)</f>
        <v>46419</v>
      </c>
      <c r="H157" s="6" t="str">
        <f>IF(INDEX(Proj_Reg!C:C,MATCH($C157,Proj_Reg!$B:$B,0),1)=0,"",INDEX(Proj_Reg!C:C,MATCH($C157,Proj_Reg!$B:$B,0),1))</f>
        <v>Wafer Saw Dicing</v>
      </c>
      <c r="I157" s="6" t="str">
        <f>IF(INDEX(Proj_Reg!D:D,MATCH($C157,Proj_Reg!$B:$B,0),1)=0,"",INDEX(Proj_Reg!D:D,MATCH($C157,Proj_Reg!$B:$B,0),1))</f>
        <v>XCD</v>
      </c>
      <c r="J157" s="6" t="str">
        <f>INDEX(Proj_Reg!E:E,MATCH($C157,Proj_Reg!$B:$B,0),1)</f>
        <v>Tape Dicing 4</v>
      </c>
      <c r="K157" s="21">
        <v>1.3110928000000004E-2</v>
      </c>
      <c r="L157" s="21">
        <v>0</v>
      </c>
      <c r="M157" s="21">
        <v>0.02</v>
      </c>
      <c r="N157" s="21">
        <v>0</v>
      </c>
      <c r="O157" s="11">
        <f>SUM(Table1[[#This Row],[Labor
Saving]:[OH
Saving]])</f>
        <v>3.3110928000000005E-2</v>
      </c>
      <c r="Q157" s="40">
        <f t="shared" si="102"/>
        <v>0</v>
      </c>
      <c r="R157" s="40">
        <f t="shared" si="103"/>
        <v>0</v>
      </c>
      <c r="S157" s="40">
        <f t="shared" si="104"/>
        <v>920.69999999999993</v>
      </c>
      <c r="T157" s="40">
        <f t="shared" si="105"/>
        <v>0</v>
      </c>
      <c r="U157" s="40">
        <f t="shared" si="106"/>
        <v>0</v>
      </c>
      <c r="V157" s="40">
        <f t="shared" si="107"/>
        <v>0</v>
      </c>
      <c r="W157" s="40">
        <f t="shared" si="108"/>
        <v>0</v>
      </c>
      <c r="X157" s="40">
        <f t="shared" si="109"/>
        <v>0</v>
      </c>
      <c r="Y157" s="40">
        <f t="shared" si="110"/>
        <v>0</v>
      </c>
      <c r="Z157" s="40">
        <f t="shared" si="111"/>
        <v>1011</v>
      </c>
      <c r="AA157" s="40">
        <f t="shared" si="112"/>
        <v>689</v>
      </c>
      <c r="AB157" s="40">
        <f t="shared" si="113"/>
        <v>603</v>
      </c>
      <c r="AC157" s="37">
        <f>SUM(Table1[[#This Row],[Jan]:[Dec]])</f>
        <v>3223.7</v>
      </c>
      <c r="AD157" s="15">
        <f t="shared" si="122"/>
        <v>0</v>
      </c>
      <c r="AE157" s="15">
        <f t="shared" si="123"/>
        <v>0</v>
      </c>
      <c r="AF157" s="15">
        <f t="shared" si="124"/>
        <v>30.485231409600001</v>
      </c>
      <c r="AG157" s="15">
        <f t="shared" si="125"/>
        <v>0</v>
      </c>
      <c r="AH157" s="15">
        <f t="shared" si="126"/>
        <v>0</v>
      </c>
      <c r="AI157" s="15">
        <f t="shared" si="127"/>
        <v>0</v>
      </c>
      <c r="AJ157" s="15">
        <f t="shared" si="128"/>
        <v>0</v>
      </c>
      <c r="AK157" s="15">
        <f t="shared" si="129"/>
        <v>0</v>
      </c>
      <c r="AL157" s="15">
        <f t="shared" si="130"/>
        <v>0</v>
      </c>
      <c r="AM157" s="15">
        <f t="shared" si="131"/>
        <v>33.475148208000007</v>
      </c>
      <c r="AN157" s="15">
        <f t="shared" si="132"/>
        <v>22.813429392000003</v>
      </c>
      <c r="AO157" s="15">
        <f t="shared" si="133"/>
        <v>19.965889584000003</v>
      </c>
      <c r="AP157" s="10">
        <f t="shared" si="134"/>
        <v>30.485231409600001</v>
      </c>
      <c r="AQ157" s="10">
        <f t="shared" si="135"/>
        <v>0</v>
      </c>
      <c r="AR157" s="10">
        <f t="shared" si="136"/>
        <v>0</v>
      </c>
      <c r="AS157" s="10">
        <f t="shared" si="137"/>
        <v>76.254467184000021</v>
      </c>
      <c r="AT157" s="10" t="b">
        <f t="shared" si="138"/>
        <v>1</v>
      </c>
      <c r="AU157" s="10">
        <f t="shared" si="114"/>
        <v>42.265698593600014</v>
      </c>
      <c r="AV157" s="10">
        <f t="shared" si="115"/>
        <v>0</v>
      </c>
      <c r="AW157" s="10">
        <f t="shared" si="116"/>
        <v>64.474000000000004</v>
      </c>
      <c r="AX157" s="10">
        <f t="shared" si="117"/>
        <v>0</v>
      </c>
      <c r="AY157" s="10">
        <f t="shared" si="139"/>
        <v>106.73969859360002</v>
      </c>
      <c r="AZ157" s="19">
        <f>IFERROR(IF($E157="REC",INDEX(A_Type_Volume!$B:$B,MATCH($D157,A_Type_Volume!$A:$A,0),1),IF($E157="VAM",INDEX(C_Type_Volume!$B:$B,MATCH($D157,C_Type_Volume!$A:$A,0),1),"X")),"")</f>
        <v>2802</v>
      </c>
      <c r="BA157" s="19">
        <f>IFERROR(IF($E157="REC",INDEX(A_Type_Volume!$C:$C,MATCH($D157,A_Type_Volume!$A:$A,0),1),IF($E157="VAM",INDEX(C_Type_Volume!$C:$C,MATCH($D157,C_Type_Volume!$A:$A,0),1),"X")),"")</f>
        <v>3997</v>
      </c>
      <c r="BB157" s="19">
        <f>IFERROR(IF($E157="REC",INDEX(A_Type_Volume!$D:$D,MATCH($D157,A_Type_Volume!$A:$A,0),1),IF($E157="VAM",INDEX(C_Type_Volume!$D:$D,MATCH($D157,C_Type_Volume!$A:$A,0),1),"X")),"")</f>
        <v>3069</v>
      </c>
      <c r="BC157" s="19">
        <f>IFERROR(IF($E157="REC",INDEX(A_Type_Volume!$E:$E,MATCH($D157,A_Type_Volume!$A:$A,0),1),IF($E157="VAM",INDEX(C_Type_Volume!$E:$E,MATCH($D157,C_Type_Volume!$A:$A,0),1),"X")),"")</f>
        <v>0</v>
      </c>
      <c r="BD157" s="19">
        <f>IFERROR(IF($E157="REC",INDEX(A_Type_Volume!$F:$F,MATCH($D157,A_Type_Volume!$A:$A,0),1),IF($E157="VAM",INDEX(C_Type_Volume!$F:$F,MATCH($D157,C_Type_Volume!$A:$A,0),1),"X")),"")</f>
        <v>0</v>
      </c>
      <c r="BE157" s="19">
        <f>IFERROR(IF($E157="REC",INDEX(A_Type_Volume!$G:$G,MATCH($D157,A_Type_Volume!$A:$A,0),1),IF($E157="VAM",INDEX(C_Type_Volume!$G:$G,MATCH($D157,C_Type_Volume!$A:$A,0),1),"X")),"")</f>
        <v>0</v>
      </c>
      <c r="BF157" s="19">
        <f>IFERROR(IF($E157="REC",INDEX(A_Type_Volume!$H:$H,MATCH($D157,A_Type_Volume!$A:$A,0),1),IF($E157="VAM",INDEX(C_Type_Volume!$H:$H,MATCH($D157,C_Type_Volume!$A:$A,0),1),"X")),"")</f>
        <v>0</v>
      </c>
      <c r="BG157" s="19">
        <f>IFERROR(IF($E157="REC",INDEX(A_Type_Volume!$I:$I,MATCH($D157,A_Type_Volume!$A:$A,0),1),IF($E157="VAM",INDEX(C_Type_Volume!$I:$I,MATCH($D157,C_Type_Volume!$A:$A,0),1),"X")),"")</f>
        <v>0</v>
      </c>
      <c r="BH157" s="19">
        <f>IFERROR(IF($E157="REC",INDEX(A_Type_Volume!$J:$J,MATCH($D157,A_Type_Volume!$A:$A,0),1),IF($E157="VAM",INDEX(C_Type_Volume!$J:$J,MATCH($D157,C_Type_Volume!$A:$A,0),1),"X")),"")</f>
        <v>0</v>
      </c>
      <c r="BI157" s="19">
        <f>IFERROR(IF($E157="REC",INDEX(A_Type_Volume!$K:$K,MATCH($D157,A_Type_Volume!$A:$A,0),1),IF($E157="VAM",INDEX(C_Type_Volume!$K:$K,MATCH($D157,C_Type_Volume!$A:$A,0),1),"X")),"")</f>
        <v>1011</v>
      </c>
      <c r="BJ157" s="19">
        <f>IFERROR(IF($E157="REC",INDEX(A_Type_Volume!$L:$L,MATCH($D157,A_Type_Volume!$A:$A,0),1),IF($E157="VAM",INDEX(C_Type_Volume!$L:$L,MATCH($D157,C_Type_Volume!$A:$A,0),1),"X")),"")</f>
        <v>689</v>
      </c>
      <c r="BK157" s="19">
        <f>IFERROR(IF($E157="REC",INDEX(A_Type_Volume!M:M,MATCH($D157,A_Type_Volume!$A:$A,0),1),IF($E157="VAM",INDEX(C_Type_Volume!M:M,MATCH($D157,C_Type_Volume!$A:$A,0),1),"X")),"")</f>
        <v>603</v>
      </c>
      <c r="BL157" s="38">
        <f>SUM(Table1[[#This Row],[Jan_AVF]:[Dec_AVF]])</f>
        <v>12171</v>
      </c>
      <c r="BM157" s="16">
        <f t="shared" si="140"/>
        <v>92.776820256000008</v>
      </c>
      <c r="BN157" s="16">
        <f t="shared" si="141"/>
        <v>132.34437921600002</v>
      </c>
      <c r="BO157" s="16">
        <f t="shared" si="142"/>
        <v>101.61743803200001</v>
      </c>
      <c r="BP157" s="16">
        <f t="shared" si="143"/>
        <v>0</v>
      </c>
      <c r="BQ157" s="16">
        <f t="shared" si="144"/>
        <v>0</v>
      </c>
      <c r="BR157" s="16">
        <f t="shared" si="145"/>
        <v>0</v>
      </c>
      <c r="BS157" s="16">
        <f t="shared" si="146"/>
        <v>0</v>
      </c>
      <c r="BT157" s="16">
        <f t="shared" si="147"/>
        <v>0</v>
      </c>
      <c r="BU157" s="16">
        <f t="shared" si="148"/>
        <v>0</v>
      </c>
      <c r="BV157" s="16">
        <f t="shared" si="149"/>
        <v>33.475148208000007</v>
      </c>
      <c r="BW157" s="16">
        <f t="shared" si="150"/>
        <v>22.813429392000003</v>
      </c>
      <c r="BX157" s="16">
        <f t="shared" si="151"/>
        <v>19.965889584000003</v>
      </c>
      <c r="BY157" s="10">
        <f t="shared" si="118"/>
        <v>326.73863750400005</v>
      </c>
      <c r="BZ157" s="10">
        <f t="shared" si="119"/>
        <v>0</v>
      </c>
      <c r="CA157" s="10">
        <f t="shared" si="120"/>
        <v>0</v>
      </c>
      <c r="CB157" s="10">
        <f t="shared" si="121"/>
        <v>76.254467184000021</v>
      </c>
      <c r="CC157" s="10">
        <f>IFERROR(Table1[[#This Row],[Labor
Saving]]*Table1[[#This Row],[Annual Volume]],"")</f>
        <v>159.57310468800006</v>
      </c>
      <c r="CD157" s="10">
        <f>IFERROR(Table1[[#This Row],[Annual Volume]]*Table1[[#This Row],[Yield
Saving]],"")</f>
        <v>0</v>
      </c>
      <c r="CE157" s="10">
        <f>IFERROR(Table1[[#This Row],[Annual Volume]]*Table1[[#This Row],[Material
Saving]],"")</f>
        <v>243.42000000000002</v>
      </c>
      <c r="CF157" s="10">
        <f>IFERROR(Table1[[#This Row],[OH
Saving]]*Table1[[#This Row],[Annual Volume]],"")</f>
        <v>0</v>
      </c>
      <c r="CG157" s="10">
        <f>SUM(Table1[[#This Row],[Labor_ASV]:[OH_ASV]])</f>
        <v>402.99310468800007</v>
      </c>
    </row>
    <row r="158" spans="1:85" x14ac:dyDescent="0.3">
      <c r="A158" t="str">
        <f>Table1[[#This Row],[Project Name]]&amp;Table1[[#This Row],[Part Number]]</f>
        <v>Tape Dicing 4R141</v>
      </c>
      <c r="B158" t="str">
        <f>IFERROR(Table1[[#This Row],[Project Number]]&amp;Table1[[#This Row],[Part Number]],"")</f>
        <v>AME25-089R141</v>
      </c>
      <c r="C158" s="22" t="s">
        <v>136</v>
      </c>
      <c r="D158" s="24" t="s">
        <v>379</v>
      </c>
      <c r="E158" s="25" t="s">
        <v>58</v>
      </c>
      <c r="F158" s="6">
        <f>INDEX(Proj_Reg!G:G,MATCH($C158,Proj_Reg!$B:$B,0),1)</f>
        <v>46082</v>
      </c>
      <c r="G158" s="6">
        <f>INDEX(Proj_Reg!H:H,MATCH($C158,Proj_Reg!$B:$B,0),1)</f>
        <v>46419</v>
      </c>
      <c r="H158" s="6" t="str">
        <f>IF(INDEX(Proj_Reg!C:C,MATCH($C158,Proj_Reg!$B:$B,0),1)=0,"",INDEX(Proj_Reg!C:C,MATCH($C158,Proj_Reg!$B:$B,0),1))</f>
        <v>Wafer Saw Dicing</v>
      </c>
      <c r="I158" s="6" t="str">
        <f>IF(INDEX(Proj_Reg!D:D,MATCH($C158,Proj_Reg!$B:$B,0),1)=0,"",INDEX(Proj_Reg!D:D,MATCH($C158,Proj_Reg!$B:$B,0),1))</f>
        <v>XCD</v>
      </c>
      <c r="J158" s="6" t="str">
        <f>INDEX(Proj_Reg!E:E,MATCH($C158,Proj_Reg!$B:$B,0),1)</f>
        <v>Tape Dicing 4</v>
      </c>
      <c r="K158" s="21">
        <v>1.3110928000000004E-2</v>
      </c>
      <c r="L158" s="21">
        <v>0</v>
      </c>
      <c r="M158" s="21">
        <v>0.02</v>
      </c>
      <c r="N158" s="21">
        <v>0</v>
      </c>
      <c r="O158" s="11">
        <f>SUM(Table1[[#This Row],[Labor
Saving]:[OH
Saving]])</f>
        <v>3.3110928000000005E-2</v>
      </c>
      <c r="Q158" s="40">
        <f t="shared" si="102"/>
        <v>0</v>
      </c>
      <c r="R158" s="40">
        <f t="shared" si="103"/>
        <v>0</v>
      </c>
      <c r="S158" s="40">
        <f t="shared" si="104"/>
        <v>893.69999999999993</v>
      </c>
      <c r="T158" s="40">
        <f t="shared" si="105"/>
        <v>0</v>
      </c>
      <c r="U158" s="40">
        <f t="shared" si="106"/>
        <v>0</v>
      </c>
      <c r="V158" s="40">
        <f t="shared" si="107"/>
        <v>0</v>
      </c>
      <c r="W158" s="40">
        <f t="shared" si="108"/>
        <v>0</v>
      </c>
      <c r="X158" s="40">
        <f t="shared" si="109"/>
        <v>0</v>
      </c>
      <c r="Y158" s="40">
        <f t="shared" si="110"/>
        <v>0</v>
      </c>
      <c r="Z158" s="40">
        <f t="shared" si="111"/>
        <v>1011</v>
      </c>
      <c r="AA158" s="40">
        <f t="shared" si="112"/>
        <v>689</v>
      </c>
      <c r="AB158" s="40">
        <f t="shared" si="113"/>
        <v>603</v>
      </c>
      <c r="AC158" s="37">
        <f>SUM(Table1[[#This Row],[Jan]:[Dec]])</f>
        <v>3196.7</v>
      </c>
      <c r="AD158" s="15">
        <f t="shared" si="122"/>
        <v>0</v>
      </c>
      <c r="AE158" s="15">
        <f t="shared" si="123"/>
        <v>0</v>
      </c>
      <c r="AF158" s="15">
        <f t="shared" si="124"/>
        <v>29.591236353600003</v>
      </c>
      <c r="AG158" s="15">
        <f t="shared" si="125"/>
        <v>0</v>
      </c>
      <c r="AH158" s="15">
        <f t="shared" si="126"/>
        <v>0</v>
      </c>
      <c r="AI158" s="15">
        <f t="shared" si="127"/>
        <v>0</v>
      </c>
      <c r="AJ158" s="15">
        <f t="shared" si="128"/>
        <v>0</v>
      </c>
      <c r="AK158" s="15">
        <f t="shared" si="129"/>
        <v>0</v>
      </c>
      <c r="AL158" s="15">
        <f t="shared" si="130"/>
        <v>0</v>
      </c>
      <c r="AM158" s="15">
        <f t="shared" si="131"/>
        <v>33.475148208000007</v>
      </c>
      <c r="AN158" s="15">
        <f t="shared" si="132"/>
        <v>22.813429392000003</v>
      </c>
      <c r="AO158" s="15">
        <f t="shared" si="133"/>
        <v>19.965889584000003</v>
      </c>
      <c r="AP158" s="10">
        <f t="shared" si="134"/>
        <v>29.591236353600003</v>
      </c>
      <c r="AQ158" s="10">
        <f t="shared" si="135"/>
        <v>0</v>
      </c>
      <c r="AR158" s="10">
        <f t="shared" si="136"/>
        <v>0</v>
      </c>
      <c r="AS158" s="10">
        <f t="shared" si="137"/>
        <v>76.254467184000021</v>
      </c>
      <c r="AT158" s="10" t="b">
        <f t="shared" si="138"/>
        <v>1</v>
      </c>
      <c r="AU158" s="10">
        <f t="shared" si="114"/>
        <v>41.911703537600012</v>
      </c>
      <c r="AV158" s="10">
        <f t="shared" si="115"/>
        <v>0</v>
      </c>
      <c r="AW158" s="10">
        <f t="shared" si="116"/>
        <v>63.933999999999997</v>
      </c>
      <c r="AX158" s="10">
        <f t="shared" si="117"/>
        <v>0</v>
      </c>
      <c r="AY158" s="10">
        <f t="shared" si="139"/>
        <v>105.8457035376</v>
      </c>
      <c r="AZ158" s="19">
        <f>IFERROR(IF($E158="REC",INDEX(A_Type_Volume!$B:$B,MATCH($D158,A_Type_Volume!$A:$A,0),1),IF($E158="VAM",INDEX(C_Type_Volume!$B:$B,MATCH($D158,C_Type_Volume!$A:$A,0),1),"X")),"")</f>
        <v>4766</v>
      </c>
      <c r="BA158" s="19">
        <f>IFERROR(IF($E158="REC",INDEX(A_Type_Volume!$C:$C,MATCH($D158,A_Type_Volume!$A:$A,0),1),IF($E158="VAM",INDEX(C_Type_Volume!$C:$C,MATCH($D158,C_Type_Volume!$A:$A,0),1),"X")),"")</f>
        <v>3997</v>
      </c>
      <c r="BB158" s="19">
        <f>IFERROR(IF($E158="REC",INDEX(A_Type_Volume!$D:$D,MATCH($D158,A_Type_Volume!$A:$A,0),1),IF($E158="VAM",INDEX(C_Type_Volume!$D:$D,MATCH($D158,C_Type_Volume!$A:$A,0),1),"X")),"")</f>
        <v>2979</v>
      </c>
      <c r="BC158" s="19">
        <f>IFERROR(IF($E158="REC",INDEX(A_Type_Volume!$E:$E,MATCH($D158,A_Type_Volume!$A:$A,0),1),IF($E158="VAM",INDEX(C_Type_Volume!$E:$E,MATCH($D158,C_Type_Volume!$A:$A,0),1),"X")),"")</f>
        <v>0</v>
      </c>
      <c r="BD158" s="19">
        <f>IFERROR(IF($E158="REC",INDEX(A_Type_Volume!$F:$F,MATCH($D158,A_Type_Volume!$A:$A,0),1),IF($E158="VAM",INDEX(C_Type_Volume!$F:$F,MATCH($D158,C_Type_Volume!$A:$A,0),1),"X")),"")</f>
        <v>0</v>
      </c>
      <c r="BE158" s="19">
        <f>IFERROR(IF($E158="REC",INDEX(A_Type_Volume!$G:$G,MATCH($D158,A_Type_Volume!$A:$A,0),1),IF($E158="VAM",INDEX(C_Type_Volume!$G:$G,MATCH($D158,C_Type_Volume!$A:$A,0),1),"X")),"")</f>
        <v>0</v>
      </c>
      <c r="BF158" s="19">
        <f>IFERROR(IF($E158="REC",INDEX(A_Type_Volume!$H:$H,MATCH($D158,A_Type_Volume!$A:$A,0),1),IF($E158="VAM",INDEX(C_Type_Volume!$H:$H,MATCH($D158,C_Type_Volume!$A:$A,0),1),"X")),"")</f>
        <v>0</v>
      </c>
      <c r="BG158" s="19">
        <f>IFERROR(IF($E158="REC",INDEX(A_Type_Volume!$I:$I,MATCH($D158,A_Type_Volume!$A:$A,0),1),IF($E158="VAM",INDEX(C_Type_Volume!$I:$I,MATCH($D158,C_Type_Volume!$A:$A,0),1),"X")),"")</f>
        <v>0</v>
      </c>
      <c r="BH158" s="19">
        <f>IFERROR(IF($E158="REC",INDEX(A_Type_Volume!$J:$J,MATCH($D158,A_Type_Volume!$A:$A,0),1),IF($E158="VAM",INDEX(C_Type_Volume!$J:$J,MATCH($D158,C_Type_Volume!$A:$A,0),1),"X")),"")</f>
        <v>0</v>
      </c>
      <c r="BI158" s="19">
        <f>IFERROR(IF($E158="REC",INDEX(A_Type_Volume!$K:$K,MATCH($D158,A_Type_Volume!$A:$A,0),1),IF($E158="VAM",INDEX(C_Type_Volume!$K:$K,MATCH($D158,C_Type_Volume!$A:$A,0),1),"X")),"")</f>
        <v>1011</v>
      </c>
      <c r="BJ158" s="19">
        <f>IFERROR(IF($E158="REC",INDEX(A_Type_Volume!$L:$L,MATCH($D158,A_Type_Volume!$A:$A,0),1),IF($E158="VAM",INDEX(C_Type_Volume!$L:$L,MATCH($D158,C_Type_Volume!$A:$A,0),1),"X")),"")</f>
        <v>689</v>
      </c>
      <c r="BK158" s="19">
        <f>IFERROR(IF($E158="REC",INDEX(A_Type_Volume!M:M,MATCH($D158,A_Type_Volume!$A:$A,0),1),IF($E158="VAM",INDEX(C_Type_Volume!M:M,MATCH($D158,C_Type_Volume!$A:$A,0),1),"X")),"")</f>
        <v>603</v>
      </c>
      <c r="BL158" s="38">
        <f>SUM(Table1[[#This Row],[Jan_AVF]:[Dec_AVF]])</f>
        <v>14045</v>
      </c>
      <c r="BM158" s="16">
        <f t="shared" si="140"/>
        <v>157.80668284800004</v>
      </c>
      <c r="BN158" s="16">
        <f t="shared" si="141"/>
        <v>132.34437921600002</v>
      </c>
      <c r="BO158" s="16">
        <f t="shared" si="142"/>
        <v>98.637454512000019</v>
      </c>
      <c r="BP158" s="16">
        <f t="shared" si="143"/>
        <v>0</v>
      </c>
      <c r="BQ158" s="16">
        <f t="shared" si="144"/>
        <v>0</v>
      </c>
      <c r="BR158" s="16">
        <f t="shared" si="145"/>
        <v>0</v>
      </c>
      <c r="BS158" s="16">
        <f t="shared" si="146"/>
        <v>0</v>
      </c>
      <c r="BT158" s="16">
        <f t="shared" si="147"/>
        <v>0</v>
      </c>
      <c r="BU158" s="16">
        <f t="shared" si="148"/>
        <v>0</v>
      </c>
      <c r="BV158" s="16">
        <f t="shared" si="149"/>
        <v>33.475148208000007</v>
      </c>
      <c r="BW158" s="16">
        <f t="shared" si="150"/>
        <v>22.813429392000003</v>
      </c>
      <c r="BX158" s="16">
        <f t="shared" si="151"/>
        <v>19.965889584000003</v>
      </c>
      <c r="BY158" s="10">
        <f t="shared" si="118"/>
        <v>388.78851657600006</v>
      </c>
      <c r="BZ158" s="10">
        <f t="shared" si="119"/>
        <v>0</v>
      </c>
      <c r="CA158" s="10">
        <f t="shared" si="120"/>
        <v>0</v>
      </c>
      <c r="CB158" s="10">
        <f t="shared" si="121"/>
        <v>76.254467184000021</v>
      </c>
      <c r="CC158" s="10">
        <f>IFERROR(Table1[[#This Row],[Labor
Saving]]*Table1[[#This Row],[Annual Volume]],"")</f>
        <v>184.14298376000005</v>
      </c>
      <c r="CD158" s="10">
        <f>IFERROR(Table1[[#This Row],[Annual Volume]]*Table1[[#This Row],[Yield
Saving]],"")</f>
        <v>0</v>
      </c>
      <c r="CE158" s="10">
        <f>IFERROR(Table1[[#This Row],[Annual Volume]]*Table1[[#This Row],[Material
Saving]],"")</f>
        <v>280.90000000000003</v>
      </c>
      <c r="CF158" s="10">
        <f>IFERROR(Table1[[#This Row],[OH
Saving]]*Table1[[#This Row],[Annual Volume]],"")</f>
        <v>0</v>
      </c>
      <c r="CG158" s="10">
        <f>SUM(Table1[[#This Row],[Labor_ASV]:[OH_ASV]])</f>
        <v>465.04298376000008</v>
      </c>
    </row>
    <row r="159" spans="1:85" x14ac:dyDescent="0.3">
      <c r="A159" t="str">
        <f>Table1[[#This Row],[Project Name]]&amp;Table1[[#This Row],[Part Number]]</f>
        <v>Thermal Release Tape 2R94</v>
      </c>
      <c r="B159" t="str">
        <f>IFERROR(Table1[[#This Row],[Project Number]]&amp;Table1[[#This Row],[Part Number]],"")</f>
        <v>AME25-039R94</v>
      </c>
      <c r="C159" s="22" t="s">
        <v>91</v>
      </c>
      <c r="D159" s="24" t="s">
        <v>332</v>
      </c>
      <c r="E159" s="25" t="s">
        <v>58</v>
      </c>
      <c r="F159" s="6">
        <f>INDEX(Proj_Reg!G:G,MATCH($C159,Proj_Reg!$B:$B,0),1)</f>
        <v>46113</v>
      </c>
      <c r="G159" s="6">
        <f>INDEX(Proj_Reg!H:H,MATCH($C159,Proj_Reg!$B:$B,0),1)</f>
        <v>46447</v>
      </c>
      <c r="H159" s="6" t="str">
        <f>IF(INDEX(Proj_Reg!C:C,MATCH($C159,Proj_Reg!$B:$B,0),1)=0,"",INDEX(Proj_Reg!C:C,MATCH($C159,Proj_Reg!$B:$B,0),1))</f>
        <v>Wafer Saw Dicing</v>
      </c>
      <c r="I159" s="6" t="str">
        <f>IF(INDEX(Proj_Reg!D:D,MATCH($C159,Proj_Reg!$B:$B,0),1)=0,"",INDEX(Proj_Reg!D:D,MATCH($C159,Proj_Reg!$B:$B,0),1))</f>
        <v>XCD</v>
      </c>
      <c r="J159" s="6" t="str">
        <f>INDEX(Proj_Reg!E:E,MATCH($C159,Proj_Reg!$B:$B,0),1)</f>
        <v>Thermal Release Tape 2</v>
      </c>
      <c r="K159" s="21">
        <v>1.3110928000000004E-2</v>
      </c>
      <c r="L159" s="21">
        <v>0</v>
      </c>
      <c r="M159" s="21">
        <v>0.02</v>
      </c>
      <c r="N159" s="21">
        <v>0</v>
      </c>
      <c r="O159" s="11">
        <f>SUM(Table1[[#This Row],[Labor
Saving]:[OH
Saving]])</f>
        <v>3.3110928000000005E-2</v>
      </c>
      <c r="Q159" s="40">
        <f t="shared" si="102"/>
        <v>0</v>
      </c>
      <c r="R159" s="40">
        <f t="shared" si="103"/>
        <v>0</v>
      </c>
      <c r="S159" s="40">
        <f t="shared" si="104"/>
        <v>0</v>
      </c>
      <c r="T159" s="40">
        <f t="shared" si="105"/>
        <v>1498.2</v>
      </c>
      <c r="U159" s="40">
        <f t="shared" si="106"/>
        <v>5833</v>
      </c>
      <c r="V159" s="40">
        <f t="shared" si="107"/>
        <v>5864</v>
      </c>
      <c r="W159" s="40">
        <f t="shared" si="108"/>
        <v>10480</v>
      </c>
      <c r="X159" s="40">
        <f t="shared" si="109"/>
        <v>3841</v>
      </c>
      <c r="Y159" s="40">
        <f t="shared" si="110"/>
        <v>4481</v>
      </c>
      <c r="Z159" s="40">
        <f t="shared" si="111"/>
        <v>4862</v>
      </c>
      <c r="AA159" s="40">
        <f t="shared" si="112"/>
        <v>3315</v>
      </c>
      <c r="AB159" s="40">
        <f t="shared" si="113"/>
        <v>2901</v>
      </c>
      <c r="AC159" s="37">
        <f>SUM(Table1[[#This Row],[Jan]:[Dec]])</f>
        <v>43075.199999999997</v>
      </c>
      <c r="AD159" s="15">
        <f t="shared" si="122"/>
        <v>0</v>
      </c>
      <c r="AE159" s="15">
        <f t="shared" si="123"/>
        <v>0</v>
      </c>
      <c r="AF159" s="15">
        <f t="shared" si="124"/>
        <v>0</v>
      </c>
      <c r="AG159" s="15">
        <f t="shared" si="125"/>
        <v>49.606792329600012</v>
      </c>
      <c r="AH159" s="15">
        <f t="shared" si="126"/>
        <v>193.13604302400003</v>
      </c>
      <c r="AI159" s="15">
        <f t="shared" si="127"/>
        <v>194.16248179200002</v>
      </c>
      <c r="AJ159" s="15">
        <f t="shared" si="128"/>
        <v>347.00252544000006</v>
      </c>
      <c r="AK159" s="15">
        <f t="shared" si="129"/>
        <v>127.17907444800002</v>
      </c>
      <c r="AL159" s="15">
        <f t="shared" si="130"/>
        <v>148.37006836800003</v>
      </c>
      <c r="AM159" s="15">
        <f t="shared" si="131"/>
        <v>160.98533193600002</v>
      </c>
      <c r="AN159" s="15">
        <f t="shared" si="132"/>
        <v>109.76272632000001</v>
      </c>
      <c r="AO159" s="15">
        <f t="shared" si="133"/>
        <v>96.05480212800002</v>
      </c>
      <c r="AP159" s="10">
        <f t="shared" si="134"/>
        <v>0</v>
      </c>
      <c r="AQ159" s="10">
        <f t="shared" si="135"/>
        <v>436.90531714560007</v>
      </c>
      <c r="AR159" s="10">
        <f t="shared" si="136"/>
        <v>622.55166825600008</v>
      </c>
      <c r="AS159" s="10">
        <f t="shared" si="137"/>
        <v>366.80286038400004</v>
      </c>
      <c r="AT159" s="10" t="b">
        <f t="shared" si="138"/>
        <v>1</v>
      </c>
      <c r="AU159" s="10">
        <f t="shared" si="114"/>
        <v>564.75584578560017</v>
      </c>
      <c r="AV159" s="10">
        <f t="shared" si="115"/>
        <v>0</v>
      </c>
      <c r="AW159" s="10">
        <f t="shared" si="116"/>
        <v>861.50399999999991</v>
      </c>
      <c r="AX159" s="10">
        <f t="shared" si="117"/>
        <v>0</v>
      </c>
      <c r="AY159" s="10">
        <f t="shared" si="139"/>
        <v>1426.2598457856002</v>
      </c>
      <c r="AZ159" s="19">
        <f>IFERROR(IF($E159="REC",INDEX(A_Type_Volume!$B:$B,MATCH($D159,A_Type_Volume!$A:$A,0),1),IF($E159="VAM",INDEX(C_Type_Volume!$B:$B,MATCH($D159,C_Type_Volume!$A:$A,0),1),"X")),"")</f>
        <v>0</v>
      </c>
      <c r="BA159" s="19">
        <f>IFERROR(IF($E159="REC",INDEX(A_Type_Volume!$C:$C,MATCH($D159,A_Type_Volume!$A:$A,0),1),IF($E159="VAM",INDEX(C_Type_Volume!$C:$C,MATCH($D159,C_Type_Volume!$A:$A,0),1),"X")),"")</f>
        <v>5168</v>
      </c>
      <c r="BB159" s="19">
        <f>IFERROR(IF($E159="REC",INDEX(A_Type_Volume!$D:$D,MATCH($D159,A_Type_Volume!$A:$A,0),1),IF($E159="VAM",INDEX(C_Type_Volume!$D:$D,MATCH($D159,C_Type_Volume!$A:$A,0),1),"X")),"")</f>
        <v>5579</v>
      </c>
      <c r="BC159" s="19">
        <f>IFERROR(IF($E159="REC",INDEX(A_Type_Volume!$E:$E,MATCH($D159,A_Type_Volume!$A:$A,0),1),IF($E159="VAM",INDEX(C_Type_Volume!$E:$E,MATCH($D159,C_Type_Volume!$A:$A,0),1),"X")),"")</f>
        <v>4994</v>
      </c>
      <c r="BD159" s="19">
        <f>IFERROR(IF($E159="REC",INDEX(A_Type_Volume!$F:$F,MATCH($D159,A_Type_Volume!$A:$A,0),1),IF($E159="VAM",INDEX(C_Type_Volume!$F:$F,MATCH($D159,C_Type_Volume!$A:$A,0),1),"X")),"")</f>
        <v>5833</v>
      </c>
      <c r="BE159" s="19">
        <f>IFERROR(IF($E159="REC",INDEX(A_Type_Volume!$G:$G,MATCH($D159,A_Type_Volume!$A:$A,0),1),IF($E159="VAM",INDEX(C_Type_Volume!$G:$G,MATCH($D159,C_Type_Volume!$A:$A,0),1),"X")),"")</f>
        <v>5864</v>
      </c>
      <c r="BF159" s="19">
        <f>IFERROR(IF($E159="REC",INDEX(A_Type_Volume!$H:$H,MATCH($D159,A_Type_Volume!$A:$A,0),1),IF($E159="VAM",INDEX(C_Type_Volume!$H:$H,MATCH($D159,C_Type_Volume!$A:$A,0),1),"X")),"")</f>
        <v>10480</v>
      </c>
      <c r="BG159" s="19">
        <f>IFERROR(IF($E159="REC",INDEX(A_Type_Volume!$I:$I,MATCH($D159,A_Type_Volume!$A:$A,0),1),IF($E159="VAM",INDEX(C_Type_Volume!$I:$I,MATCH($D159,C_Type_Volume!$A:$A,0),1),"X")),"")</f>
        <v>3841</v>
      </c>
      <c r="BH159" s="19">
        <f>IFERROR(IF($E159="REC",INDEX(A_Type_Volume!$J:$J,MATCH($D159,A_Type_Volume!$A:$A,0),1),IF($E159="VAM",INDEX(C_Type_Volume!$J:$J,MATCH($D159,C_Type_Volume!$A:$A,0),1),"X")),"")</f>
        <v>4481</v>
      </c>
      <c r="BI159" s="19">
        <f>IFERROR(IF($E159="REC",INDEX(A_Type_Volume!$K:$K,MATCH($D159,A_Type_Volume!$A:$A,0),1),IF($E159="VAM",INDEX(C_Type_Volume!$K:$K,MATCH($D159,C_Type_Volume!$A:$A,0),1),"X")),"")</f>
        <v>4862</v>
      </c>
      <c r="BJ159" s="19">
        <f>IFERROR(IF($E159="REC",INDEX(A_Type_Volume!$L:$L,MATCH($D159,A_Type_Volume!$A:$A,0),1),IF($E159="VAM",INDEX(C_Type_Volume!$L:$L,MATCH($D159,C_Type_Volume!$A:$A,0),1),"X")),"")</f>
        <v>3315</v>
      </c>
      <c r="BK159" s="19">
        <f>IFERROR(IF($E159="REC",INDEX(A_Type_Volume!M:M,MATCH($D159,A_Type_Volume!$A:$A,0),1),IF($E159="VAM",INDEX(C_Type_Volume!M:M,MATCH($D159,C_Type_Volume!$A:$A,0),1),"X")),"")</f>
        <v>2901</v>
      </c>
      <c r="BL159" s="38">
        <f>SUM(Table1[[#This Row],[Jan_AVF]:[Dec_AVF]])</f>
        <v>57318</v>
      </c>
      <c r="BM159" s="16">
        <f t="shared" si="140"/>
        <v>0</v>
      </c>
      <c r="BN159" s="16">
        <f t="shared" si="141"/>
        <v>171.11727590400002</v>
      </c>
      <c r="BO159" s="16">
        <f t="shared" si="142"/>
        <v>184.72586731200002</v>
      </c>
      <c r="BP159" s="16">
        <f t="shared" si="143"/>
        <v>165.35597443200001</v>
      </c>
      <c r="BQ159" s="16">
        <f t="shared" si="144"/>
        <v>193.13604302400003</v>
      </c>
      <c r="BR159" s="16">
        <f t="shared" si="145"/>
        <v>194.16248179200002</v>
      </c>
      <c r="BS159" s="16">
        <f t="shared" si="146"/>
        <v>347.00252544000006</v>
      </c>
      <c r="BT159" s="16">
        <f t="shared" si="147"/>
        <v>127.17907444800002</v>
      </c>
      <c r="BU159" s="16">
        <f t="shared" si="148"/>
        <v>148.37006836800003</v>
      </c>
      <c r="BV159" s="16">
        <f t="shared" si="149"/>
        <v>160.98533193600002</v>
      </c>
      <c r="BW159" s="16">
        <f t="shared" si="150"/>
        <v>109.76272632000001</v>
      </c>
      <c r="BX159" s="16">
        <f t="shared" si="151"/>
        <v>96.05480212800002</v>
      </c>
      <c r="BY159" s="10">
        <f t="shared" si="118"/>
        <v>355.84314321600004</v>
      </c>
      <c r="BZ159" s="10">
        <f t="shared" si="119"/>
        <v>552.65449924800009</v>
      </c>
      <c r="CA159" s="10">
        <f t="shared" si="120"/>
        <v>622.55166825600008</v>
      </c>
      <c r="CB159" s="10">
        <f t="shared" si="121"/>
        <v>366.80286038400004</v>
      </c>
      <c r="CC159" s="10">
        <f>IFERROR(Table1[[#This Row],[Labor
Saving]]*Table1[[#This Row],[Annual Volume]],"")</f>
        <v>751.49217110400025</v>
      </c>
      <c r="CD159" s="10">
        <f>IFERROR(Table1[[#This Row],[Annual Volume]]*Table1[[#This Row],[Yield
Saving]],"")</f>
        <v>0</v>
      </c>
      <c r="CE159" s="10">
        <f>IFERROR(Table1[[#This Row],[Annual Volume]]*Table1[[#This Row],[Material
Saving]],"")</f>
        <v>1146.3600000000001</v>
      </c>
      <c r="CF159" s="10">
        <f>IFERROR(Table1[[#This Row],[OH
Saving]]*Table1[[#This Row],[Annual Volume]],"")</f>
        <v>0</v>
      </c>
      <c r="CG159" s="10">
        <f>SUM(Table1[[#This Row],[Labor_ASV]:[OH_ASV]])</f>
        <v>1897.8521711040003</v>
      </c>
    </row>
    <row r="160" spans="1:85" x14ac:dyDescent="0.3">
      <c r="A160" t="str">
        <f>Table1[[#This Row],[Project Name]]&amp;Table1[[#This Row],[Part Number]]</f>
        <v>Thermal Release Tape 2R95</v>
      </c>
      <c r="B160" t="str">
        <f>IFERROR(Table1[[#This Row],[Project Number]]&amp;Table1[[#This Row],[Part Number]],"")</f>
        <v>AME25-039R95</v>
      </c>
      <c r="C160" s="22" t="s">
        <v>91</v>
      </c>
      <c r="D160" s="24" t="s">
        <v>333</v>
      </c>
      <c r="E160" s="25" t="s">
        <v>58</v>
      </c>
      <c r="F160" s="6">
        <f>INDEX(Proj_Reg!G:G,MATCH($C160,Proj_Reg!$B:$B,0),1)</f>
        <v>46113</v>
      </c>
      <c r="G160" s="6">
        <f>INDEX(Proj_Reg!H:H,MATCH($C160,Proj_Reg!$B:$B,0),1)</f>
        <v>46447</v>
      </c>
      <c r="H160" s="6" t="str">
        <f>IF(INDEX(Proj_Reg!C:C,MATCH($C160,Proj_Reg!$B:$B,0),1)=0,"",INDEX(Proj_Reg!C:C,MATCH($C160,Proj_Reg!$B:$B,0),1))</f>
        <v>Wafer Saw Dicing</v>
      </c>
      <c r="I160" s="6" t="str">
        <f>IF(INDEX(Proj_Reg!D:D,MATCH($C160,Proj_Reg!$B:$B,0),1)=0,"",INDEX(Proj_Reg!D:D,MATCH($C160,Proj_Reg!$B:$B,0),1))</f>
        <v>XCD</v>
      </c>
      <c r="J160" s="6" t="str">
        <f>INDEX(Proj_Reg!E:E,MATCH($C160,Proj_Reg!$B:$B,0),1)</f>
        <v>Thermal Release Tape 2</v>
      </c>
      <c r="K160" s="21">
        <v>1.7194975588760087E-2</v>
      </c>
      <c r="L160" s="21">
        <v>0</v>
      </c>
      <c r="M160" s="21">
        <v>0.02</v>
      </c>
      <c r="N160" s="21">
        <v>0</v>
      </c>
      <c r="O160" s="11">
        <f>SUM(Table1[[#This Row],[Labor
Saving]:[OH
Saving]])</f>
        <v>3.7194975588760087E-2</v>
      </c>
      <c r="Q160" s="40">
        <f t="shared" si="102"/>
        <v>0</v>
      </c>
      <c r="R160" s="40">
        <f t="shared" si="103"/>
        <v>0</v>
      </c>
      <c r="S160" s="40">
        <f t="shared" si="104"/>
        <v>0</v>
      </c>
      <c r="T160" s="40">
        <f t="shared" si="105"/>
        <v>1483.5</v>
      </c>
      <c r="U160" s="40">
        <f t="shared" si="106"/>
        <v>5777</v>
      </c>
      <c r="V160" s="40">
        <f t="shared" si="107"/>
        <v>5807</v>
      </c>
      <c r="W160" s="40">
        <f t="shared" si="108"/>
        <v>10146</v>
      </c>
      <c r="X160" s="40">
        <f t="shared" si="109"/>
        <v>3719</v>
      </c>
      <c r="Y160" s="40">
        <f t="shared" si="110"/>
        <v>4338</v>
      </c>
      <c r="Z160" s="40">
        <f t="shared" si="111"/>
        <v>4707</v>
      </c>
      <c r="AA160" s="40">
        <f t="shared" si="112"/>
        <v>3209</v>
      </c>
      <c r="AB160" s="40">
        <f t="shared" si="113"/>
        <v>2808</v>
      </c>
      <c r="AC160" s="37">
        <f>SUM(Table1[[#This Row],[Jan]:[Dec]])</f>
        <v>41994.5</v>
      </c>
      <c r="AD160" s="15">
        <f t="shared" si="122"/>
        <v>0</v>
      </c>
      <c r="AE160" s="15">
        <f t="shared" si="123"/>
        <v>0</v>
      </c>
      <c r="AF160" s="15">
        <f t="shared" si="124"/>
        <v>0</v>
      </c>
      <c r="AG160" s="15">
        <f t="shared" si="125"/>
        <v>55.178746285925591</v>
      </c>
      <c r="AH160" s="15">
        <f t="shared" si="126"/>
        <v>214.87537397626701</v>
      </c>
      <c r="AI160" s="15">
        <f t="shared" si="127"/>
        <v>215.99122324392982</v>
      </c>
      <c r="AJ160" s="15">
        <f t="shared" si="128"/>
        <v>377.38022232355985</v>
      </c>
      <c r="AK160" s="15">
        <f t="shared" si="129"/>
        <v>138.32811421459877</v>
      </c>
      <c r="AL160" s="15">
        <f t="shared" si="130"/>
        <v>161.35180410404126</v>
      </c>
      <c r="AM160" s="15">
        <f t="shared" si="131"/>
        <v>175.07675009629372</v>
      </c>
      <c r="AN160" s="15">
        <f t="shared" si="132"/>
        <v>119.35867666433111</v>
      </c>
      <c r="AO160" s="15">
        <f t="shared" si="133"/>
        <v>104.44349145323832</v>
      </c>
      <c r="AP160" s="10">
        <f t="shared" si="134"/>
        <v>0</v>
      </c>
      <c r="AQ160" s="10">
        <f t="shared" si="135"/>
        <v>486.04534350612244</v>
      </c>
      <c r="AR160" s="10">
        <f t="shared" si="136"/>
        <v>677.06014064219994</v>
      </c>
      <c r="AS160" s="10">
        <f t="shared" si="137"/>
        <v>398.87891821386319</v>
      </c>
      <c r="AT160" s="10" t="b">
        <f t="shared" si="138"/>
        <v>1</v>
      </c>
      <c r="AU160" s="10">
        <f t="shared" si="114"/>
        <v>722.09440236218552</v>
      </c>
      <c r="AV160" s="10">
        <f t="shared" si="115"/>
        <v>0</v>
      </c>
      <c r="AW160" s="10">
        <f t="shared" si="116"/>
        <v>839.89</v>
      </c>
      <c r="AX160" s="10">
        <f t="shared" si="117"/>
        <v>0</v>
      </c>
      <c r="AY160" s="10">
        <f t="shared" si="139"/>
        <v>1561.9844023621854</v>
      </c>
      <c r="AZ160" s="19">
        <f>IFERROR(IF($E160="REC",INDEX(A_Type_Volume!$B:$B,MATCH($D160,A_Type_Volume!$A:$A,0),1),IF($E160="VAM",INDEX(C_Type_Volume!$B:$B,MATCH($D160,C_Type_Volume!$A:$A,0),1),"X")),"")</f>
        <v>4970</v>
      </c>
      <c r="BA160" s="19">
        <f>IFERROR(IF($E160="REC",INDEX(A_Type_Volume!$C:$C,MATCH($D160,A_Type_Volume!$A:$A,0),1),IF($E160="VAM",INDEX(C_Type_Volume!$C:$C,MATCH($D160,C_Type_Volume!$A:$A,0),1),"X")),"")</f>
        <v>5118</v>
      </c>
      <c r="BB160" s="19">
        <f>IFERROR(IF($E160="REC",INDEX(A_Type_Volume!$D:$D,MATCH($D160,A_Type_Volume!$A:$A,0),1),IF($E160="VAM",INDEX(C_Type_Volume!$D:$D,MATCH($D160,C_Type_Volume!$A:$A,0),1),"X")),"")</f>
        <v>5525</v>
      </c>
      <c r="BC160" s="19">
        <f>IFERROR(IF($E160="REC",INDEX(A_Type_Volume!$E:$E,MATCH($D160,A_Type_Volume!$A:$A,0),1),IF($E160="VAM",INDEX(C_Type_Volume!$E:$E,MATCH($D160,C_Type_Volume!$A:$A,0),1),"X")),"")</f>
        <v>4945</v>
      </c>
      <c r="BD160" s="19">
        <f>IFERROR(IF($E160="REC",INDEX(A_Type_Volume!$F:$F,MATCH($D160,A_Type_Volume!$A:$A,0),1),IF($E160="VAM",INDEX(C_Type_Volume!$F:$F,MATCH($D160,C_Type_Volume!$A:$A,0),1),"X")),"")</f>
        <v>5777</v>
      </c>
      <c r="BE160" s="19">
        <f>IFERROR(IF($E160="REC",INDEX(A_Type_Volume!$G:$G,MATCH($D160,A_Type_Volume!$A:$A,0),1),IF($E160="VAM",INDEX(C_Type_Volume!$G:$G,MATCH($D160,C_Type_Volume!$A:$A,0),1),"X")),"")</f>
        <v>5807</v>
      </c>
      <c r="BF160" s="19">
        <f>IFERROR(IF($E160="REC",INDEX(A_Type_Volume!$H:$H,MATCH($D160,A_Type_Volume!$A:$A,0),1),IF($E160="VAM",INDEX(C_Type_Volume!$H:$H,MATCH($D160,C_Type_Volume!$A:$A,0),1),"X")),"")</f>
        <v>10146</v>
      </c>
      <c r="BG160" s="19">
        <f>IFERROR(IF($E160="REC",INDEX(A_Type_Volume!$I:$I,MATCH($D160,A_Type_Volume!$A:$A,0),1),IF($E160="VAM",INDEX(C_Type_Volume!$I:$I,MATCH($D160,C_Type_Volume!$A:$A,0),1),"X")),"")</f>
        <v>3719</v>
      </c>
      <c r="BH160" s="19">
        <f>IFERROR(IF($E160="REC",INDEX(A_Type_Volume!$J:$J,MATCH($D160,A_Type_Volume!$A:$A,0),1),IF($E160="VAM",INDEX(C_Type_Volume!$J:$J,MATCH($D160,C_Type_Volume!$A:$A,0),1),"X")),"")</f>
        <v>4338</v>
      </c>
      <c r="BI160" s="19">
        <f>IFERROR(IF($E160="REC",INDEX(A_Type_Volume!$K:$K,MATCH($D160,A_Type_Volume!$A:$A,0),1),IF($E160="VAM",INDEX(C_Type_Volume!$K:$K,MATCH($D160,C_Type_Volume!$A:$A,0),1),"X")),"")</f>
        <v>4707</v>
      </c>
      <c r="BJ160" s="19">
        <f>IFERROR(IF($E160="REC",INDEX(A_Type_Volume!$L:$L,MATCH($D160,A_Type_Volume!$A:$A,0),1),IF($E160="VAM",INDEX(C_Type_Volume!$L:$L,MATCH($D160,C_Type_Volume!$A:$A,0),1),"X")),"")</f>
        <v>3209</v>
      </c>
      <c r="BK160" s="19">
        <f>IFERROR(IF($E160="REC",INDEX(A_Type_Volume!M:M,MATCH($D160,A_Type_Volume!$A:$A,0),1),IF($E160="VAM",INDEX(C_Type_Volume!M:M,MATCH($D160,C_Type_Volume!$A:$A,0),1),"X")),"")</f>
        <v>2808</v>
      </c>
      <c r="BL160" s="38">
        <f>SUM(Table1[[#This Row],[Jan_AVF]:[Dec_AVF]])</f>
        <v>61069</v>
      </c>
      <c r="BM160" s="16">
        <f t="shared" si="140"/>
        <v>184.85902867613763</v>
      </c>
      <c r="BN160" s="16">
        <f t="shared" si="141"/>
        <v>190.36388506327413</v>
      </c>
      <c r="BO160" s="16">
        <f t="shared" si="142"/>
        <v>205.50224012789948</v>
      </c>
      <c r="BP160" s="16">
        <f t="shared" si="143"/>
        <v>183.92915428641862</v>
      </c>
      <c r="BQ160" s="16">
        <f t="shared" si="144"/>
        <v>214.87537397626701</v>
      </c>
      <c r="BR160" s="16">
        <f t="shared" si="145"/>
        <v>215.99122324392982</v>
      </c>
      <c r="BS160" s="16">
        <f t="shared" si="146"/>
        <v>377.38022232355985</v>
      </c>
      <c r="BT160" s="16">
        <f t="shared" si="147"/>
        <v>138.32811421459877</v>
      </c>
      <c r="BU160" s="16">
        <f t="shared" si="148"/>
        <v>161.35180410404126</v>
      </c>
      <c r="BV160" s="16">
        <f t="shared" si="149"/>
        <v>175.07675009629372</v>
      </c>
      <c r="BW160" s="16">
        <f t="shared" si="150"/>
        <v>119.35867666433111</v>
      </c>
      <c r="BX160" s="16">
        <f t="shared" si="151"/>
        <v>104.44349145323832</v>
      </c>
      <c r="BY160" s="10">
        <f t="shared" si="118"/>
        <v>580.72515386731129</v>
      </c>
      <c r="BZ160" s="10">
        <f t="shared" si="119"/>
        <v>614.79575150661549</v>
      </c>
      <c r="CA160" s="10">
        <f t="shared" si="120"/>
        <v>677.06014064219994</v>
      </c>
      <c r="CB160" s="10">
        <f t="shared" si="121"/>
        <v>398.87891821386319</v>
      </c>
      <c r="CC160" s="10">
        <f>IFERROR(Table1[[#This Row],[Labor
Saving]]*Table1[[#This Row],[Annual Volume]],"")</f>
        <v>1050.0799642299899</v>
      </c>
      <c r="CD160" s="10">
        <f>IFERROR(Table1[[#This Row],[Annual Volume]]*Table1[[#This Row],[Yield
Saving]],"")</f>
        <v>0</v>
      </c>
      <c r="CE160" s="10">
        <f>IFERROR(Table1[[#This Row],[Annual Volume]]*Table1[[#This Row],[Material
Saving]],"")</f>
        <v>1221.3800000000001</v>
      </c>
      <c r="CF160" s="10">
        <f>IFERROR(Table1[[#This Row],[OH
Saving]]*Table1[[#This Row],[Annual Volume]],"")</f>
        <v>0</v>
      </c>
      <c r="CG160" s="10">
        <f>SUM(Table1[[#This Row],[Labor_ASV]:[OH_ASV]])</f>
        <v>2271.45996422999</v>
      </c>
    </row>
    <row r="161" spans="1:85" x14ac:dyDescent="0.3">
      <c r="A161" t="str">
        <f>Table1[[#This Row],[Project Name]]&amp;Table1[[#This Row],[Part Number]]</f>
        <v>Thermal Release Tape 2R96</v>
      </c>
      <c r="B161" t="str">
        <f>IFERROR(Table1[[#This Row],[Project Number]]&amp;Table1[[#This Row],[Part Number]],"")</f>
        <v>AME25-039R96</v>
      </c>
      <c r="C161" s="22" t="s">
        <v>91</v>
      </c>
      <c r="D161" s="24" t="s">
        <v>334</v>
      </c>
      <c r="E161" s="25" t="s">
        <v>58</v>
      </c>
      <c r="F161" s="6">
        <f>INDEX(Proj_Reg!G:G,MATCH($C161,Proj_Reg!$B:$B,0),1)</f>
        <v>46113</v>
      </c>
      <c r="G161" s="6">
        <f>INDEX(Proj_Reg!H:H,MATCH($C161,Proj_Reg!$B:$B,0),1)</f>
        <v>46447</v>
      </c>
      <c r="H161" s="6" t="str">
        <f>IF(INDEX(Proj_Reg!C:C,MATCH($C161,Proj_Reg!$B:$B,0),1)=0,"",INDEX(Proj_Reg!C:C,MATCH($C161,Proj_Reg!$B:$B,0),1))</f>
        <v>Wafer Saw Dicing</v>
      </c>
      <c r="I161" s="6" t="str">
        <f>IF(INDEX(Proj_Reg!D:D,MATCH($C161,Proj_Reg!$B:$B,0),1)=0,"",INDEX(Proj_Reg!D:D,MATCH($C161,Proj_Reg!$B:$B,0),1))</f>
        <v>XCD</v>
      </c>
      <c r="J161" s="6" t="str">
        <f>INDEX(Proj_Reg!E:E,MATCH($C161,Proj_Reg!$B:$B,0),1)</f>
        <v>Thermal Release Tape 2</v>
      </c>
      <c r="K161" s="21">
        <v>1.7194975588760087E-2</v>
      </c>
      <c r="L161" s="21">
        <v>0</v>
      </c>
      <c r="M161" s="21">
        <v>0.02</v>
      </c>
      <c r="N161" s="21">
        <v>0</v>
      </c>
      <c r="O161" s="11">
        <f>SUM(Table1[[#This Row],[Labor
Saving]:[OH
Saving]])</f>
        <v>3.7194975588760087E-2</v>
      </c>
      <c r="Q161" s="40">
        <f t="shared" si="102"/>
        <v>0</v>
      </c>
      <c r="R161" s="40">
        <f t="shared" si="103"/>
        <v>0</v>
      </c>
      <c r="S161" s="40">
        <f t="shared" si="104"/>
        <v>0</v>
      </c>
      <c r="T161" s="40">
        <f t="shared" si="105"/>
        <v>10428.6</v>
      </c>
      <c r="U161" s="40">
        <f t="shared" si="106"/>
        <v>40531</v>
      </c>
      <c r="V161" s="40">
        <f t="shared" si="107"/>
        <v>40175</v>
      </c>
      <c r="W161" s="40">
        <f t="shared" si="108"/>
        <v>32184</v>
      </c>
      <c r="X161" s="40">
        <f t="shared" si="109"/>
        <v>11796</v>
      </c>
      <c r="Y161" s="40">
        <f t="shared" si="110"/>
        <v>13762</v>
      </c>
      <c r="Z161" s="40">
        <f t="shared" si="111"/>
        <v>14931</v>
      </c>
      <c r="AA161" s="40">
        <f t="shared" si="112"/>
        <v>10180</v>
      </c>
      <c r="AB161" s="40">
        <f t="shared" si="113"/>
        <v>8908</v>
      </c>
      <c r="AC161" s="37">
        <f>SUM(Table1[[#This Row],[Jan]:[Dec]])</f>
        <v>182895.6</v>
      </c>
      <c r="AD161" s="15">
        <f t="shared" si="122"/>
        <v>0</v>
      </c>
      <c r="AE161" s="15">
        <f t="shared" si="123"/>
        <v>0</v>
      </c>
      <c r="AF161" s="15">
        <f t="shared" si="124"/>
        <v>0</v>
      </c>
      <c r="AG161" s="15">
        <f t="shared" si="125"/>
        <v>387.89152242494345</v>
      </c>
      <c r="AH161" s="15">
        <f t="shared" si="126"/>
        <v>1507.5495555880352</v>
      </c>
      <c r="AI161" s="15">
        <f t="shared" si="127"/>
        <v>1494.3081442784364</v>
      </c>
      <c r="AJ161" s="15">
        <f t="shared" si="128"/>
        <v>1197.0830943486546</v>
      </c>
      <c r="AK161" s="15">
        <f t="shared" si="129"/>
        <v>438.75193204501397</v>
      </c>
      <c r="AL161" s="15">
        <f t="shared" si="130"/>
        <v>511.87725405251632</v>
      </c>
      <c r="AM161" s="15">
        <f t="shared" si="131"/>
        <v>555.35818051577689</v>
      </c>
      <c r="AN161" s="15">
        <f t="shared" si="132"/>
        <v>378.64485149357768</v>
      </c>
      <c r="AO161" s="15">
        <f t="shared" si="133"/>
        <v>331.33284254467486</v>
      </c>
      <c r="AP161" s="10">
        <f t="shared" si="134"/>
        <v>0</v>
      </c>
      <c r="AQ161" s="10">
        <f t="shared" si="135"/>
        <v>3389.7492222914152</v>
      </c>
      <c r="AR161" s="10">
        <f t="shared" si="136"/>
        <v>2147.7122804461851</v>
      </c>
      <c r="AS161" s="10">
        <f t="shared" si="137"/>
        <v>1265.3358745540295</v>
      </c>
      <c r="AT161" s="10" t="b">
        <f t="shared" si="138"/>
        <v>1</v>
      </c>
      <c r="AU161" s="10">
        <f t="shared" si="114"/>
        <v>3144.8853772916295</v>
      </c>
      <c r="AV161" s="10">
        <f t="shared" si="115"/>
        <v>0</v>
      </c>
      <c r="AW161" s="10">
        <f t="shared" si="116"/>
        <v>3657.9120000000003</v>
      </c>
      <c r="AX161" s="10">
        <f t="shared" si="117"/>
        <v>0</v>
      </c>
      <c r="AY161" s="10">
        <f t="shared" si="139"/>
        <v>6802.7973772916303</v>
      </c>
      <c r="AZ161" s="19">
        <f>IFERROR(IF($E161="REC",INDEX(A_Type_Volume!$B:$B,MATCH($D161,A_Type_Volume!$A:$A,0),1),IF($E161="VAM",INDEX(C_Type_Volume!$B:$B,MATCH($D161,C_Type_Volume!$A:$A,0),1),"X")),"")</f>
        <v>33341</v>
      </c>
      <c r="BA161" s="19">
        <f>IFERROR(IF($E161="REC",INDEX(A_Type_Volume!$C:$C,MATCH($D161,A_Type_Volume!$A:$A,0),1),IF($E161="VAM",INDEX(C_Type_Volume!$C:$C,MATCH($D161,C_Type_Volume!$A:$A,0),1),"X")),"")</f>
        <v>39720</v>
      </c>
      <c r="BB161" s="19">
        <f>IFERROR(IF($E161="REC",INDEX(A_Type_Volume!$D:$D,MATCH($D161,A_Type_Volume!$A:$A,0),1),IF($E161="VAM",INDEX(C_Type_Volume!$D:$D,MATCH($D161,C_Type_Volume!$A:$A,0),1),"X")),"")</f>
        <v>38835</v>
      </c>
      <c r="BC161" s="19">
        <f>IFERROR(IF($E161="REC",INDEX(A_Type_Volume!$E:$E,MATCH($D161,A_Type_Volume!$A:$A,0),1),IF($E161="VAM",INDEX(C_Type_Volume!$E:$E,MATCH($D161,C_Type_Volume!$A:$A,0),1),"X")),"")</f>
        <v>34762</v>
      </c>
      <c r="BD161" s="19">
        <f>IFERROR(IF($E161="REC",INDEX(A_Type_Volume!$F:$F,MATCH($D161,A_Type_Volume!$A:$A,0),1),IF($E161="VAM",INDEX(C_Type_Volume!$F:$F,MATCH($D161,C_Type_Volume!$A:$A,0),1),"X")),"")</f>
        <v>40531</v>
      </c>
      <c r="BE161" s="19">
        <f>IFERROR(IF($E161="REC",INDEX(A_Type_Volume!$G:$G,MATCH($D161,A_Type_Volume!$A:$A,0),1),IF($E161="VAM",INDEX(C_Type_Volume!$G:$G,MATCH($D161,C_Type_Volume!$A:$A,0),1),"X")),"")</f>
        <v>40175</v>
      </c>
      <c r="BF161" s="19">
        <f>IFERROR(IF($E161="REC",INDEX(A_Type_Volume!$H:$H,MATCH($D161,A_Type_Volume!$A:$A,0),1),IF($E161="VAM",INDEX(C_Type_Volume!$H:$H,MATCH($D161,C_Type_Volume!$A:$A,0),1),"X")),"")</f>
        <v>32184</v>
      </c>
      <c r="BG161" s="19">
        <f>IFERROR(IF($E161="REC",INDEX(A_Type_Volume!$I:$I,MATCH($D161,A_Type_Volume!$A:$A,0),1),IF($E161="VAM",INDEX(C_Type_Volume!$I:$I,MATCH($D161,C_Type_Volume!$A:$A,0),1),"X")),"")</f>
        <v>11796</v>
      </c>
      <c r="BH161" s="19">
        <f>IFERROR(IF($E161="REC",INDEX(A_Type_Volume!$J:$J,MATCH($D161,A_Type_Volume!$A:$A,0),1),IF($E161="VAM",INDEX(C_Type_Volume!$J:$J,MATCH($D161,C_Type_Volume!$A:$A,0),1),"X")),"")</f>
        <v>13762</v>
      </c>
      <c r="BI161" s="19">
        <f>IFERROR(IF($E161="REC",INDEX(A_Type_Volume!$K:$K,MATCH($D161,A_Type_Volume!$A:$A,0),1),IF($E161="VAM",INDEX(C_Type_Volume!$K:$K,MATCH($D161,C_Type_Volume!$A:$A,0),1),"X")),"")</f>
        <v>14931</v>
      </c>
      <c r="BJ161" s="19">
        <f>IFERROR(IF($E161="REC",INDEX(A_Type_Volume!$L:$L,MATCH($D161,A_Type_Volume!$A:$A,0),1),IF($E161="VAM",INDEX(C_Type_Volume!$L:$L,MATCH($D161,C_Type_Volume!$A:$A,0),1),"X")),"")</f>
        <v>10180</v>
      </c>
      <c r="BK161" s="19">
        <f>IFERROR(IF($E161="REC",INDEX(A_Type_Volume!M:M,MATCH($D161,A_Type_Volume!$A:$A,0),1),IF($E161="VAM",INDEX(C_Type_Volume!M:M,MATCH($D161,C_Type_Volume!$A:$A,0),1),"X")),"")</f>
        <v>8908</v>
      </c>
      <c r="BL161" s="38">
        <f>SUM(Table1[[#This Row],[Jan_AVF]:[Dec_AVF]])</f>
        <v>319125</v>
      </c>
      <c r="BM161" s="16">
        <f t="shared" si="140"/>
        <v>1240.1176811048501</v>
      </c>
      <c r="BN161" s="16">
        <f t="shared" si="141"/>
        <v>1477.3844303855508</v>
      </c>
      <c r="BO161" s="16">
        <f t="shared" si="142"/>
        <v>1444.4668769894979</v>
      </c>
      <c r="BP161" s="16">
        <f t="shared" si="143"/>
        <v>1292.9717414164782</v>
      </c>
      <c r="BQ161" s="16">
        <f t="shared" si="144"/>
        <v>1507.5495555880352</v>
      </c>
      <c r="BR161" s="16">
        <f t="shared" si="145"/>
        <v>1494.3081442784364</v>
      </c>
      <c r="BS161" s="16">
        <f t="shared" si="146"/>
        <v>1197.0830943486546</v>
      </c>
      <c r="BT161" s="16">
        <f t="shared" si="147"/>
        <v>438.75193204501397</v>
      </c>
      <c r="BU161" s="16">
        <f t="shared" si="148"/>
        <v>511.87725405251632</v>
      </c>
      <c r="BV161" s="16">
        <f t="shared" si="149"/>
        <v>555.35818051577689</v>
      </c>
      <c r="BW161" s="16">
        <f t="shared" si="150"/>
        <v>378.64485149357768</v>
      </c>
      <c r="BX161" s="16">
        <f t="shared" si="151"/>
        <v>331.33284254467486</v>
      </c>
      <c r="BY161" s="10">
        <f t="shared" si="118"/>
        <v>4161.9689884798991</v>
      </c>
      <c r="BZ161" s="10">
        <f t="shared" si="119"/>
        <v>4294.8294412829491</v>
      </c>
      <c r="CA161" s="10">
        <f t="shared" si="120"/>
        <v>2147.7122804461851</v>
      </c>
      <c r="CB161" s="10">
        <f t="shared" si="121"/>
        <v>1265.3358745540295</v>
      </c>
      <c r="CC161" s="10">
        <f>IFERROR(Table1[[#This Row],[Labor
Saving]]*Table1[[#This Row],[Annual Volume]],"")</f>
        <v>5487.3465847630632</v>
      </c>
      <c r="CD161" s="10">
        <f>IFERROR(Table1[[#This Row],[Annual Volume]]*Table1[[#This Row],[Yield
Saving]],"")</f>
        <v>0</v>
      </c>
      <c r="CE161" s="10">
        <f>IFERROR(Table1[[#This Row],[Annual Volume]]*Table1[[#This Row],[Material
Saving]],"")</f>
        <v>6382.5</v>
      </c>
      <c r="CF161" s="10">
        <f>IFERROR(Table1[[#This Row],[OH
Saving]]*Table1[[#This Row],[Annual Volume]],"")</f>
        <v>0</v>
      </c>
      <c r="CG161" s="10">
        <f>SUM(Table1[[#This Row],[Labor_ASV]:[OH_ASV]])</f>
        <v>11869.846584763063</v>
      </c>
    </row>
    <row r="162" spans="1:85" x14ac:dyDescent="0.3">
      <c r="A162" t="str">
        <f>Table1[[#This Row],[Project Name]]&amp;Table1[[#This Row],[Part Number]]</f>
        <v>Thermal Release Tape 2R97</v>
      </c>
      <c r="B162" t="str">
        <f>IFERROR(Table1[[#This Row],[Project Number]]&amp;Table1[[#This Row],[Part Number]],"")</f>
        <v>AME25-039R97</v>
      </c>
      <c r="C162" s="22" t="s">
        <v>91</v>
      </c>
      <c r="D162" s="24" t="s">
        <v>335</v>
      </c>
      <c r="E162" s="25" t="s">
        <v>58</v>
      </c>
      <c r="F162" s="6">
        <f>INDEX(Proj_Reg!G:G,MATCH($C162,Proj_Reg!$B:$B,0),1)</f>
        <v>46113</v>
      </c>
      <c r="G162" s="6">
        <f>INDEX(Proj_Reg!H:H,MATCH($C162,Proj_Reg!$B:$B,0),1)</f>
        <v>46447</v>
      </c>
      <c r="H162" s="6" t="str">
        <f>IF(INDEX(Proj_Reg!C:C,MATCH($C162,Proj_Reg!$B:$B,0),1)=0,"",INDEX(Proj_Reg!C:C,MATCH($C162,Proj_Reg!$B:$B,0),1))</f>
        <v>Wafer Saw Dicing</v>
      </c>
      <c r="I162" s="6" t="str">
        <f>IF(INDEX(Proj_Reg!D:D,MATCH($C162,Proj_Reg!$B:$B,0),1)=0,"",INDEX(Proj_Reg!D:D,MATCH($C162,Proj_Reg!$B:$B,0),1))</f>
        <v>XCD</v>
      </c>
      <c r="J162" s="6" t="str">
        <f>INDEX(Proj_Reg!E:E,MATCH($C162,Proj_Reg!$B:$B,0),1)</f>
        <v>Thermal Release Tape 2</v>
      </c>
      <c r="K162" s="21">
        <v>1.7194975588760087E-2</v>
      </c>
      <c r="L162" s="21">
        <v>0</v>
      </c>
      <c r="M162" s="21">
        <v>0.02</v>
      </c>
      <c r="N162" s="21">
        <v>0</v>
      </c>
      <c r="O162" s="11">
        <f>SUM(Table1[[#This Row],[Labor
Saving]:[OH
Saving]])</f>
        <v>3.7194975588760087E-2</v>
      </c>
      <c r="Q162" s="40">
        <f t="shared" si="102"/>
        <v>0</v>
      </c>
      <c r="R162" s="40">
        <f t="shared" si="103"/>
        <v>0</v>
      </c>
      <c r="S162" s="40">
        <f t="shared" si="104"/>
        <v>0</v>
      </c>
      <c r="T162" s="40">
        <f t="shared" si="105"/>
        <v>10937.699999999999</v>
      </c>
      <c r="U162" s="40">
        <f t="shared" si="106"/>
        <v>42514</v>
      </c>
      <c r="V162" s="40">
        <f t="shared" si="107"/>
        <v>42148</v>
      </c>
      <c r="W162" s="40">
        <f t="shared" si="108"/>
        <v>33637</v>
      </c>
      <c r="X162" s="40">
        <f t="shared" si="109"/>
        <v>12329</v>
      </c>
      <c r="Y162" s="40">
        <f t="shared" si="110"/>
        <v>14383</v>
      </c>
      <c r="Z162" s="40">
        <f t="shared" si="111"/>
        <v>15605</v>
      </c>
      <c r="AA162" s="40">
        <f t="shared" si="112"/>
        <v>10640</v>
      </c>
      <c r="AB162" s="40">
        <f t="shared" si="113"/>
        <v>9310</v>
      </c>
      <c r="AC162" s="37">
        <f>SUM(Table1[[#This Row],[Jan]:[Dec]])</f>
        <v>191503.7</v>
      </c>
      <c r="AD162" s="15">
        <f t="shared" si="122"/>
        <v>0</v>
      </c>
      <c r="AE162" s="15">
        <f t="shared" si="123"/>
        <v>0</v>
      </c>
      <c r="AF162" s="15">
        <f t="shared" si="124"/>
        <v>0</v>
      </c>
      <c r="AG162" s="15">
        <f t="shared" si="125"/>
        <v>406.82748449718116</v>
      </c>
      <c r="AH162" s="15">
        <f t="shared" si="126"/>
        <v>1581.3071921805463</v>
      </c>
      <c r="AI162" s="15">
        <f t="shared" si="127"/>
        <v>1567.6938311150602</v>
      </c>
      <c r="AJ162" s="15">
        <f t="shared" si="128"/>
        <v>1251.127393879123</v>
      </c>
      <c r="AK162" s="15">
        <f t="shared" si="129"/>
        <v>458.57685403382311</v>
      </c>
      <c r="AL162" s="15">
        <f t="shared" si="130"/>
        <v>534.97533389313639</v>
      </c>
      <c r="AM162" s="15">
        <f t="shared" si="131"/>
        <v>580.4275940626012</v>
      </c>
      <c r="AN162" s="15">
        <f t="shared" si="132"/>
        <v>395.75454026440735</v>
      </c>
      <c r="AO162" s="15">
        <f t="shared" si="133"/>
        <v>346.28522273135644</v>
      </c>
      <c r="AP162" s="10">
        <f t="shared" si="134"/>
        <v>0</v>
      </c>
      <c r="AQ162" s="10">
        <f t="shared" si="135"/>
        <v>3555.8285077927876</v>
      </c>
      <c r="AR162" s="10">
        <f t="shared" si="136"/>
        <v>2244.6795818060828</v>
      </c>
      <c r="AS162" s="10">
        <f t="shared" si="137"/>
        <v>1322.467357058365</v>
      </c>
      <c r="AT162" s="10" t="b">
        <f t="shared" si="138"/>
        <v>0</v>
      </c>
      <c r="AU162" s="10">
        <f t="shared" si="114"/>
        <v>3292.9014466572353</v>
      </c>
      <c r="AV162" s="10">
        <f t="shared" si="115"/>
        <v>0</v>
      </c>
      <c r="AW162" s="10">
        <f t="shared" si="116"/>
        <v>3830.0740000000005</v>
      </c>
      <c r="AX162" s="10">
        <f t="shared" si="117"/>
        <v>0</v>
      </c>
      <c r="AY162" s="10">
        <f t="shared" si="139"/>
        <v>7122.9754466572358</v>
      </c>
      <c r="AZ162" s="19">
        <f>IFERROR(IF($E162="REC",INDEX(A_Type_Volume!$B:$B,MATCH($D162,A_Type_Volume!$A:$A,0),1),IF($E162="VAM",INDEX(C_Type_Volume!$B:$B,MATCH($D162,C_Type_Volume!$A:$A,0),1),"X")),"")</f>
        <v>42116</v>
      </c>
      <c r="BA162" s="19">
        <f>IFERROR(IF($E162="REC",INDEX(A_Type_Volume!$C:$C,MATCH($D162,A_Type_Volume!$A:$A,0),1),IF($E162="VAM",INDEX(C_Type_Volume!$C:$C,MATCH($D162,C_Type_Volume!$A:$A,0),1),"X")),"")</f>
        <v>40773</v>
      </c>
      <c r="BB162" s="19">
        <f>IFERROR(IF($E162="REC",INDEX(A_Type_Volume!$D:$D,MATCH($D162,A_Type_Volume!$A:$A,0),1),IF($E162="VAM",INDEX(C_Type_Volume!$D:$D,MATCH($D162,C_Type_Volume!$A:$A,0),1),"X")),"")</f>
        <v>40731</v>
      </c>
      <c r="BC162" s="19">
        <f>IFERROR(IF($E162="REC",INDEX(A_Type_Volume!$E:$E,MATCH($D162,A_Type_Volume!$A:$A,0),1),IF($E162="VAM",INDEX(C_Type_Volume!$E:$E,MATCH($D162,C_Type_Volume!$A:$A,0),1),"X")),"")</f>
        <v>36459</v>
      </c>
      <c r="BD162" s="19">
        <f>IFERROR(IF($E162="REC",INDEX(A_Type_Volume!$F:$F,MATCH($D162,A_Type_Volume!$A:$A,0),1),IF($E162="VAM",INDEX(C_Type_Volume!$F:$F,MATCH($D162,C_Type_Volume!$A:$A,0),1),"X")),"")</f>
        <v>42514</v>
      </c>
      <c r="BE162" s="19">
        <f>IFERROR(IF($E162="REC",INDEX(A_Type_Volume!$G:$G,MATCH($D162,A_Type_Volume!$A:$A,0),1),IF($E162="VAM",INDEX(C_Type_Volume!$G:$G,MATCH($D162,C_Type_Volume!$A:$A,0),1),"X")),"")</f>
        <v>42148</v>
      </c>
      <c r="BF162" s="19">
        <f>IFERROR(IF($E162="REC",INDEX(A_Type_Volume!$H:$H,MATCH($D162,A_Type_Volume!$A:$A,0),1),IF($E162="VAM",INDEX(C_Type_Volume!$H:$H,MATCH($D162,C_Type_Volume!$A:$A,0),1),"X")),"")</f>
        <v>33637</v>
      </c>
      <c r="BG162" s="19">
        <f>IFERROR(IF($E162="REC",INDEX(A_Type_Volume!$I:$I,MATCH($D162,A_Type_Volume!$A:$A,0),1),IF($E162="VAM",INDEX(C_Type_Volume!$I:$I,MATCH($D162,C_Type_Volume!$A:$A,0),1),"X")),"")</f>
        <v>12329</v>
      </c>
      <c r="BH162" s="19">
        <f>IFERROR(IF($E162="REC",INDEX(A_Type_Volume!$J:$J,MATCH($D162,A_Type_Volume!$A:$A,0),1),IF($E162="VAM",INDEX(C_Type_Volume!$J:$J,MATCH($D162,C_Type_Volume!$A:$A,0),1),"X")),"")</f>
        <v>14383</v>
      </c>
      <c r="BI162" s="19">
        <f>IFERROR(IF($E162="REC",INDEX(A_Type_Volume!$K:$K,MATCH($D162,A_Type_Volume!$A:$A,0),1),IF($E162="VAM",INDEX(C_Type_Volume!$K:$K,MATCH($D162,C_Type_Volume!$A:$A,0),1),"X")),"")</f>
        <v>15605</v>
      </c>
      <c r="BJ162" s="19">
        <f>IFERROR(IF($E162="REC",INDEX(A_Type_Volume!$L:$L,MATCH($D162,A_Type_Volume!$A:$A,0),1),IF($E162="VAM",INDEX(C_Type_Volume!$L:$L,MATCH($D162,C_Type_Volume!$A:$A,0),1),"X")),"")</f>
        <v>10640</v>
      </c>
      <c r="BK162" s="19">
        <f>IFERROR(IF($E162="REC",INDEX(A_Type_Volume!M:M,MATCH($D162,A_Type_Volume!$A:$A,0),1),IF($E162="VAM",INDEX(C_Type_Volume!M:M,MATCH($D162,C_Type_Volume!$A:$A,0),1),"X")),"")</f>
        <v>9310</v>
      </c>
      <c r="BL162" s="38">
        <f>SUM(Table1[[#This Row],[Jan_AVF]:[Dec_AVF]])</f>
        <v>340645</v>
      </c>
      <c r="BM162" s="16">
        <f t="shared" si="140"/>
        <v>1566.5035918962199</v>
      </c>
      <c r="BN162" s="16">
        <f t="shared" si="141"/>
        <v>1516.5507396805151</v>
      </c>
      <c r="BO162" s="16">
        <f t="shared" si="142"/>
        <v>1514.988550705787</v>
      </c>
      <c r="BP162" s="16">
        <f t="shared" si="143"/>
        <v>1356.0916149906041</v>
      </c>
      <c r="BQ162" s="16">
        <f t="shared" si="144"/>
        <v>1581.3071921805463</v>
      </c>
      <c r="BR162" s="16">
        <f t="shared" si="145"/>
        <v>1567.6938311150602</v>
      </c>
      <c r="BS162" s="16">
        <f t="shared" si="146"/>
        <v>1251.127393879123</v>
      </c>
      <c r="BT162" s="16">
        <f t="shared" si="147"/>
        <v>458.57685403382311</v>
      </c>
      <c r="BU162" s="16">
        <f t="shared" si="148"/>
        <v>534.97533389313639</v>
      </c>
      <c r="BV162" s="16">
        <f t="shared" si="149"/>
        <v>580.4275940626012</v>
      </c>
      <c r="BW162" s="16">
        <f t="shared" si="150"/>
        <v>395.75454026440735</v>
      </c>
      <c r="BX162" s="16">
        <f t="shared" si="151"/>
        <v>346.28522273135644</v>
      </c>
      <c r="BY162" s="10">
        <f t="shared" si="118"/>
        <v>4598.0428822825215</v>
      </c>
      <c r="BZ162" s="10">
        <f t="shared" si="119"/>
        <v>4505.0926382862108</v>
      </c>
      <c r="CA162" s="10">
        <f t="shared" si="120"/>
        <v>2244.6795818060828</v>
      </c>
      <c r="CB162" s="10">
        <f t="shared" si="121"/>
        <v>1322.467357058365</v>
      </c>
      <c r="CC162" s="10">
        <f>IFERROR(Table1[[#This Row],[Labor
Saving]]*Table1[[#This Row],[Annual Volume]],"")</f>
        <v>5857.38245943318</v>
      </c>
      <c r="CD162" s="10">
        <f>IFERROR(Table1[[#This Row],[Annual Volume]]*Table1[[#This Row],[Yield
Saving]],"")</f>
        <v>0</v>
      </c>
      <c r="CE162" s="10">
        <f>IFERROR(Table1[[#This Row],[Annual Volume]]*Table1[[#This Row],[Material
Saving]],"")</f>
        <v>6812.9000000000005</v>
      </c>
      <c r="CF162" s="10">
        <f>IFERROR(Table1[[#This Row],[OH
Saving]]*Table1[[#This Row],[Annual Volume]],"")</f>
        <v>0</v>
      </c>
      <c r="CG162" s="10">
        <f>SUM(Table1[[#This Row],[Labor_ASV]:[OH_ASV]])</f>
        <v>12670.28245943318</v>
      </c>
    </row>
    <row r="163" spans="1:85" x14ac:dyDescent="0.3">
      <c r="A163" t="str">
        <f>Table1[[#This Row],[Project Name]]&amp;Table1[[#This Row],[Part Number]]</f>
        <v>Thermal Release Tape 2R98</v>
      </c>
      <c r="B163" t="str">
        <f>IFERROR(Table1[[#This Row],[Project Number]]&amp;Table1[[#This Row],[Part Number]],"")</f>
        <v>AME25-039R98</v>
      </c>
      <c r="C163" s="22" t="s">
        <v>91</v>
      </c>
      <c r="D163" s="24" t="s">
        <v>336</v>
      </c>
      <c r="E163" s="25" t="s">
        <v>58</v>
      </c>
      <c r="F163" s="6">
        <f>INDEX(Proj_Reg!G:G,MATCH($C163,Proj_Reg!$B:$B,0),1)</f>
        <v>46113</v>
      </c>
      <c r="G163" s="6">
        <f>INDEX(Proj_Reg!H:H,MATCH($C163,Proj_Reg!$B:$B,0),1)</f>
        <v>46447</v>
      </c>
      <c r="H163" s="6" t="str">
        <f>IF(INDEX(Proj_Reg!C:C,MATCH($C163,Proj_Reg!$B:$B,0),1)=0,"",INDEX(Proj_Reg!C:C,MATCH($C163,Proj_Reg!$B:$B,0),1))</f>
        <v>Wafer Saw Dicing</v>
      </c>
      <c r="I163" s="6" t="str">
        <f>IF(INDEX(Proj_Reg!D:D,MATCH($C163,Proj_Reg!$B:$B,0),1)=0,"",INDEX(Proj_Reg!D:D,MATCH($C163,Proj_Reg!$B:$B,0),1))</f>
        <v>XCD</v>
      </c>
      <c r="J163" s="6" t="str">
        <f>INDEX(Proj_Reg!E:E,MATCH($C163,Proj_Reg!$B:$B,0),1)</f>
        <v>Thermal Release Tape 2</v>
      </c>
      <c r="K163" s="21">
        <v>1.7194975588760087E-2</v>
      </c>
      <c r="L163" s="21">
        <v>0</v>
      </c>
      <c r="M163" s="21">
        <v>0.02</v>
      </c>
      <c r="N163" s="21">
        <v>0</v>
      </c>
      <c r="O163" s="11">
        <f>SUM(Table1[[#This Row],[Labor
Saving]:[OH
Saving]])</f>
        <v>3.7194975588760087E-2</v>
      </c>
      <c r="Q163" s="40">
        <f t="shared" si="102"/>
        <v>0</v>
      </c>
      <c r="R163" s="40">
        <f t="shared" si="103"/>
        <v>0</v>
      </c>
      <c r="S163" s="40">
        <f t="shared" si="104"/>
        <v>0</v>
      </c>
      <c r="T163" s="40">
        <f t="shared" si="105"/>
        <v>0</v>
      </c>
      <c r="U163" s="40">
        <f t="shared" si="106"/>
        <v>0</v>
      </c>
      <c r="V163" s="40">
        <f t="shared" si="107"/>
        <v>0</v>
      </c>
      <c r="W163" s="40">
        <f t="shared" si="108"/>
        <v>0</v>
      </c>
      <c r="X163" s="40">
        <f t="shared" si="109"/>
        <v>0</v>
      </c>
      <c r="Y163" s="40">
        <f t="shared" si="110"/>
        <v>0</v>
      </c>
      <c r="Z163" s="40">
        <f t="shared" si="111"/>
        <v>0</v>
      </c>
      <c r="AA163" s="40">
        <f t="shared" si="112"/>
        <v>0</v>
      </c>
      <c r="AB163" s="40">
        <f t="shared" si="113"/>
        <v>0</v>
      </c>
      <c r="AC163" s="37">
        <f>SUM(Table1[[#This Row],[Jan]:[Dec]])</f>
        <v>0</v>
      </c>
      <c r="AD163" s="15">
        <f t="shared" si="122"/>
        <v>0</v>
      </c>
      <c r="AE163" s="15">
        <f t="shared" si="123"/>
        <v>0</v>
      </c>
      <c r="AF163" s="15">
        <f t="shared" si="124"/>
        <v>0</v>
      </c>
      <c r="AG163" s="15">
        <f t="shared" si="125"/>
        <v>0</v>
      </c>
      <c r="AH163" s="15">
        <f t="shared" si="126"/>
        <v>0</v>
      </c>
      <c r="AI163" s="15">
        <f t="shared" si="127"/>
        <v>0</v>
      </c>
      <c r="AJ163" s="15">
        <f t="shared" si="128"/>
        <v>0</v>
      </c>
      <c r="AK163" s="15">
        <f t="shared" si="129"/>
        <v>0</v>
      </c>
      <c r="AL163" s="15">
        <f t="shared" si="130"/>
        <v>0</v>
      </c>
      <c r="AM163" s="15">
        <f t="shared" si="131"/>
        <v>0</v>
      </c>
      <c r="AN163" s="15">
        <f t="shared" si="132"/>
        <v>0</v>
      </c>
      <c r="AO163" s="15">
        <f t="shared" si="133"/>
        <v>0</v>
      </c>
      <c r="AP163" s="10">
        <f t="shared" si="134"/>
        <v>0</v>
      </c>
      <c r="AQ163" s="10">
        <f t="shared" si="135"/>
        <v>0</v>
      </c>
      <c r="AR163" s="10">
        <f t="shared" si="136"/>
        <v>0</v>
      </c>
      <c r="AS163" s="10">
        <f t="shared" si="137"/>
        <v>0</v>
      </c>
      <c r="AT163" s="10" t="b">
        <f t="shared" si="138"/>
        <v>1</v>
      </c>
      <c r="AU163" s="10">
        <f t="shared" si="114"/>
        <v>0</v>
      </c>
      <c r="AV163" s="10">
        <f t="shared" si="115"/>
        <v>0</v>
      </c>
      <c r="AW163" s="10">
        <f t="shared" si="116"/>
        <v>0</v>
      </c>
      <c r="AX163" s="10">
        <f t="shared" si="117"/>
        <v>0</v>
      </c>
      <c r="AY163" s="10">
        <f t="shared" si="139"/>
        <v>0</v>
      </c>
      <c r="AZ163" s="19">
        <f>IFERROR(IF($E163="REC",INDEX(A_Type_Volume!$B:$B,MATCH($D163,A_Type_Volume!$A:$A,0),1),IF($E163="VAM",INDEX(C_Type_Volume!$B:$B,MATCH($D163,C_Type_Volume!$A:$A,0),1),"X")),"")</f>
        <v>167340</v>
      </c>
      <c r="BA163" s="19">
        <f>IFERROR(IF($E163="REC",INDEX(A_Type_Volume!$C:$C,MATCH($D163,A_Type_Volume!$A:$A,0),1),IF($E163="VAM",INDEX(C_Type_Volume!$C:$C,MATCH($D163,C_Type_Volume!$A:$A,0),1),"X")),"")</f>
        <v>39519</v>
      </c>
      <c r="BB163" s="19">
        <f>IFERROR(IF($E163="REC",INDEX(A_Type_Volume!$D:$D,MATCH($D163,A_Type_Volume!$A:$A,0),1),IF($E163="VAM",INDEX(C_Type_Volume!$D:$D,MATCH($D163,C_Type_Volume!$A:$A,0),1),"X")),"")</f>
        <v>0</v>
      </c>
      <c r="BC163" s="19">
        <f>IFERROR(IF($E163="REC",INDEX(A_Type_Volume!$E:$E,MATCH($D163,A_Type_Volume!$A:$A,0),1),IF($E163="VAM",INDEX(C_Type_Volume!$E:$E,MATCH($D163,C_Type_Volume!$A:$A,0),1),"X")),"")</f>
        <v>0</v>
      </c>
      <c r="BD163" s="19">
        <f>IFERROR(IF($E163="REC",INDEX(A_Type_Volume!$F:$F,MATCH($D163,A_Type_Volume!$A:$A,0),1),IF($E163="VAM",INDEX(C_Type_Volume!$F:$F,MATCH($D163,C_Type_Volume!$A:$A,0),1),"X")),"")</f>
        <v>0</v>
      </c>
      <c r="BE163" s="19">
        <f>IFERROR(IF($E163="REC",INDEX(A_Type_Volume!$G:$G,MATCH($D163,A_Type_Volume!$A:$A,0),1),IF($E163="VAM",INDEX(C_Type_Volume!$G:$G,MATCH($D163,C_Type_Volume!$A:$A,0),1),"X")),"")</f>
        <v>0</v>
      </c>
      <c r="BF163" s="19">
        <f>IFERROR(IF($E163="REC",INDEX(A_Type_Volume!$H:$H,MATCH($D163,A_Type_Volume!$A:$A,0),1),IF($E163="VAM",INDEX(C_Type_Volume!$H:$H,MATCH($D163,C_Type_Volume!$A:$A,0),1),"X")),"")</f>
        <v>0</v>
      </c>
      <c r="BG163" s="19">
        <f>IFERROR(IF($E163="REC",INDEX(A_Type_Volume!$I:$I,MATCH($D163,A_Type_Volume!$A:$A,0),1),IF($E163="VAM",INDEX(C_Type_Volume!$I:$I,MATCH($D163,C_Type_Volume!$A:$A,0),1),"X")),"")</f>
        <v>0</v>
      </c>
      <c r="BH163" s="19">
        <f>IFERROR(IF($E163="REC",INDEX(A_Type_Volume!$J:$J,MATCH($D163,A_Type_Volume!$A:$A,0),1),IF($E163="VAM",INDEX(C_Type_Volume!$J:$J,MATCH($D163,C_Type_Volume!$A:$A,0),1),"X")),"")</f>
        <v>0</v>
      </c>
      <c r="BI163" s="19">
        <f>IFERROR(IF($E163="REC",INDEX(A_Type_Volume!$K:$K,MATCH($D163,A_Type_Volume!$A:$A,0),1),IF($E163="VAM",INDEX(C_Type_Volume!$K:$K,MATCH($D163,C_Type_Volume!$A:$A,0),1),"X")),"")</f>
        <v>0</v>
      </c>
      <c r="BJ163" s="19">
        <f>IFERROR(IF($E163="REC",INDEX(A_Type_Volume!$L:$L,MATCH($D163,A_Type_Volume!$A:$A,0),1),IF($E163="VAM",INDEX(C_Type_Volume!$L:$L,MATCH($D163,C_Type_Volume!$A:$A,0),1),"X")),"")</f>
        <v>0</v>
      </c>
      <c r="BK163" s="19">
        <f>IFERROR(IF($E163="REC",INDEX(A_Type_Volume!M:M,MATCH($D163,A_Type_Volume!$A:$A,0),1),IF($E163="VAM",INDEX(C_Type_Volume!M:M,MATCH($D163,C_Type_Volume!$A:$A,0),1),"X")),"")</f>
        <v>0</v>
      </c>
      <c r="BL163" s="38">
        <f>SUM(Table1[[#This Row],[Jan_AVF]:[Dec_AVF]])</f>
        <v>206859</v>
      </c>
      <c r="BM163" s="16">
        <f t="shared" si="140"/>
        <v>6224.2072150231133</v>
      </c>
      <c r="BN163" s="16">
        <f t="shared" si="141"/>
        <v>1469.9082402922099</v>
      </c>
      <c r="BO163" s="16">
        <f t="shared" si="142"/>
        <v>0</v>
      </c>
      <c r="BP163" s="16">
        <f t="shared" si="143"/>
        <v>0</v>
      </c>
      <c r="BQ163" s="16">
        <f t="shared" si="144"/>
        <v>0</v>
      </c>
      <c r="BR163" s="16">
        <f t="shared" si="145"/>
        <v>0</v>
      </c>
      <c r="BS163" s="16">
        <f t="shared" si="146"/>
        <v>0</v>
      </c>
      <c r="BT163" s="16">
        <f t="shared" si="147"/>
        <v>0</v>
      </c>
      <c r="BU163" s="16">
        <f t="shared" si="148"/>
        <v>0</v>
      </c>
      <c r="BV163" s="16">
        <f t="shared" si="149"/>
        <v>0</v>
      </c>
      <c r="BW163" s="16">
        <f t="shared" si="150"/>
        <v>0</v>
      </c>
      <c r="BX163" s="16">
        <f t="shared" si="151"/>
        <v>0</v>
      </c>
      <c r="BY163" s="10">
        <f t="shared" si="118"/>
        <v>7694.1154553153228</v>
      </c>
      <c r="BZ163" s="10">
        <f t="shared" si="119"/>
        <v>0</v>
      </c>
      <c r="CA163" s="10">
        <f t="shared" si="120"/>
        <v>0</v>
      </c>
      <c r="CB163" s="10">
        <f t="shared" si="121"/>
        <v>0</v>
      </c>
      <c r="CC163" s="10">
        <f>IFERROR(Table1[[#This Row],[Labor
Saving]]*Table1[[#This Row],[Annual Volume]],"")</f>
        <v>3556.935455315323</v>
      </c>
      <c r="CD163" s="10">
        <f>IFERROR(Table1[[#This Row],[Annual Volume]]*Table1[[#This Row],[Yield
Saving]],"")</f>
        <v>0</v>
      </c>
      <c r="CE163" s="10">
        <f>IFERROR(Table1[[#This Row],[Annual Volume]]*Table1[[#This Row],[Material
Saving]],"")</f>
        <v>4137.18</v>
      </c>
      <c r="CF163" s="10">
        <f>IFERROR(Table1[[#This Row],[OH
Saving]]*Table1[[#This Row],[Annual Volume]],"")</f>
        <v>0</v>
      </c>
      <c r="CG163" s="10">
        <f>SUM(Table1[[#This Row],[Labor_ASV]:[OH_ASV]])</f>
        <v>7694.1154553153228</v>
      </c>
    </row>
    <row r="164" spans="1:85" x14ac:dyDescent="0.3">
      <c r="A164" t="str">
        <f>Table1[[#This Row],[Project Name]]&amp;Table1[[#This Row],[Part Number]]</f>
        <v>Thermal Release Tape 2R99</v>
      </c>
      <c r="B164" t="str">
        <f>IFERROR(Table1[[#This Row],[Project Number]]&amp;Table1[[#This Row],[Part Number]],"")</f>
        <v>AME25-039R99</v>
      </c>
      <c r="C164" s="22" t="s">
        <v>91</v>
      </c>
      <c r="D164" s="24" t="s">
        <v>337</v>
      </c>
      <c r="E164" s="25" t="s">
        <v>58</v>
      </c>
      <c r="F164" s="6">
        <f>INDEX(Proj_Reg!G:G,MATCH($C164,Proj_Reg!$B:$B,0),1)</f>
        <v>46113</v>
      </c>
      <c r="G164" s="6">
        <f>INDEX(Proj_Reg!H:H,MATCH($C164,Proj_Reg!$B:$B,0),1)</f>
        <v>46447</v>
      </c>
      <c r="H164" s="6" t="str">
        <f>IF(INDEX(Proj_Reg!C:C,MATCH($C164,Proj_Reg!$B:$B,0),1)=0,"",INDEX(Proj_Reg!C:C,MATCH($C164,Proj_Reg!$B:$B,0),1))</f>
        <v>Wafer Saw Dicing</v>
      </c>
      <c r="I164" s="6" t="str">
        <f>IF(INDEX(Proj_Reg!D:D,MATCH($C164,Proj_Reg!$B:$B,0),1)=0,"",INDEX(Proj_Reg!D:D,MATCH($C164,Proj_Reg!$B:$B,0),1))</f>
        <v>XCD</v>
      </c>
      <c r="J164" s="6" t="str">
        <f>INDEX(Proj_Reg!E:E,MATCH($C164,Proj_Reg!$B:$B,0),1)</f>
        <v>Thermal Release Tape 2</v>
      </c>
      <c r="K164" s="21">
        <v>1.7194975588760087E-2</v>
      </c>
      <c r="L164" s="21">
        <v>0</v>
      </c>
      <c r="M164" s="21">
        <v>0.02</v>
      </c>
      <c r="N164" s="21">
        <v>0</v>
      </c>
      <c r="O164" s="11">
        <f>SUM(Table1[[#This Row],[Labor
Saving]:[OH
Saving]])</f>
        <v>3.7194975588760087E-2</v>
      </c>
      <c r="Q164" s="40">
        <f t="shared" si="102"/>
        <v>0</v>
      </c>
      <c r="R164" s="40">
        <f t="shared" si="103"/>
        <v>0</v>
      </c>
      <c r="S164" s="40">
        <f t="shared" si="104"/>
        <v>0</v>
      </c>
      <c r="T164" s="40">
        <f t="shared" si="105"/>
        <v>0</v>
      </c>
      <c r="U164" s="40">
        <f t="shared" si="106"/>
        <v>0</v>
      </c>
      <c r="V164" s="40">
        <f t="shared" si="107"/>
        <v>0</v>
      </c>
      <c r="W164" s="40">
        <f t="shared" si="108"/>
        <v>0</v>
      </c>
      <c r="X164" s="40">
        <f t="shared" si="109"/>
        <v>0</v>
      </c>
      <c r="Y164" s="40">
        <f t="shared" si="110"/>
        <v>0</v>
      </c>
      <c r="Z164" s="40">
        <f t="shared" si="111"/>
        <v>0</v>
      </c>
      <c r="AA164" s="40">
        <f t="shared" si="112"/>
        <v>0</v>
      </c>
      <c r="AB164" s="40">
        <f t="shared" si="113"/>
        <v>0</v>
      </c>
      <c r="AC164" s="37">
        <f>SUM(Table1[[#This Row],[Jan]:[Dec]])</f>
        <v>0</v>
      </c>
      <c r="AD164" s="15">
        <f t="shared" si="122"/>
        <v>0</v>
      </c>
      <c r="AE164" s="15">
        <f t="shared" si="123"/>
        <v>0</v>
      </c>
      <c r="AF164" s="15">
        <f t="shared" si="124"/>
        <v>0</v>
      </c>
      <c r="AG164" s="15">
        <f t="shared" si="125"/>
        <v>0</v>
      </c>
      <c r="AH164" s="15">
        <f t="shared" si="126"/>
        <v>0</v>
      </c>
      <c r="AI164" s="15">
        <f t="shared" si="127"/>
        <v>0</v>
      </c>
      <c r="AJ164" s="15">
        <f t="shared" si="128"/>
        <v>0</v>
      </c>
      <c r="AK164" s="15">
        <f t="shared" si="129"/>
        <v>0</v>
      </c>
      <c r="AL164" s="15">
        <f t="shared" si="130"/>
        <v>0</v>
      </c>
      <c r="AM164" s="15">
        <f t="shared" si="131"/>
        <v>0</v>
      </c>
      <c r="AN164" s="15">
        <f t="shared" si="132"/>
        <v>0</v>
      </c>
      <c r="AO164" s="15">
        <f t="shared" si="133"/>
        <v>0</v>
      </c>
      <c r="AP164" s="10">
        <f t="shared" si="134"/>
        <v>0</v>
      </c>
      <c r="AQ164" s="10">
        <f t="shared" si="135"/>
        <v>0</v>
      </c>
      <c r="AR164" s="10">
        <f t="shared" si="136"/>
        <v>0</v>
      </c>
      <c r="AS164" s="10">
        <f t="shared" si="137"/>
        <v>0</v>
      </c>
      <c r="AT164" s="10" t="b">
        <f t="shared" si="138"/>
        <v>1</v>
      </c>
      <c r="AU164" s="10">
        <f t="shared" si="114"/>
        <v>0</v>
      </c>
      <c r="AV164" s="10">
        <f t="shared" si="115"/>
        <v>0</v>
      </c>
      <c r="AW164" s="10">
        <f t="shared" si="116"/>
        <v>0</v>
      </c>
      <c r="AX164" s="10">
        <f t="shared" si="117"/>
        <v>0</v>
      </c>
      <c r="AY164" s="10">
        <f t="shared" si="139"/>
        <v>0</v>
      </c>
      <c r="AZ164" s="19">
        <f>IFERROR(IF($E164="REC",INDEX(A_Type_Volume!$B:$B,MATCH($D164,A_Type_Volume!$A:$A,0),1),IF($E164="VAM",INDEX(C_Type_Volume!$B:$B,MATCH($D164,C_Type_Volume!$A:$A,0),1),"X")),"")</f>
        <v>127392</v>
      </c>
      <c r="BA164" s="19">
        <f>IFERROR(IF($E164="REC",INDEX(A_Type_Volume!$C:$C,MATCH($D164,A_Type_Volume!$A:$A,0),1),IF($E164="VAM",INDEX(C_Type_Volume!$C:$C,MATCH($D164,C_Type_Volume!$A:$A,0),1),"X")),"")</f>
        <v>0</v>
      </c>
      <c r="BB164" s="19">
        <f>IFERROR(IF($E164="REC",INDEX(A_Type_Volume!$D:$D,MATCH($D164,A_Type_Volume!$A:$A,0),1),IF($E164="VAM",INDEX(C_Type_Volume!$D:$D,MATCH($D164,C_Type_Volume!$A:$A,0),1),"X")),"")</f>
        <v>0</v>
      </c>
      <c r="BC164" s="19">
        <f>IFERROR(IF($E164="REC",INDEX(A_Type_Volume!$E:$E,MATCH($D164,A_Type_Volume!$A:$A,0),1),IF($E164="VAM",INDEX(C_Type_Volume!$E:$E,MATCH($D164,C_Type_Volume!$A:$A,0),1),"X")),"")</f>
        <v>0</v>
      </c>
      <c r="BD164" s="19">
        <f>IFERROR(IF($E164="REC",INDEX(A_Type_Volume!$F:$F,MATCH($D164,A_Type_Volume!$A:$A,0),1),IF($E164="VAM",INDEX(C_Type_Volume!$F:$F,MATCH($D164,C_Type_Volume!$A:$A,0),1),"X")),"")</f>
        <v>0</v>
      </c>
      <c r="BE164" s="19">
        <f>IFERROR(IF($E164="REC",INDEX(A_Type_Volume!$G:$G,MATCH($D164,A_Type_Volume!$A:$A,0),1),IF($E164="VAM",INDEX(C_Type_Volume!$G:$G,MATCH($D164,C_Type_Volume!$A:$A,0),1),"X")),"")</f>
        <v>0</v>
      </c>
      <c r="BF164" s="19">
        <f>IFERROR(IF($E164="REC",INDEX(A_Type_Volume!$H:$H,MATCH($D164,A_Type_Volume!$A:$A,0),1),IF($E164="VAM",INDEX(C_Type_Volume!$H:$H,MATCH($D164,C_Type_Volume!$A:$A,0),1),"X")),"")</f>
        <v>0</v>
      </c>
      <c r="BG164" s="19">
        <f>IFERROR(IF($E164="REC",INDEX(A_Type_Volume!$I:$I,MATCH($D164,A_Type_Volume!$A:$A,0),1),IF($E164="VAM",INDEX(C_Type_Volume!$I:$I,MATCH($D164,C_Type_Volume!$A:$A,0),1),"X")),"")</f>
        <v>0</v>
      </c>
      <c r="BH164" s="19">
        <f>IFERROR(IF($E164="REC",INDEX(A_Type_Volume!$J:$J,MATCH($D164,A_Type_Volume!$A:$A,0),1),IF($E164="VAM",INDEX(C_Type_Volume!$J:$J,MATCH($D164,C_Type_Volume!$A:$A,0),1),"X")),"")</f>
        <v>0</v>
      </c>
      <c r="BI164" s="19">
        <f>IFERROR(IF($E164="REC",INDEX(A_Type_Volume!$K:$K,MATCH($D164,A_Type_Volume!$A:$A,0),1),IF($E164="VAM",INDEX(C_Type_Volume!$K:$K,MATCH($D164,C_Type_Volume!$A:$A,0),1),"X")),"")</f>
        <v>0</v>
      </c>
      <c r="BJ164" s="19">
        <f>IFERROR(IF($E164="REC",INDEX(A_Type_Volume!$L:$L,MATCH($D164,A_Type_Volume!$A:$A,0),1),IF($E164="VAM",INDEX(C_Type_Volume!$L:$L,MATCH($D164,C_Type_Volume!$A:$A,0),1),"X")),"")</f>
        <v>0</v>
      </c>
      <c r="BK164" s="19">
        <f>IFERROR(IF($E164="REC",INDEX(A_Type_Volume!M:M,MATCH($D164,A_Type_Volume!$A:$A,0),1),IF($E164="VAM",INDEX(C_Type_Volume!M:M,MATCH($D164,C_Type_Volume!$A:$A,0),1),"X")),"")</f>
        <v>0</v>
      </c>
      <c r="BL164" s="38">
        <f>SUM(Table1[[#This Row],[Jan_AVF]:[Dec_AVF]])</f>
        <v>127392</v>
      </c>
      <c r="BM164" s="16">
        <f t="shared" si="140"/>
        <v>4738.3423302033252</v>
      </c>
      <c r="BN164" s="16">
        <f t="shared" si="141"/>
        <v>0</v>
      </c>
      <c r="BO164" s="16">
        <f t="shared" si="142"/>
        <v>0</v>
      </c>
      <c r="BP164" s="16">
        <f t="shared" si="143"/>
        <v>0</v>
      </c>
      <c r="BQ164" s="16">
        <f t="shared" si="144"/>
        <v>0</v>
      </c>
      <c r="BR164" s="16">
        <f t="shared" si="145"/>
        <v>0</v>
      </c>
      <c r="BS164" s="16">
        <f t="shared" si="146"/>
        <v>0</v>
      </c>
      <c r="BT164" s="16">
        <f t="shared" si="147"/>
        <v>0</v>
      </c>
      <c r="BU164" s="16">
        <f t="shared" si="148"/>
        <v>0</v>
      </c>
      <c r="BV164" s="16">
        <f t="shared" si="149"/>
        <v>0</v>
      </c>
      <c r="BW164" s="16">
        <f t="shared" si="150"/>
        <v>0</v>
      </c>
      <c r="BX164" s="16">
        <f t="shared" si="151"/>
        <v>0</v>
      </c>
      <c r="BY164" s="10">
        <f t="shared" si="118"/>
        <v>4738.3423302033252</v>
      </c>
      <c r="BZ164" s="10">
        <f t="shared" si="119"/>
        <v>0</v>
      </c>
      <c r="CA164" s="10">
        <f t="shared" si="120"/>
        <v>0</v>
      </c>
      <c r="CB164" s="10">
        <f t="shared" si="121"/>
        <v>0</v>
      </c>
      <c r="CC164" s="10">
        <f>IFERROR(Table1[[#This Row],[Labor
Saving]]*Table1[[#This Row],[Annual Volume]],"")</f>
        <v>2190.5023302033251</v>
      </c>
      <c r="CD164" s="10">
        <f>IFERROR(Table1[[#This Row],[Annual Volume]]*Table1[[#This Row],[Yield
Saving]],"")</f>
        <v>0</v>
      </c>
      <c r="CE164" s="10">
        <f>IFERROR(Table1[[#This Row],[Annual Volume]]*Table1[[#This Row],[Material
Saving]],"")</f>
        <v>2547.84</v>
      </c>
      <c r="CF164" s="10">
        <f>IFERROR(Table1[[#This Row],[OH
Saving]]*Table1[[#This Row],[Annual Volume]],"")</f>
        <v>0</v>
      </c>
      <c r="CG164" s="10">
        <f>SUM(Table1[[#This Row],[Labor_ASV]:[OH_ASV]])</f>
        <v>4738.3423302033252</v>
      </c>
    </row>
    <row r="165" spans="1:85" x14ac:dyDescent="0.3">
      <c r="A165" t="str">
        <f>Table1[[#This Row],[Project Name]]&amp;Table1[[#This Row],[Part Number]]</f>
        <v>Thermal Release Tape 2R100</v>
      </c>
      <c r="B165" t="str">
        <f>IFERROR(Table1[[#This Row],[Project Number]]&amp;Table1[[#This Row],[Part Number]],"")</f>
        <v>AME25-039R100</v>
      </c>
      <c r="C165" s="22" t="s">
        <v>91</v>
      </c>
      <c r="D165" s="24" t="s">
        <v>338</v>
      </c>
      <c r="E165" s="25" t="s">
        <v>58</v>
      </c>
      <c r="F165" s="6">
        <f>INDEX(Proj_Reg!G:G,MATCH($C165,Proj_Reg!$B:$B,0),1)</f>
        <v>46113</v>
      </c>
      <c r="G165" s="6">
        <f>INDEX(Proj_Reg!H:H,MATCH($C165,Proj_Reg!$B:$B,0),1)</f>
        <v>46447</v>
      </c>
      <c r="H165" s="6" t="str">
        <f>IF(INDEX(Proj_Reg!C:C,MATCH($C165,Proj_Reg!$B:$B,0),1)=0,"",INDEX(Proj_Reg!C:C,MATCH($C165,Proj_Reg!$B:$B,0),1))</f>
        <v>Wafer Saw Dicing</v>
      </c>
      <c r="I165" s="6" t="str">
        <f>IF(INDEX(Proj_Reg!D:D,MATCH($C165,Proj_Reg!$B:$B,0),1)=0,"",INDEX(Proj_Reg!D:D,MATCH($C165,Proj_Reg!$B:$B,0),1))</f>
        <v>XCD</v>
      </c>
      <c r="J165" s="6" t="str">
        <f>INDEX(Proj_Reg!E:E,MATCH($C165,Proj_Reg!$B:$B,0),1)</f>
        <v>Thermal Release Tape 2</v>
      </c>
      <c r="K165" s="21">
        <v>1.7194975588760087E-2</v>
      </c>
      <c r="L165" s="21">
        <v>0</v>
      </c>
      <c r="M165" s="21">
        <v>0.02</v>
      </c>
      <c r="N165" s="21">
        <v>0</v>
      </c>
      <c r="O165" s="11">
        <f>SUM(Table1[[#This Row],[Labor
Saving]:[OH
Saving]])</f>
        <v>3.7194975588760087E-2</v>
      </c>
      <c r="Q165" s="40">
        <f t="shared" si="102"/>
        <v>0</v>
      </c>
      <c r="R165" s="40">
        <f t="shared" si="103"/>
        <v>0</v>
      </c>
      <c r="S165" s="40">
        <f t="shared" si="104"/>
        <v>0</v>
      </c>
      <c r="T165" s="40">
        <f t="shared" si="105"/>
        <v>0</v>
      </c>
      <c r="U165" s="40">
        <f t="shared" si="106"/>
        <v>0</v>
      </c>
      <c r="V165" s="40">
        <f t="shared" si="107"/>
        <v>0</v>
      </c>
      <c r="W165" s="40">
        <f t="shared" si="108"/>
        <v>0</v>
      </c>
      <c r="X165" s="40">
        <f t="shared" si="109"/>
        <v>0</v>
      </c>
      <c r="Y165" s="40">
        <f t="shared" si="110"/>
        <v>0</v>
      </c>
      <c r="Z165" s="40">
        <f t="shared" si="111"/>
        <v>0</v>
      </c>
      <c r="AA165" s="40">
        <f t="shared" si="112"/>
        <v>0</v>
      </c>
      <c r="AB165" s="40">
        <f t="shared" si="113"/>
        <v>0</v>
      </c>
      <c r="AC165" s="37">
        <f>SUM(Table1[[#This Row],[Jan]:[Dec]])</f>
        <v>0</v>
      </c>
      <c r="AD165" s="15">
        <f t="shared" si="122"/>
        <v>0</v>
      </c>
      <c r="AE165" s="15">
        <f t="shared" si="123"/>
        <v>0</v>
      </c>
      <c r="AF165" s="15">
        <f t="shared" si="124"/>
        <v>0</v>
      </c>
      <c r="AG165" s="15">
        <f t="shared" si="125"/>
        <v>0</v>
      </c>
      <c r="AH165" s="15">
        <f t="shared" si="126"/>
        <v>0</v>
      </c>
      <c r="AI165" s="15">
        <f t="shared" si="127"/>
        <v>0</v>
      </c>
      <c r="AJ165" s="15">
        <f t="shared" si="128"/>
        <v>0</v>
      </c>
      <c r="AK165" s="15">
        <f t="shared" si="129"/>
        <v>0</v>
      </c>
      <c r="AL165" s="15">
        <f t="shared" si="130"/>
        <v>0</v>
      </c>
      <c r="AM165" s="15">
        <f t="shared" si="131"/>
        <v>0</v>
      </c>
      <c r="AN165" s="15">
        <f t="shared" si="132"/>
        <v>0</v>
      </c>
      <c r="AO165" s="15">
        <f t="shared" si="133"/>
        <v>0</v>
      </c>
      <c r="AP165" s="10">
        <f t="shared" si="134"/>
        <v>0</v>
      </c>
      <c r="AQ165" s="10">
        <f t="shared" si="135"/>
        <v>0</v>
      </c>
      <c r="AR165" s="10">
        <f t="shared" si="136"/>
        <v>0</v>
      </c>
      <c r="AS165" s="10">
        <f t="shared" si="137"/>
        <v>0</v>
      </c>
      <c r="AT165" s="10" t="b">
        <f t="shared" si="138"/>
        <v>1</v>
      </c>
      <c r="AU165" s="10">
        <f t="shared" si="114"/>
        <v>0</v>
      </c>
      <c r="AV165" s="10">
        <f t="shared" si="115"/>
        <v>0</v>
      </c>
      <c r="AW165" s="10">
        <f t="shared" si="116"/>
        <v>0</v>
      </c>
      <c r="AX165" s="10">
        <f t="shared" si="117"/>
        <v>0</v>
      </c>
      <c r="AY165" s="10">
        <f t="shared" si="139"/>
        <v>0</v>
      </c>
      <c r="AZ165" s="19">
        <f>IFERROR(IF($E165="REC",INDEX(A_Type_Volume!$B:$B,MATCH($D165,A_Type_Volume!$A:$A,0),1),IF($E165="VAM",INDEX(C_Type_Volume!$B:$B,MATCH($D165,C_Type_Volume!$A:$A,0),1),"X")),"")</f>
        <v>207860</v>
      </c>
      <c r="BA165" s="19">
        <f>IFERROR(IF($E165="REC",INDEX(A_Type_Volume!$C:$C,MATCH($D165,A_Type_Volume!$A:$A,0),1),IF($E165="VAM",INDEX(C_Type_Volume!$C:$C,MATCH($D165,C_Type_Volume!$A:$A,0),1),"X")),"")</f>
        <v>0</v>
      </c>
      <c r="BB165" s="19">
        <f>IFERROR(IF($E165="REC",INDEX(A_Type_Volume!$D:$D,MATCH($D165,A_Type_Volume!$A:$A,0),1),IF($E165="VAM",INDEX(C_Type_Volume!$D:$D,MATCH($D165,C_Type_Volume!$A:$A,0),1),"X")),"")</f>
        <v>0</v>
      </c>
      <c r="BC165" s="19">
        <f>IFERROR(IF($E165="REC",INDEX(A_Type_Volume!$E:$E,MATCH($D165,A_Type_Volume!$A:$A,0),1),IF($E165="VAM",INDEX(C_Type_Volume!$E:$E,MATCH($D165,C_Type_Volume!$A:$A,0),1),"X")),"")</f>
        <v>0</v>
      </c>
      <c r="BD165" s="19">
        <f>IFERROR(IF($E165="REC",INDEX(A_Type_Volume!$F:$F,MATCH($D165,A_Type_Volume!$A:$A,0),1),IF($E165="VAM",INDEX(C_Type_Volume!$F:$F,MATCH($D165,C_Type_Volume!$A:$A,0),1),"X")),"")</f>
        <v>0</v>
      </c>
      <c r="BE165" s="19">
        <f>IFERROR(IF($E165="REC",INDEX(A_Type_Volume!$G:$G,MATCH($D165,A_Type_Volume!$A:$A,0),1),IF($E165="VAM",INDEX(C_Type_Volume!$G:$G,MATCH($D165,C_Type_Volume!$A:$A,0),1),"X")),"")</f>
        <v>0</v>
      </c>
      <c r="BF165" s="19">
        <f>IFERROR(IF($E165="REC",INDEX(A_Type_Volume!$H:$H,MATCH($D165,A_Type_Volume!$A:$A,0),1),IF($E165="VAM",INDEX(C_Type_Volume!$H:$H,MATCH($D165,C_Type_Volume!$A:$A,0),1),"X")),"")</f>
        <v>0</v>
      </c>
      <c r="BG165" s="19">
        <f>IFERROR(IF($E165="REC",INDEX(A_Type_Volume!$I:$I,MATCH($D165,A_Type_Volume!$A:$A,0),1),IF($E165="VAM",INDEX(C_Type_Volume!$I:$I,MATCH($D165,C_Type_Volume!$A:$A,0),1),"X")),"")</f>
        <v>0</v>
      </c>
      <c r="BH165" s="19">
        <f>IFERROR(IF($E165="REC",INDEX(A_Type_Volume!$J:$J,MATCH($D165,A_Type_Volume!$A:$A,0),1),IF($E165="VAM",INDEX(C_Type_Volume!$J:$J,MATCH($D165,C_Type_Volume!$A:$A,0),1),"X")),"")</f>
        <v>0</v>
      </c>
      <c r="BI165" s="19">
        <f>IFERROR(IF($E165="REC",INDEX(A_Type_Volume!$K:$K,MATCH($D165,A_Type_Volume!$A:$A,0),1),IF($E165="VAM",INDEX(C_Type_Volume!$K:$K,MATCH($D165,C_Type_Volume!$A:$A,0),1),"X")),"")</f>
        <v>0</v>
      </c>
      <c r="BJ165" s="19">
        <f>IFERROR(IF($E165="REC",INDEX(A_Type_Volume!$L:$L,MATCH($D165,A_Type_Volume!$A:$A,0),1),IF($E165="VAM",INDEX(C_Type_Volume!$L:$L,MATCH($D165,C_Type_Volume!$A:$A,0),1),"X")),"")</f>
        <v>0</v>
      </c>
      <c r="BK165" s="19">
        <f>IFERROR(IF($E165="REC",INDEX(A_Type_Volume!M:M,MATCH($D165,A_Type_Volume!$A:$A,0),1),IF($E165="VAM",INDEX(C_Type_Volume!M:M,MATCH($D165,C_Type_Volume!$A:$A,0),1),"X")),"")</f>
        <v>0</v>
      </c>
      <c r="BL165" s="38">
        <f>SUM(Table1[[#This Row],[Jan_AVF]:[Dec_AVF]])</f>
        <v>207860</v>
      </c>
      <c r="BM165" s="16">
        <f t="shared" si="140"/>
        <v>7731.3476258796718</v>
      </c>
      <c r="BN165" s="16">
        <f t="shared" si="141"/>
        <v>0</v>
      </c>
      <c r="BO165" s="16">
        <f t="shared" si="142"/>
        <v>0</v>
      </c>
      <c r="BP165" s="16">
        <f t="shared" si="143"/>
        <v>0</v>
      </c>
      <c r="BQ165" s="16">
        <f t="shared" si="144"/>
        <v>0</v>
      </c>
      <c r="BR165" s="16">
        <f t="shared" si="145"/>
        <v>0</v>
      </c>
      <c r="BS165" s="16">
        <f t="shared" si="146"/>
        <v>0</v>
      </c>
      <c r="BT165" s="16">
        <f t="shared" si="147"/>
        <v>0</v>
      </c>
      <c r="BU165" s="16">
        <f t="shared" si="148"/>
        <v>0</v>
      </c>
      <c r="BV165" s="16">
        <f t="shared" si="149"/>
        <v>0</v>
      </c>
      <c r="BW165" s="16">
        <f t="shared" si="150"/>
        <v>0</v>
      </c>
      <c r="BX165" s="16">
        <f t="shared" si="151"/>
        <v>0</v>
      </c>
      <c r="BY165" s="10">
        <f t="shared" si="118"/>
        <v>7731.3476258796718</v>
      </c>
      <c r="BZ165" s="10">
        <f t="shared" si="119"/>
        <v>0</v>
      </c>
      <c r="CA165" s="10">
        <f t="shared" si="120"/>
        <v>0</v>
      </c>
      <c r="CB165" s="10">
        <f t="shared" si="121"/>
        <v>0</v>
      </c>
      <c r="CC165" s="10">
        <f>IFERROR(Table1[[#This Row],[Labor
Saving]]*Table1[[#This Row],[Annual Volume]],"")</f>
        <v>3574.1476258796715</v>
      </c>
      <c r="CD165" s="10">
        <f>IFERROR(Table1[[#This Row],[Annual Volume]]*Table1[[#This Row],[Yield
Saving]],"")</f>
        <v>0</v>
      </c>
      <c r="CE165" s="10">
        <f>IFERROR(Table1[[#This Row],[Annual Volume]]*Table1[[#This Row],[Material
Saving]],"")</f>
        <v>4157.2</v>
      </c>
      <c r="CF165" s="10">
        <f>IFERROR(Table1[[#This Row],[OH
Saving]]*Table1[[#This Row],[Annual Volume]],"")</f>
        <v>0</v>
      </c>
      <c r="CG165" s="10">
        <f>SUM(Table1[[#This Row],[Labor_ASV]:[OH_ASV]])</f>
        <v>7731.3476258796709</v>
      </c>
    </row>
    <row r="166" spans="1:85" x14ac:dyDescent="0.3">
      <c r="A166" t="str">
        <f>Table1[[#This Row],[Project Name]]&amp;Table1[[#This Row],[Part Number]]</f>
        <v>Thermal Release Tape 2R101</v>
      </c>
      <c r="B166" t="str">
        <f>IFERROR(Table1[[#This Row],[Project Number]]&amp;Table1[[#This Row],[Part Number]],"")</f>
        <v>AME25-039R101</v>
      </c>
      <c r="C166" s="22" t="s">
        <v>91</v>
      </c>
      <c r="D166" s="24" t="s">
        <v>339</v>
      </c>
      <c r="E166" s="25" t="s">
        <v>58</v>
      </c>
      <c r="F166" s="6">
        <f>INDEX(Proj_Reg!G:G,MATCH($C166,Proj_Reg!$B:$B,0),1)</f>
        <v>46113</v>
      </c>
      <c r="G166" s="6">
        <f>INDEX(Proj_Reg!H:H,MATCH($C166,Proj_Reg!$B:$B,0),1)</f>
        <v>46447</v>
      </c>
      <c r="H166" s="6" t="str">
        <f>IF(INDEX(Proj_Reg!C:C,MATCH($C166,Proj_Reg!$B:$B,0),1)=0,"",INDEX(Proj_Reg!C:C,MATCH($C166,Proj_Reg!$B:$B,0),1))</f>
        <v>Wafer Saw Dicing</v>
      </c>
      <c r="I166" s="6" t="str">
        <f>IF(INDEX(Proj_Reg!D:D,MATCH($C166,Proj_Reg!$B:$B,0),1)=0,"",INDEX(Proj_Reg!D:D,MATCH($C166,Proj_Reg!$B:$B,0),1))</f>
        <v>XCD</v>
      </c>
      <c r="J166" s="6" t="str">
        <f>INDEX(Proj_Reg!E:E,MATCH($C166,Proj_Reg!$B:$B,0),1)</f>
        <v>Thermal Release Tape 2</v>
      </c>
      <c r="K166" s="21">
        <v>1.7194975588760087E-2</v>
      </c>
      <c r="L166" s="21">
        <v>0</v>
      </c>
      <c r="M166" s="21">
        <v>0.02</v>
      </c>
      <c r="N166" s="21">
        <v>0</v>
      </c>
      <c r="O166" s="11">
        <f>SUM(Table1[[#This Row],[Labor
Saving]:[OH
Saving]])</f>
        <v>3.7194975588760087E-2</v>
      </c>
      <c r="Q166" s="40">
        <f t="shared" si="102"/>
        <v>0</v>
      </c>
      <c r="R166" s="40">
        <f t="shared" si="103"/>
        <v>0</v>
      </c>
      <c r="S166" s="40">
        <f t="shared" si="104"/>
        <v>0</v>
      </c>
      <c r="T166" s="40">
        <f t="shared" si="105"/>
        <v>0</v>
      </c>
      <c r="U166" s="40">
        <f t="shared" si="106"/>
        <v>0</v>
      </c>
      <c r="V166" s="40">
        <f t="shared" si="107"/>
        <v>0</v>
      </c>
      <c r="W166" s="40">
        <f t="shared" si="108"/>
        <v>0</v>
      </c>
      <c r="X166" s="40">
        <f t="shared" si="109"/>
        <v>0</v>
      </c>
      <c r="Y166" s="40">
        <f t="shared" si="110"/>
        <v>0</v>
      </c>
      <c r="Z166" s="40">
        <f t="shared" si="111"/>
        <v>0</v>
      </c>
      <c r="AA166" s="40">
        <f t="shared" si="112"/>
        <v>0</v>
      </c>
      <c r="AB166" s="40">
        <f t="shared" si="113"/>
        <v>0</v>
      </c>
      <c r="AC166" s="37">
        <f>SUM(Table1[[#This Row],[Jan]:[Dec]])</f>
        <v>0</v>
      </c>
      <c r="AD166" s="15">
        <f t="shared" si="122"/>
        <v>0</v>
      </c>
      <c r="AE166" s="15">
        <f t="shared" si="123"/>
        <v>0</v>
      </c>
      <c r="AF166" s="15">
        <f t="shared" si="124"/>
        <v>0</v>
      </c>
      <c r="AG166" s="15">
        <f t="shared" si="125"/>
        <v>0</v>
      </c>
      <c r="AH166" s="15">
        <f t="shared" si="126"/>
        <v>0</v>
      </c>
      <c r="AI166" s="15">
        <f t="shared" si="127"/>
        <v>0</v>
      </c>
      <c r="AJ166" s="15">
        <f t="shared" si="128"/>
        <v>0</v>
      </c>
      <c r="AK166" s="15">
        <f t="shared" si="129"/>
        <v>0</v>
      </c>
      <c r="AL166" s="15">
        <f t="shared" si="130"/>
        <v>0</v>
      </c>
      <c r="AM166" s="15">
        <f t="shared" si="131"/>
        <v>0</v>
      </c>
      <c r="AN166" s="15">
        <f t="shared" si="132"/>
        <v>0</v>
      </c>
      <c r="AO166" s="15">
        <f t="shared" si="133"/>
        <v>0</v>
      </c>
      <c r="AP166" s="10">
        <f t="shared" si="134"/>
        <v>0</v>
      </c>
      <c r="AQ166" s="10">
        <f t="shared" si="135"/>
        <v>0</v>
      </c>
      <c r="AR166" s="10">
        <f t="shared" si="136"/>
        <v>0</v>
      </c>
      <c r="AS166" s="10">
        <f t="shared" si="137"/>
        <v>0</v>
      </c>
      <c r="AT166" s="10" t="b">
        <f t="shared" si="138"/>
        <v>1</v>
      </c>
      <c r="AU166" s="10">
        <f t="shared" si="114"/>
        <v>0</v>
      </c>
      <c r="AV166" s="10">
        <f t="shared" si="115"/>
        <v>0</v>
      </c>
      <c r="AW166" s="10">
        <f t="shared" si="116"/>
        <v>0</v>
      </c>
      <c r="AX166" s="10">
        <f t="shared" si="117"/>
        <v>0</v>
      </c>
      <c r="AY166" s="10">
        <f t="shared" si="139"/>
        <v>0</v>
      </c>
      <c r="AZ166" s="19">
        <f>IFERROR(IF($E166="REC",INDEX(A_Type_Volume!$B:$B,MATCH($D166,A_Type_Volume!$A:$A,0),1),IF($E166="VAM",INDEX(C_Type_Volume!$B:$B,MATCH($D166,C_Type_Volume!$A:$A,0),1),"X")),"")</f>
        <v>206858</v>
      </c>
      <c r="BA166" s="19">
        <f>IFERROR(IF($E166="REC",INDEX(A_Type_Volume!$C:$C,MATCH($D166,A_Type_Volume!$A:$A,0),1),IF($E166="VAM",INDEX(C_Type_Volume!$C:$C,MATCH($D166,C_Type_Volume!$A:$A,0),1),"X")),"")</f>
        <v>0</v>
      </c>
      <c r="BB166" s="19">
        <f>IFERROR(IF($E166="REC",INDEX(A_Type_Volume!$D:$D,MATCH($D166,A_Type_Volume!$A:$A,0),1),IF($E166="VAM",INDEX(C_Type_Volume!$D:$D,MATCH($D166,C_Type_Volume!$A:$A,0),1),"X")),"")</f>
        <v>0</v>
      </c>
      <c r="BC166" s="19">
        <f>IFERROR(IF($E166="REC",INDEX(A_Type_Volume!$E:$E,MATCH($D166,A_Type_Volume!$A:$A,0),1),IF($E166="VAM",INDEX(C_Type_Volume!$E:$E,MATCH($D166,C_Type_Volume!$A:$A,0),1),"X")),"")</f>
        <v>0</v>
      </c>
      <c r="BD166" s="19">
        <f>IFERROR(IF($E166="REC",INDEX(A_Type_Volume!$F:$F,MATCH($D166,A_Type_Volume!$A:$A,0),1),IF($E166="VAM",INDEX(C_Type_Volume!$F:$F,MATCH($D166,C_Type_Volume!$A:$A,0),1),"X")),"")</f>
        <v>0</v>
      </c>
      <c r="BE166" s="19">
        <f>IFERROR(IF($E166="REC",INDEX(A_Type_Volume!$G:$G,MATCH($D166,A_Type_Volume!$A:$A,0),1),IF($E166="VAM",INDEX(C_Type_Volume!$G:$G,MATCH($D166,C_Type_Volume!$A:$A,0),1),"X")),"")</f>
        <v>0</v>
      </c>
      <c r="BF166" s="19">
        <f>IFERROR(IF($E166="REC",INDEX(A_Type_Volume!$H:$H,MATCH($D166,A_Type_Volume!$A:$A,0),1),IF($E166="VAM",INDEX(C_Type_Volume!$H:$H,MATCH($D166,C_Type_Volume!$A:$A,0),1),"X")),"")</f>
        <v>0</v>
      </c>
      <c r="BG166" s="19">
        <f>IFERROR(IF($E166="REC",INDEX(A_Type_Volume!$I:$I,MATCH($D166,A_Type_Volume!$A:$A,0),1),IF($E166="VAM",INDEX(C_Type_Volume!$I:$I,MATCH($D166,C_Type_Volume!$A:$A,0),1),"X")),"")</f>
        <v>0</v>
      </c>
      <c r="BH166" s="19">
        <f>IFERROR(IF($E166="REC",INDEX(A_Type_Volume!$J:$J,MATCH($D166,A_Type_Volume!$A:$A,0),1),IF($E166="VAM",INDEX(C_Type_Volume!$J:$J,MATCH($D166,C_Type_Volume!$A:$A,0),1),"X")),"")</f>
        <v>0</v>
      </c>
      <c r="BI166" s="19">
        <f>IFERROR(IF($E166="REC",INDEX(A_Type_Volume!$K:$K,MATCH($D166,A_Type_Volume!$A:$A,0),1),IF($E166="VAM",INDEX(C_Type_Volume!$K:$K,MATCH($D166,C_Type_Volume!$A:$A,0),1),"X")),"")</f>
        <v>0</v>
      </c>
      <c r="BJ166" s="19">
        <f>IFERROR(IF($E166="REC",INDEX(A_Type_Volume!$L:$L,MATCH($D166,A_Type_Volume!$A:$A,0),1),IF($E166="VAM",INDEX(C_Type_Volume!$L:$L,MATCH($D166,C_Type_Volume!$A:$A,0),1),"X")),"")</f>
        <v>0</v>
      </c>
      <c r="BK166" s="19">
        <f>IFERROR(IF($E166="REC",INDEX(A_Type_Volume!M:M,MATCH($D166,A_Type_Volume!$A:$A,0),1),IF($E166="VAM",INDEX(C_Type_Volume!M:M,MATCH($D166,C_Type_Volume!$A:$A,0),1),"X")),"")</f>
        <v>0</v>
      </c>
      <c r="BL166" s="38">
        <f>SUM(Table1[[#This Row],[Jan_AVF]:[Dec_AVF]])</f>
        <v>206858</v>
      </c>
      <c r="BM166" s="16">
        <f t="shared" si="140"/>
        <v>7694.0782603397338</v>
      </c>
      <c r="BN166" s="16">
        <f t="shared" si="141"/>
        <v>0</v>
      </c>
      <c r="BO166" s="16">
        <f t="shared" si="142"/>
        <v>0</v>
      </c>
      <c r="BP166" s="16">
        <f t="shared" si="143"/>
        <v>0</v>
      </c>
      <c r="BQ166" s="16">
        <f t="shared" si="144"/>
        <v>0</v>
      </c>
      <c r="BR166" s="16">
        <f t="shared" si="145"/>
        <v>0</v>
      </c>
      <c r="BS166" s="16">
        <f t="shared" si="146"/>
        <v>0</v>
      </c>
      <c r="BT166" s="16">
        <f t="shared" si="147"/>
        <v>0</v>
      </c>
      <c r="BU166" s="16">
        <f t="shared" si="148"/>
        <v>0</v>
      </c>
      <c r="BV166" s="16">
        <f t="shared" si="149"/>
        <v>0</v>
      </c>
      <c r="BW166" s="16">
        <f t="shared" si="150"/>
        <v>0</v>
      </c>
      <c r="BX166" s="16">
        <f t="shared" si="151"/>
        <v>0</v>
      </c>
      <c r="BY166" s="10">
        <f t="shared" si="118"/>
        <v>7694.0782603397338</v>
      </c>
      <c r="BZ166" s="10">
        <f t="shared" si="119"/>
        <v>0</v>
      </c>
      <c r="CA166" s="10">
        <f t="shared" si="120"/>
        <v>0</v>
      </c>
      <c r="CB166" s="10">
        <f t="shared" si="121"/>
        <v>0</v>
      </c>
      <c r="CC166" s="10">
        <f>IFERROR(Table1[[#This Row],[Labor
Saving]]*Table1[[#This Row],[Annual Volume]],"")</f>
        <v>3556.9182603397339</v>
      </c>
      <c r="CD166" s="10">
        <f>IFERROR(Table1[[#This Row],[Annual Volume]]*Table1[[#This Row],[Yield
Saving]],"")</f>
        <v>0</v>
      </c>
      <c r="CE166" s="10">
        <f>IFERROR(Table1[[#This Row],[Annual Volume]]*Table1[[#This Row],[Material
Saving]],"")</f>
        <v>4137.16</v>
      </c>
      <c r="CF166" s="10">
        <f>IFERROR(Table1[[#This Row],[OH
Saving]]*Table1[[#This Row],[Annual Volume]],"")</f>
        <v>0</v>
      </c>
      <c r="CG166" s="10">
        <f>SUM(Table1[[#This Row],[Labor_ASV]:[OH_ASV]])</f>
        <v>7694.0782603397338</v>
      </c>
    </row>
    <row r="167" spans="1:85" x14ac:dyDescent="0.3">
      <c r="A167" t="str">
        <f>Table1[[#This Row],[Project Name]]&amp;Table1[[#This Row],[Part Number]]</f>
        <v>Thermal Release Tape 2R102</v>
      </c>
      <c r="B167" t="str">
        <f>IFERROR(Table1[[#This Row],[Project Number]]&amp;Table1[[#This Row],[Part Number]],"")</f>
        <v>AME25-039R102</v>
      </c>
      <c r="C167" s="22" t="s">
        <v>91</v>
      </c>
      <c r="D167" s="24" t="s">
        <v>340</v>
      </c>
      <c r="E167" s="25" t="s">
        <v>58</v>
      </c>
      <c r="F167" s="6">
        <f>INDEX(Proj_Reg!G:G,MATCH($C167,Proj_Reg!$B:$B,0),1)</f>
        <v>46113</v>
      </c>
      <c r="G167" s="6">
        <f>INDEX(Proj_Reg!H:H,MATCH($C167,Proj_Reg!$B:$B,0),1)</f>
        <v>46447</v>
      </c>
      <c r="H167" s="6" t="str">
        <f>IF(INDEX(Proj_Reg!C:C,MATCH($C167,Proj_Reg!$B:$B,0),1)=0,"",INDEX(Proj_Reg!C:C,MATCH($C167,Proj_Reg!$B:$B,0),1))</f>
        <v>Wafer Saw Dicing</v>
      </c>
      <c r="I167" s="6" t="str">
        <f>IF(INDEX(Proj_Reg!D:D,MATCH($C167,Proj_Reg!$B:$B,0),1)=0,"",INDEX(Proj_Reg!D:D,MATCH($C167,Proj_Reg!$B:$B,0),1))</f>
        <v>XCD</v>
      </c>
      <c r="J167" s="6" t="str">
        <f>INDEX(Proj_Reg!E:E,MATCH($C167,Proj_Reg!$B:$B,0),1)</f>
        <v>Thermal Release Tape 2</v>
      </c>
      <c r="K167" s="21">
        <v>1.7194975588760087E-2</v>
      </c>
      <c r="L167" s="21">
        <v>0</v>
      </c>
      <c r="M167" s="21">
        <v>0.02</v>
      </c>
      <c r="N167" s="21">
        <v>0</v>
      </c>
      <c r="O167" s="11">
        <f>SUM(Table1[[#This Row],[Labor
Saving]:[OH
Saving]])</f>
        <v>3.7194975588760087E-2</v>
      </c>
      <c r="Q167" s="40">
        <f t="shared" si="102"/>
        <v>0</v>
      </c>
      <c r="R167" s="40">
        <f t="shared" si="103"/>
        <v>0</v>
      </c>
      <c r="S167" s="40">
        <f t="shared" si="104"/>
        <v>0</v>
      </c>
      <c r="T167" s="40">
        <f t="shared" si="105"/>
        <v>0</v>
      </c>
      <c r="U167" s="40">
        <f t="shared" si="106"/>
        <v>0</v>
      </c>
      <c r="V167" s="40">
        <f t="shared" si="107"/>
        <v>0</v>
      </c>
      <c r="W167" s="40">
        <f t="shared" si="108"/>
        <v>0</v>
      </c>
      <c r="X167" s="40">
        <f t="shared" si="109"/>
        <v>0</v>
      </c>
      <c r="Y167" s="40">
        <f t="shared" si="110"/>
        <v>0</v>
      </c>
      <c r="Z167" s="40">
        <f t="shared" si="111"/>
        <v>0</v>
      </c>
      <c r="AA167" s="40">
        <f t="shared" si="112"/>
        <v>0</v>
      </c>
      <c r="AB167" s="40">
        <f t="shared" si="113"/>
        <v>0</v>
      </c>
      <c r="AC167" s="37">
        <f>SUM(Table1[[#This Row],[Jan]:[Dec]])</f>
        <v>0</v>
      </c>
      <c r="AD167" s="15">
        <f t="shared" si="122"/>
        <v>0</v>
      </c>
      <c r="AE167" s="15">
        <f t="shared" si="123"/>
        <v>0</v>
      </c>
      <c r="AF167" s="15">
        <f t="shared" si="124"/>
        <v>0</v>
      </c>
      <c r="AG167" s="15">
        <f t="shared" si="125"/>
        <v>0</v>
      </c>
      <c r="AH167" s="15">
        <f t="shared" si="126"/>
        <v>0</v>
      </c>
      <c r="AI167" s="15">
        <f t="shared" si="127"/>
        <v>0</v>
      </c>
      <c r="AJ167" s="15">
        <f t="shared" si="128"/>
        <v>0</v>
      </c>
      <c r="AK167" s="15">
        <f t="shared" si="129"/>
        <v>0</v>
      </c>
      <c r="AL167" s="15">
        <f t="shared" si="130"/>
        <v>0</v>
      </c>
      <c r="AM167" s="15">
        <f t="shared" si="131"/>
        <v>0</v>
      </c>
      <c r="AN167" s="15">
        <f t="shared" si="132"/>
        <v>0</v>
      </c>
      <c r="AO167" s="15">
        <f t="shared" si="133"/>
        <v>0</v>
      </c>
      <c r="AP167" s="10">
        <f t="shared" si="134"/>
        <v>0</v>
      </c>
      <c r="AQ167" s="10">
        <f t="shared" si="135"/>
        <v>0</v>
      </c>
      <c r="AR167" s="10">
        <f t="shared" si="136"/>
        <v>0</v>
      </c>
      <c r="AS167" s="10">
        <f t="shared" si="137"/>
        <v>0</v>
      </c>
      <c r="AT167" s="10" t="b">
        <f t="shared" si="138"/>
        <v>1</v>
      </c>
      <c r="AU167" s="10">
        <f t="shared" si="114"/>
        <v>0</v>
      </c>
      <c r="AV167" s="10">
        <f t="shared" si="115"/>
        <v>0</v>
      </c>
      <c r="AW167" s="10">
        <f t="shared" si="116"/>
        <v>0</v>
      </c>
      <c r="AX167" s="10">
        <f t="shared" si="117"/>
        <v>0</v>
      </c>
      <c r="AY167" s="10">
        <f t="shared" si="139"/>
        <v>0</v>
      </c>
      <c r="AZ167" s="19">
        <f>IFERROR(IF($E167="REC",INDEX(A_Type_Volume!$B:$B,MATCH($D167,A_Type_Volume!$A:$A,0),1),IF($E167="VAM",INDEX(C_Type_Volume!$B:$B,MATCH($D167,C_Type_Volume!$A:$A,0),1),"X")),"")</f>
        <v>88344</v>
      </c>
      <c r="BA167" s="19">
        <f>IFERROR(IF($E167="REC",INDEX(A_Type_Volume!$C:$C,MATCH($D167,A_Type_Volume!$A:$A,0),1),IF($E167="VAM",INDEX(C_Type_Volume!$C:$C,MATCH($D167,C_Type_Volume!$A:$A,0),1),"X")),"")</f>
        <v>44202</v>
      </c>
      <c r="BB167" s="19">
        <f>IFERROR(IF($E167="REC",INDEX(A_Type_Volume!$D:$D,MATCH($D167,A_Type_Volume!$A:$A,0),1),IF($E167="VAM",INDEX(C_Type_Volume!$D:$D,MATCH($D167,C_Type_Volume!$A:$A,0),1),"X")),"")</f>
        <v>0</v>
      </c>
      <c r="BC167" s="19">
        <f>IFERROR(IF($E167="REC",INDEX(A_Type_Volume!$E:$E,MATCH($D167,A_Type_Volume!$A:$A,0),1),IF($E167="VAM",INDEX(C_Type_Volume!$E:$E,MATCH($D167,C_Type_Volume!$A:$A,0),1),"X")),"")</f>
        <v>0</v>
      </c>
      <c r="BD167" s="19">
        <f>IFERROR(IF($E167="REC",INDEX(A_Type_Volume!$F:$F,MATCH($D167,A_Type_Volume!$A:$A,0),1),IF($E167="VAM",INDEX(C_Type_Volume!$F:$F,MATCH($D167,C_Type_Volume!$A:$A,0),1),"X")),"")</f>
        <v>0</v>
      </c>
      <c r="BE167" s="19">
        <f>IFERROR(IF($E167="REC",INDEX(A_Type_Volume!$G:$G,MATCH($D167,A_Type_Volume!$A:$A,0),1),IF($E167="VAM",INDEX(C_Type_Volume!$G:$G,MATCH($D167,C_Type_Volume!$A:$A,0),1),"X")),"")</f>
        <v>0</v>
      </c>
      <c r="BF167" s="19">
        <f>IFERROR(IF($E167="REC",INDEX(A_Type_Volume!$H:$H,MATCH($D167,A_Type_Volume!$A:$A,0),1),IF($E167="VAM",INDEX(C_Type_Volume!$H:$H,MATCH($D167,C_Type_Volume!$A:$A,0),1),"X")),"")</f>
        <v>0</v>
      </c>
      <c r="BG167" s="19">
        <f>IFERROR(IF($E167="REC",INDEX(A_Type_Volume!$I:$I,MATCH($D167,A_Type_Volume!$A:$A,0),1),IF($E167="VAM",INDEX(C_Type_Volume!$I:$I,MATCH($D167,C_Type_Volume!$A:$A,0),1),"X")),"")</f>
        <v>0</v>
      </c>
      <c r="BH167" s="19">
        <f>IFERROR(IF($E167="REC",INDEX(A_Type_Volume!$J:$J,MATCH($D167,A_Type_Volume!$A:$A,0),1),IF($E167="VAM",INDEX(C_Type_Volume!$J:$J,MATCH($D167,C_Type_Volume!$A:$A,0),1),"X")),"")</f>
        <v>0</v>
      </c>
      <c r="BI167" s="19">
        <f>IFERROR(IF($E167="REC",INDEX(A_Type_Volume!$K:$K,MATCH($D167,A_Type_Volume!$A:$A,0),1),IF($E167="VAM",INDEX(C_Type_Volume!$K:$K,MATCH($D167,C_Type_Volume!$A:$A,0),1),"X")),"")</f>
        <v>0</v>
      </c>
      <c r="BJ167" s="19">
        <f>IFERROR(IF($E167="REC",INDEX(A_Type_Volume!$L:$L,MATCH($D167,A_Type_Volume!$A:$A,0),1),IF($E167="VAM",INDEX(C_Type_Volume!$L:$L,MATCH($D167,C_Type_Volume!$A:$A,0),1),"X")),"")</f>
        <v>0</v>
      </c>
      <c r="BK167" s="19">
        <f>IFERROR(IF($E167="REC",INDEX(A_Type_Volume!M:M,MATCH($D167,A_Type_Volume!$A:$A,0),1),IF($E167="VAM",INDEX(C_Type_Volume!M:M,MATCH($D167,C_Type_Volume!$A:$A,0),1),"X")),"")</f>
        <v>0</v>
      </c>
      <c r="BL167" s="38">
        <f>SUM(Table1[[#This Row],[Jan_AVF]:[Dec_AVF]])</f>
        <v>132546</v>
      </c>
      <c r="BM167" s="16">
        <f t="shared" si="140"/>
        <v>3285.9529234134211</v>
      </c>
      <c r="BN167" s="16">
        <f t="shared" si="141"/>
        <v>1644.0923109743733</v>
      </c>
      <c r="BO167" s="16">
        <f t="shared" si="142"/>
        <v>0</v>
      </c>
      <c r="BP167" s="16">
        <f t="shared" si="143"/>
        <v>0</v>
      </c>
      <c r="BQ167" s="16">
        <f t="shared" si="144"/>
        <v>0</v>
      </c>
      <c r="BR167" s="16">
        <f t="shared" si="145"/>
        <v>0</v>
      </c>
      <c r="BS167" s="16">
        <f t="shared" si="146"/>
        <v>0</v>
      </c>
      <c r="BT167" s="16">
        <f t="shared" si="147"/>
        <v>0</v>
      </c>
      <c r="BU167" s="16">
        <f t="shared" si="148"/>
        <v>0</v>
      </c>
      <c r="BV167" s="16">
        <f t="shared" si="149"/>
        <v>0</v>
      </c>
      <c r="BW167" s="16">
        <f t="shared" si="150"/>
        <v>0</v>
      </c>
      <c r="BX167" s="16">
        <f t="shared" si="151"/>
        <v>0</v>
      </c>
      <c r="BY167" s="10">
        <f t="shared" si="118"/>
        <v>4930.0452343877942</v>
      </c>
      <c r="BZ167" s="10">
        <f t="shared" si="119"/>
        <v>0</v>
      </c>
      <c r="CA167" s="10">
        <f t="shared" si="120"/>
        <v>0</v>
      </c>
      <c r="CB167" s="10">
        <f t="shared" si="121"/>
        <v>0</v>
      </c>
      <c r="CC167" s="10">
        <f>IFERROR(Table1[[#This Row],[Labor
Saving]]*Table1[[#This Row],[Annual Volume]],"")</f>
        <v>2279.1252343877945</v>
      </c>
      <c r="CD167" s="10">
        <f>IFERROR(Table1[[#This Row],[Annual Volume]]*Table1[[#This Row],[Yield
Saving]],"")</f>
        <v>0</v>
      </c>
      <c r="CE167" s="10">
        <f>IFERROR(Table1[[#This Row],[Annual Volume]]*Table1[[#This Row],[Material
Saving]],"")</f>
        <v>2650.92</v>
      </c>
      <c r="CF167" s="10">
        <f>IFERROR(Table1[[#This Row],[OH
Saving]]*Table1[[#This Row],[Annual Volume]],"")</f>
        <v>0</v>
      </c>
      <c r="CG167" s="10">
        <f>SUM(Table1[[#This Row],[Labor_ASV]:[OH_ASV]])</f>
        <v>4930.0452343877951</v>
      </c>
    </row>
    <row r="168" spans="1:85" x14ac:dyDescent="0.3">
      <c r="A168" t="str">
        <f>Table1[[#This Row],[Project Name]]&amp;Table1[[#This Row],[Part Number]]</f>
        <v>Thermal Release Tape 2R103</v>
      </c>
      <c r="B168" t="str">
        <f>IFERROR(Table1[[#This Row],[Project Number]]&amp;Table1[[#This Row],[Part Number]],"")</f>
        <v>AME25-039R103</v>
      </c>
      <c r="C168" s="22" t="s">
        <v>91</v>
      </c>
      <c r="D168" s="24" t="s">
        <v>341</v>
      </c>
      <c r="E168" s="25" t="s">
        <v>58</v>
      </c>
      <c r="F168" s="6">
        <f>INDEX(Proj_Reg!G:G,MATCH($C168,Proj_Reg!$B:$B,0),1)</f>
        <v>46113</v>
      </c>
      <c r="G168" s="6">
        <f>INDEX(Proj_Reg!H:H,MATCH($C168,Proj_Reg!$B:$B,0),1)</f>
        <v>46447</v>
      </c>
      <c r="H168" s="6" t="str">
        <f>IF(INDEX(Proj_Reg!C:C,MATCH($C168,Proj_Reg!$B:$B,0),1)=0,"",INDEX(Proj_Reg!C:C,MATCH($C168,Proj_Reg!$B:$B,0),1))</f>
        <v>Wafer Saw Dicing</v>
      </c>
      <c r="I168" s="6" t="str">
        <f>IF(INDEX(Proj_Reg!D:D,MATCH($C168,Proj_Reg!$B:$B,0),1)=0,"",INDEX(Proj_Reg!D:D,MATCH($C168,Proj_Reg!$B:$B,0),1))</f>
        <v>XCD</v>
      </c>
      <c r="J168" s="6" t="str">
        <f>INDEX(Proj_Reg!E:E,MATCH($C168,Proj_Reg!$B:$B,0),1)</f>
        <v>Thermal Release Tape 2</v>
      </c>
      <c r="K168" s="21">
        <v>1.7194975588760087E-2</v>
      </c>
      <c r="L168" s="21">
        <v>0</v>
      </c>
      <c r="M168" s="21">
        <v>0.02</v>
      </c>
      <c r="N168" s="21">
        <v>0</v>
      </c>
      <c r="O168" s="11">
        <f>SUM(Table1[[#This Row],[Labor
Saving]:[OH
Saving]])</f>
        <v>3.7194975588760087E-2</v>
      </c>
      <c r="Q168" s="40">
        <f t="shared" si="102"/>
        <v>0</v>
      </c>
      <c r="R168" s="40">
        <f t="shared" si="103"/>
        <v>0</v>
      </c>
      <c r="S168" s="40">
        <f t="shared" si="104"/>
        <v>0</v>
      </c>
      <c r="T168" s="40">
        <f t="shared" si="105"/>
        <v>0</v>
      </c>
      <c r="U168" s="40">
        <f t="shared" si="106"/>
        <v>0</v>
      </c>
      <c r="V168" s="40">
        <f t="shared" si="107"/>
        <v>0</v>
      </c>
      <c r="W168" s="40">
        <f t="shared" si="108"/>
        <v>0</v>
      </c>
      <c r="X168" s="40">
        <f t="shared" si="109"/>
        <v>0</v>
      </c>
      <c r="Y168" s="40">
        <f t="shared" si="110"/>
        <v>0</v>
      </c>
      <c r="Z168" s="40">
        <f t="shared" si="111"/>
        <v>0</v>
      </c>
      <c r="AA168" s="40">
        <f t="shared" si="112"/>
        <v>0</v>
      </c>
      <c r="AB168" s="40">
        <f t="shared" si="113"/>
        <v>0</v>
      </c>
      <c r="AC168" s="37">
        <f>SUM(Table1[[#This Row],[Jan]:[Dec]])</f>
        <v>0</v>
      </c>
      <c r="AD168" s="15">
        <f t="shared" si="122"/>
        <v>0</v>
      </c>
      <c r="AE168" s="15">
        <f t="shared" si="123"/>
        <v>0</v>
      </c>
      <c r="AF168" s="15">
        <f t="shared" si="124"/>
        <v>0</v>
      </c>
      <c r="AG168" s="15">
        <f t="shared" si="125"/>
        <v>0</v>
      </c>
      <c r="AH168" s="15">
        <f t="shared" si="126"/>
        <v>0</v>
      </c>
      <c r="AI168" s="15">
        <f t="shared" si="127"/>
        <v>0</v>
      </c>
      <c r="AJ168" s="15">
        <f t="shared" si="128"/>
        <v>0</v>
      </c>
      <c r="AK168" s="15">
        <f t="shared" si="129"/>
        <v>0</v>
      </c>
      <c r="AL168" s="15">
        <f t="shared" si="130"/>
        <v>0</v>
      </c>
      <c r="AM168" s="15">
        <f t="shared" si="131"/>
        <v>0</v>
      </c>
      <c r="AN168" s="15">
        <f t="shared" si="132"/>
        <v>0</v>
      </c>
      <c r="AO168" s="15">
        <f t="shared" si="133"/>
        <v>0</v>
      </c>
      <c r="AP168" s="10">
        <f t="shared" si="134"/>
        <v>0</v>
      </c>
      <c r="AQ168" s="10">
        <f t="shared" si="135"/>
        <v>0</v>
      </c>
      <c r="AR168" s="10">
        <f t="shared" si="136"/>
        <v>0</v>
      </c>
      <c r="AS168" s="10">
        <f t="shared" si="137"/>
        <v>0</v>
      </c>
      <c r="AT168" s="10" t="b">
        <f t="shared" si="138"/>
        <v>1</v>
      </c>
      <c r="AU168" s="10">
        <f t="shared" si="114"/>
        <v>0</v>
      </c>
      <c r="AV168" s="10">
        <f t="shared" si="115"/>
        <v>0</v>
      </c>
      <c r="AW168" s="10">
        <f t="shared" si="116"/>
        <v>0</v>
      </c>
      <c r="AX168" s="10">
        <f t="shared" si="117"/>
        <v>0</v>
      </c>
      <c r="AY168" s="10">
        <f t="shared" si="139"/>
        <v>0</v>
      </c>
      <c r="AZ168" s="19">
        <f>IFERROR(IF($E168="REC",INDEX(A_Type_Volume!$B:$B,MATCH($D168,A_Type_Volume!$A:$A,0),1),IF($E168="VAM",INDEX(C_Type_Volume!$B:$B,MATCH($D168,C_Type_Volume!$A:$A,0),1),"X")),"")</f>
        <v>71816</v>
      </c>
      <c r="BA168" s="19">
        <f>IFERROR(IF($E168="REC",INDEX(A_Type_Volume!$C:$C,MATCH($D168,A_Type_Volume!$A:$A,0),1),IF($E168="VAM",INDEX(C_Type_Volume!$C:$C,MATCH($D168,C_Type_Volume!$A:$A,0),1),"X")),"")</f>
        <v>16724</v>
      </c>
      <c r="BB168" s="19">
        <f>IFERROR(IF($E168="REC",INDEX(A_Type_Volume!$D:$D,MATCH($D168,A_Type_Volume!$A:$A,0),1),IF($E168="VAM",INDEX(C_Type_Volume!$D:$D,MATCH($D168,C_Type_Volume!$A:$A,0),1),"X")),"")</f>
        <v>0</v>
      </c>
      <c r="BC168" s="19">
        <f>IFERROR(IF($E168="REC",INDEX(A_Type_Volume!$E:$E,MATCH($D168,A_Type_Volume!$A:$A,0),1),IF($E168="VAM",INDEX(C_Type_Volume!$E:$E,MATCH($D168,C_Type_Volume!$A:$A,0),1),"X")),"")</f>
        <v>0</v>
      </c>
      <c r="BD168" s="19">
        <f>IFERROR(IF($E168="REC",INDEX(A_Type_Volume!$F:$F,MATCH($D168,A_Type_Volume!$A:$A,0),1),IF($E168="VAM",INDEX(C_Type_Volume!$F:$F,MATCH($D168,C_Type_Volume!$A:$A,0),1),"X")),"")</f>
        <v>0</v>
      </c>
      <c r="BE168" s="19">
        <f>IFERROR(IF($E168="REC",INDEX(A_Type_Volume!$G:$G,MATCH($D168,A_Type_Volume!$A:$A,0),1),IF($E168="VAM",INDEX(C_Type_Volume!$G:$G,MATCH($D168,C_Type_Volume!$A:$A,0),1),"X")),"")</f>
        <v>0</v>
      </c>
      <c r="BF168" s="19">
        <f>IFERROR(IF($E168="REC",INDEX(A_Type_Volume!$H:$H,MATCH($D168,A_Type_Volume!$A:$A,0),1),IF($E168="VAM",INDEX(C_Type_Volume!$H:$H,MATCH($D168,C_Type_Volume!$A:$A,0),1),"X")),"")</f>
        <v>0</v>
      </c>
      <c r="BG168" s="19">
        <f>IFERROR(IF($E168="REC",INDEX(A_Type_Volume!$I:$I,MATCH($D168,A_Type_Volume!$A:$A,0),1),IF($E168="VAM",INDEX(C_Type_Volume!$I:$I,MATCH($D168,C_Type_Volume!$A:$A,0),1),"X")),"")</f>
        <v>0</v>
      </c>
      <c r="BH168" s="19">
        <f>IFERROR(IF($E168="REC",INDEX(A_Type_Volume!$J:$J,MATCH($D168,A_Type_Volume!$A:$A,0),1),IF($E168="VAM",INDEX(C_Type_Volume!$J:$J,MATCH($D168,C_Type_Volume!$A:$A,0),1),"X")),"")</f>
        <v>0</v>
      </c>
      <c r="BI168" s="19">
        <f>IFERROR(IF($E168="REC",INDEX(A_Type_Volume!$K:$K,MATCH($D168,A_Type_Volume!$A:$A,0),1),IF($E168="VAM",INDEX(C_Type_Volume!$K:$K,MATCH($D168,C_Type_Volume!$A:$A,0),1),"X")),"")</f>
        <v>0</v>
      </c>
      <c r="BJ168" s="19">
        <f>IFERROR(IF($E168="REC",INDEX(A_Type_Volume!$L:$L,MATCH($D168,A_Type_Volume!$A:$A,0),1),IF($E168="VAM",INDEX(C_Type_Volume!$L:$L,MATCH($D168,C_Type_Volume!$A:$A,0),1),"X")),"")</f>
        <v>0</v>
      </c>
      <c r="BK168" s="19">
        <f>IFERROR(IF($E168="REC",INDEX(A_Type_Volume!M:M,MATCH($D168,A_Type_Volume!$A:$A,0),1),IF($E168="VAM",INDEX(C_Type_Volume!M:M,MATCH($D168,C_Type_Volume!$A:$A,0),1),"X")),"")</f>
        <v>0</v>
      </c>
      <c r="BL168" s="38">
        <f>SUM(Table1[[#This Row],[Jan_AVF]:[Dec_AVF]])</f>
        <v>88540</v>
      </c>
      <c r="BM168" s="16">
        <f t="shared" si="140"/>
        <v>2671.1943668823947</v>
      </c>
      <c r="BN168" s="16">
        <f t="shared" si="141"/>
        <v>622.04877174642365</v>
      </c>
      <c r="BO168" s="16">
        <f t="shared" si="142"/>
        <v>0</v>
      </c>
      <c r="BP168" s="16">
        <f t="shared" si="143"/>
        <v>0</v>
      </c>
      <c r="BQ168" s="16">
        <f t="shared" si="144"/>
        <v>0</v>
      </c>
      <c r="BR168" s="16">
        <f t="shared" si="145"/>
        <v>0</v>
      </c>
      <c r="BS168" s="16">
        <f t="shared" si="146"/>
        <v>0</v>
      </c>
      <c r="BT168" s="16">
        <f t="shared" si="147"/>
        <v>0</v>
      </c>
      <c r="BU168" s="16">
        <f t="shared" si="148"/>
        <v>0</v>
      </c>
      <c r="BV168" s="16">
        <f t="shared" si="149"/>
        <v>0</v>
      </c>
      <c r="BW168" s="16">
        <f t="shared" si="150"/>
        <v>0</v>
      </c>
      <c r="BX168" s="16">
        <f t="shared" si="151"/>
        <v>0</v>
      </c>
      <c r="BY168" s="10">
        <f t="shared" si="118"/>
        <v>3293.2431386288181</v>
      </c>
      <c r="BZ168" s="10">
        <f t="shared" si="119"/>
        <v>0</v>
      </c>
      <c r="CA168" s="10">
        <f t="shared" si="120"/>
        <v>0</v>
      </c>
      <c r="CB168" s="10">
        <f t="shared" si="121"/>
        <v>0</v>
      </c>
      <c r="CC168" s="10">
        <f>IFERROR(Table1[[#This Row],[Labor
Saving]]*Table1[[#This Row],[Annual Volume]],"")</f>
        <v>1522.4431386288181</v>
      </c>
      <c r="CD168" s="10">
        <f>IFERROR(Table1[[#This Row],[Annual Volume]]*Table1[[#This Row],[Yield
Saving]],"")</f>
        <v>0</v>
      </c>
      <c r="CE168" s="10">
        <f>IFERROR(Table1[[#This Row],[Annual Volume]]*Table1[[#This Row],[Material
Saving]],"")</f>
        <v>1770.8</v>
      </c>
      <c r="CF168" s="10">
        <f>IFERROR(Table1[[#This Row],[OH
Saving]]*Table1[[#This Row],[Annual Volume]],"")</f>
        <v>0</v>
      </c>
      <c r="CG168" s="10">
        <f>SUM(Table1[[#This Row],[Labor_ASV]:[OH_ASV]])</f>
        <v>3293.2431386288181</v>
      </c>
    </row>
    <row r="169" spans="1:85" x14ac:dyDescent="0.3">
      <c r="A169" t="str">
        <f>Table1[[#This Row],[Project Name]]&amp;Table1[[#This Row],[Part Number]]</f>
        <v>Thermal Release Tape 2R104</v>
      </c>
      <c r="B169" t="str">
        <f>IFERROR(Table1[[#This Row],[Project Number]]&amp;Table1[[#This Row],[Part Number]],"")</f>
        <v>AME25-039R104</v>
      </c>
      <c r="C169" s="22" t="s">
        <v>91</v>
      </c>
      <c r="D169" s="24" t="s">
        <v>342</v>
      </c>
      <c r="E169" s="25" t="s">
        <v>58</v>
      </c>
      <c r="F169" s="6">
        <f>INDEX(Proj_Reg!G:G,MATCH($C169,Proj_Reg!$B:$B,0),1)</f>
        <v>46113</v>
      </c>
      <c r="G169" s="6">
        <f>INDEX(Proj_Reg!H:H,MATCH($C169,Proj_Reg!$B:$B,0),1)</f>
        <v>46447</v>
      </c>
      <c r="H169" s="6" t="str">
        <f>IF(INDEX(Proj_Reg!C:C,MATCH($C169,Proj_Reg!$B:$B,0),1)=0,"",INDEX(Proj_Reg!C:C,MATCH($C169,Proj_Reg!$B:$B,0),1))</f>
        <v>Wafer Saw Dicing</v>
      </c>
      <c r="I169" s="6" t="str">
        <f>IF(INDEX(Proj_Reg!D:D,MATCH($C169,Proj_Reg!$B:$B,0),1)=0,"",INDEX(Proj_Reg!D:D,MATCH($C169,Proj_Reg!$B:$B,0),1))</f>
        <v>XCD</v>
      </c>
      <c r="J169" s="6" t="str">
        <f>INDEX(Proj_Reg!E:E,MATCH($C169,Proj_Reg!$B:$B,0),1)</f>
        <v>Thermal Release Tape 2</v>
      </c>
      <c r="K169" s="21">
        <v>1.7194975588760087E-2</v>
      </c>
      <c r="L169" s="21">
        <v>0</v>
      </c>
      <c r="M169" s="21">
        <v>0.02</v>
      </c>
      <c r="N169" s="21">
        <v>0</v>
      </c>
      <c r="O169" s="11">
        <f>SUM(Table1[[#This Row],[Labor
Saving]:[OH
Saving]])</f>
        <v>3.7194975588760087E-2</v>
      </c>
      <c r="Q169" s="40">
        <f t="shared" si="102"/>
        <v>0</v>
      </c>
      <c r="R169" s="40">
        <f t="shared" si="103"/>
        <v>0</v>
      </c>
      <c r="S169" s="40">
        <f t="shared" si="104"/>
        <v>0</v>
      </c>
      <c r="T169" s="40">
        <f t="shared" si="105"/>
        <v>6971.7</v>
      </c>
      <c r="U169" s="40">
        <f t="shared" si="106"/>
        <v>27109</v>
      </c>
      <c r="V169" s="40">
        <f t="shared" si="107"/>
        <v>27175</v>
      </c>
      <c r="W169" s="40">
        <f t="shared" si="108"/>
        <v>22019</v>
      </c>
      <c r="X169" s="40">
        <f t="shared" si="109"/>
        <v>8070</v>
      </c>
      <c r="Y169" s="40">
        <f t="shared" si="110"/>
        <v>9415</v>
      </c>
      <c r="Z169" s="40">
        <f t="shared" si="111"/>
        <v>10215</v>
      </c>
      <c r="AA169" s="40">
        <f t="shared" si="112"/>
        <v>6965</v>
      </c>
      <c r="AB169" s="40">
        <f t="shared" si="113"/>
        <v>6094</v>
      </c>
      <c r="AC169" s="37">
        <f>SUM(Table1[[#This Row],[Jan]:[Dec]])</f>
        <v>124033.7</v>
      </c>
      <c r="AD169" s="15">
        <f t="shared" si="122"/>
        <v>0</v>
      </c>
      <c r="AE169" s="15">
        <f t="shared" si="123"/>
        <v>0</v>
      </c>
      <c r="AF169" s="15">
        <f t="shared" si="124"/>
        <v>0</v>
      </c>
      <c r="AG169" s="15">
        <f t="shared" si="125"/>
        <v>259.31221131215869</v>
      </c>
      <c r="AH169" s="15">
        <f t="shared" si="126"/>
        <v>1008.3185932356972</v>
      </c>
      <c r="AI169" s="15">
        <f t="shared" si="127"/>
        <v>1010.7734616245554</v>
      </c>
      <c r="AJ169" s="15">
        <f t="shared" si="128"/>
        <v>818.99616748890833</v>
      </c>
      <c r="AK169" s="15">
        <f t="shared" si="129"/>
        <v>300.16345300129393</v>
      </c>
      <c r="AL169" s="15">
        <f t="shared" si="130"/>
        <v>350.19069516817621</v>
      </c>
      <c r="AM169" s="15">
        <f t="shared" si="131"/>
        <v>379.94667563918432</v>
      </c>
      <c r="AN169" s="15">
        <f t="shared" si="132"/>
        <v>259.06300497571402</v>
      </c>
      <c r="AO169" s="15">
        <f t="shared" si="133"/>
        <v>226.66618123790397</v>
      </c>
      <c r="AP169" s="10">
        <f t="shared" si="134"/>
        <v>0</v>
      </c>
      <c r="AQ169" s="10">
        <f t="shared" si="135"/>
        <v>2278.4042661724111</v>
      </c>
      <c r="AR169" s="10">
        <f t="shared" si="136"/>
        <v>1469.3503156583786</v>
      </c>
      <c r="AS169" s="10">
        <f t="shared" si="137"/>
        <v>865.67586185280231</v>
      </c>
      <c r="AT169" s="10" t="b">
        <f t="shared" si="138"/>
        <v>1</v>
      </c>
      <c r="AU169" s="10">
        <f t="shared" si="114"/>
        <v>2132.7564436835919</v>
      </c>
      <c r="AV169" s="10">
        <f t="shared" si="115"/>
        <v>0</v>
      </c>
      <c r="AW169" s="10">
        <f t="shared" si="116"/>
        <v>2480.674</v>
      </c>
      <c r="AX169" s="10">
        <f t="shared" si="117"/>
        <v>0</v>
      </c>
      <c r="AY169" s="10">
        <f t="shared" si="139"/>
        <v>4613.4304436835919</v>
      </c>
      <c r="AZ169" s="19">
        <f>IFERROR(IF($E169="REC",INDEX(A_Type_Volume!$B:$B,MATCH($D169,A_Type_Volume!$A:$A,0),1),IF($E169="VAM",INDEX(C_Type_Volume!$B:$B,MATCH($D169,C_Type_Volume!$A:$A,0),1),"X")),"")</f>
        <v>26877</v>
      </c>
      <c r="BA169" s="19">
        <f>IFERROR(IF($E169="REC",INDEX(A_Type_Volume!$C:$C,MATCH($D169,A_Type_Volume!$A:$A,0),1),IF($E169="VAM",INDEX(C_Type_Volume!$C:$C,MATCH($D169,C_Type_Volume!$A:$A,0),1),"X")),"")</f>
        <v>17075</v>
      </c>
      <c r="BB169" s="19">
        <f>IFERROR(IF($E169="REC",INDEX(A_Type_Volume!$D:$D,MATCH($D169,A_Type_Volume!$A:$A,0),1),IF($E169="VAM",INDEX(C_Type_Volume!$D:$D,MATCH($D169,C_Type_Volume!$A:$A,0),1),"X")),"")</f>
        <v>24933</v>
      </c>
      <c r="BC169" s="19">
        <f>IFERROR(IF($E169="REC",INDEX(A_Type_Volume!$E:$E,MATCH($D169,A_Type_Volume!$A:$A,0),1),IF($E169="VAM",INDEX(C_Type_Volume!$E:$E,MATCH($D169,C_Type_Volume!$A:$A,0),1),"X")),"")</f>
        <v>23239</v>
      </c>
      <c r="BD169" s="19">
        <f>IFERROR(IF($E169="REC",INDEX(A_Type_Volume!$F:$F,MATCH($D169,A_Type_Volume!$A:$A,0),1),IF($E169="VAM",INDEX(C_Type_Volume!$F:$F,MATCH($D169,C_Type_Volume!$A:$A,0),1),"X")),"")</f>
        <v>27109</v>
      </c>
      <c r="BE169" s="19">
        <f>IFERROR(IF($E169="REC",INDEX(A_Type_Volume!$G:$G,MATCH($D169,A_Type_Volume!$A:$A,0),1),IF($E169="VAM",INDEX(C_Type_Volume!$G:$G,MATCH($D169,C_Type_Volume!$A:$A,0),1),"X")),"")</f>
        <v>27175</v>
      </c>
      <c r="BF169" s="19">
        <f>IFERROR(IF($E169="REC",INDEX(A_Type_Volume!$H:$H,MATCH($D169,A_Type_Volume!$A:$A,0),1),IF($E169="VAM",INDEX(C_Type_Volume!$H:$H,MATCH($D169,C_Type_Volume!$A:$A,0),1),"X")),"")</f>
        <v>22019</v>
      </c>
      <c r="BG169" s="19">
        <f>IFERROR(IF($E169="REC",INDEX(A_Type_Volume!$I:$I,MATCH($D169,A_Type_Volume!$A:$A,0),1),IF($E169="VAM",INDEX(C_Type_Volume!$I:$I,MATCH($D169,C_Type_Volume!$A:$A,0),1),"X")),"")</f>
        <v>8070</v>
      </c>
      <c r="BH169" s="19">
        <f>IFERROR(IF($E169="REC",INDEX(A_Type_Volume!$J:$J,MATCH($D169,A_Type_Volume!$A:$A,0),1),IF($E169="VAM",INDEX(C_Type_Volume!$J:$J,MATCH($D169,C_Type_Volume!$A:$A,0),1),"X")),"")</f>
        <v>9415</v>
      </c>
      <c r="BI169" s="19">
        <f>IFERROR(IF($E169="REC",INDEX(A_Type_Volume!$K:$K,MATCH($D169,A_Type_Volume!$A:$A,0),1),IF($E169="VAM",INDEX(C_Type_Volume!$K:$K,MATCH($D169,C_Type_Volume!$A:$A,0),1),"X")),"")</f>
        <v>10215</v>
      </c>
      <c r="BJ169" s="19">
        <f>IFERROR(IF($E169="REC",INDEX(A_Type_Volume!$L:$L,MATCH($D169,A_Type_Volume!$A:$A,0),1),IF($E169="VAM",INDEX(C_Type_Volume!$L:$L,MATCH($D169,C_Type_Volume!$A:$A,0),1),"X")),"")</f>
        <v>6965</v>
      </c>
      <c r="BK169" s="19">
        <f>IFERROR(IF($E169="REC",INDEX(A_Type_Volume!M:M,MATCH($D169,A_Type_Volume!$A:$A,0),1),IF($E169="VAM",INDEX(C_Type_Volume!M:M,MATCH($D169,C_Type_Volume!$A:$A,0),1),"X")),"")</f>
        <v>6094</v>
      </c>
      <c r="BL169" s="38">
        <f>SUM(Table1[[#This Row],[Jan_AVF]:[Dec_AVF]])</f>
        <v>209186</v>
      </c>
      <c r="BM169" s="16">
        <f t="shared" si="140"/>
        <v>999.68935889910483</v>
      </c>
      <c r="BN169" s="16">
        <f t="shared" si="141"/>
        <v>635.10420817807847</v>
      </c>
      <c r="BO169" s="16">
        <f t="shared" si="142"/>
        <v>927.38232635455529</v>
      </c>
      <c r="BP169" s="16">
        <f t="shared" si="143"/>
        <v>864.37403770719573</v>
      </c>
      <c r="BQ169" s="16">
        <f t="shared" si="144"/>
        <v>1008.3185932356972</v>
      </c>
      <c r="BR169" s="16">
        <f t="shared" si="145"/>
        <v>1010.7734616245554</v>
      </c>
      <c r="BS169" s="16">
        <f t="shared" si="146"/>
        <v>818.99616748890833</v>
      </c>
      <c r="BT169" s="16">
        <f t="shared" si="147"/>
        <v>300.16345300129393</v>
      </c>
      <c r="BU169" s="16">
        <f t="shared" si="148"/>
        <v>350.19069516817621</v>
      </c>
      <c r="BV169" s="16">
        <f t="shared" si="149"/>
        <v>379.94667563918432</v>
      </c>
      <c r="BW169" s="16">
        <f t="shared" si="150"/>
        <v>259.06300497571402</v>
      </c>
      <c r="BX169" s="16">
        <f t="shared" si="151"/>
        <v>226.66618123790397</v>
      </c>
      <c r="BY169" s="10">
        <f t="shared" si="118"/>
        <v>2562.1758934317386</v>
      </c>
      <c r="BZ169" s="10">
        <f t="shared" si="119"/>
        <v>2883.4660925674484</v>
      </c>
      <c r="CA169" s="10">
        <f t="shared" si="120"/>
        <v>1469.3503156583786</v>
      </c>
      <c r="CB169" s="10">
        <f t="shared" si="121"/>
        <v>865.67586185280231</v>
      </c>
      <c r="CC169" s="10">
        <f>IFERROR(Table1[[#This Row],[Labor
Saving]]*Table1[[#This Row],[Annual Volume]],"")</f>
        <v>3596.9481635103675</v>
      </c>
      <c r="CD169" s="10">
        <f>IFERROR(Table1[[#This Row],[Annual Volume]]*Table1[[#This Row],[Yield
Saving]],"")</f>
        <v>0</v>
      </c>
      <c r="CE169" s="10">
        <f>IFERROR(Table1[[#This Row],[Annual Volume]]*Table1[[#This Row],[Material
Saving]],"")</f>
        <v>4183.72</v>
      </c>
      <c r="CF169" s="10">
        <f>IFERROR(Table1[[#This Row],[OH
Saving]]*Table1[[#This Row],[Annual Volume]],"")</f>
        <v>0</v>
      </c>
      <c r="CG169" s="10">
        <f>SUM(Table1[[#This Row],[Labor_ASV]:[OH_ASV]])</f>
        <v>7780.6681635103678</v>
      </c>
    </row>
    <row r="170" spans="1:85" x14ac:dyDescent="0.3">
      <c r="A170" t="str">
        <f>Table1[[#This Row],[Project Name]]&amp;Table1[[#This Row],[Part Number]]</f>
        <v>Thermal Release Tape 2R105</v>
      </c>
      <c r="B170" t="str">
        <f>IFERROR(Table1[[#This Row],[Project Number]]&amp;Table1[[#This Row],[Part Number]],"")</f>
        <v>AME25-039R105</v>
      </c>
      <c r="C170" s="22" t="s">
        <v>91</v>
      </c>
      <c r="D170" s="24" t="s">
        <v>343</v>
      </c>
      <c r="E170" s="25" t="s">
        <v>58</v>
      </c>
      <c r="F170" s="6">
        <f>INDEX(Proj_Reg!G:G,MATCH($C170,Proj_Reg!$B:$B,0),1)</f>
        <v>46113</v>
      </c>
      <c r="G170" s="6">
        <f>INDEX(Proj_Reg!H:H,MATCH($C170,Proj_Reg!$B:$B,0),1)</f>
        <v>46447</v>
      </c>
      <c r="H170" s="6" t="str">
        <f>IF(INDEX(Proj_Reg!C:C,MATCH($C170,Proj_Reg!$B:$B,0),1)=0,"",INDEX(Proj_Reg!C:C,MATCH($C170,Proj_Reg!$B:$B,0),1))</f>
        <v>Wafer Saw Dicing</v>
      </c>
      <c r="I170" s="6" t="str">
        <f>IF(INDEX(Proj_Reg!D:D,MATCH($C170,Proj_Reg!$B:$B,0),1)=0,"",INDEX(Proj_Reg!D:D,MATCH($C170,Proj_Reg!$B:$B,0),1))</f>
        <v>XCD</v>
      </c>
      <c r="J170" s="6" t="str">
        <f>INDEX(Proj_Reg!E:E,MATCH($C170,Proj_Reg!$B:$B,0),1)</f>
        <v>Thermal Release Tape 2</v>
      </c>
      <c r="K170" s="21">
        <v>1.7194975588760087E-2</v>
      </c>
      <c r="L170" s="21">
        <v>0</v>
      </c>
      <c r="M170" s="21">
        <v>0.02</v>
      </c>
      <c r="N170" s="21">
        <v>0</v>
      </c>
      <c r="O170" s="11">
        <f>SUM(Table1[[#This Row],[Labor
Saving]:[OH
Saving]])</f>
        <v>3.7194975588760087E-2</v>
      </c>
      <c r="Q170" s="40">
        <f t="shared" si="102"/>
        <v>0</v>
      </c>
      <c r="R170" s="40">
        <f t="shared" si="103"/>
        <v>0</v>
      </c>
      <c r="S170" s="40">
        <f t="shared" si="104"/>
        <v>0</v>
      </c>
      <c r="T170" s="40">
        <f t="shared" si="105"/>
        <v>6957.3</v>
      </c>
      <c r="U170" s="40">
        <f t="shared" si="106"/>
        <v>27052</v>
      </c>
      <c r="V170" s="40">
        <f t="shared" si="107"/>
        <v>27137</v>
      </c>
      <c r="W170" s="40">
        <f t="shared" si="108"/>
        <v>21999</v>
      </c>
      <c r="X170" s="40">
        <f t="shared" si="109"/>
        <v>8063</v>
      </c>
      <c r="Y170" s="40">
        <f t="shared" si="110"/>
        <v>9407</v>
      </c>
      <c r="Z170" s="40">
        <f t="shared" si="111"/>
        <v>10206</v>
      </c>
      <c r="AA170" s="40">
        <f t="shared" si="112"/>
        <v>6959</v>
      </c>
      <c r="AB170" s="40">
        <f t="shared" si="113"/>
        <v>6089</v>
      </c>
      <c r="AC170" s="37">
        <f>SUM(Table1[[#This Row],[Jan]:[Dec]])</f>
        <v>123869.3</v>
      </c>
      <c r="AD170" s="15">
        <f t="shared" si="122"/>
        <v>0</v>
      </c>
      <c r="AE170" s="15">
        <f t="shared" si="123"/>
        <v>0</v>
      </c>
      <c r="AF170" s="15">
        <f t="shared" si="124"/>
        <v>0</v>
      </c>
      <c r="AG170" s="15">
        <f t="shared" si="125"/>
        <v>258.77660366368059</v>
      </c>
      <c r="AH170" s="15">
        <f t="shared" si="126"/>
        <v>1006.1984796271379</v>
      </c>
      <c r="AI170" s="15">
        <f t="shared" si="127"/>
        <v>1009.3600525521825</v>
      </c>
      <c r="AJ170" s="15">
        <f t="shared" si="128"/>
        <v>818.25226797713322</v>
      </c>
      <c r="AK170" s="15">
        <f t="shared" si="129"/>
        <v>299.9030881721726</v>
      </c>
      <c r="AL170" s="15">
        <f t="shared" si="130"/>
        <v>349.89313536346611</v>
      </c>
      <c r="AM170" s="15">
        <f t="shared" si="131"/>
        <v>379.61192085888547</v>
      </c>
      <c r="AN170" s="15">
        <f t="shared" si="132"/>
        <v>258.83983512218146</v>
      </c>
      <c r="AO170" s="15">
        <f t="shared" si="133"/>
        <v>226.48020635996016</v>
      </c>
      <c r="AP170" s="10">
        <f t="shared" si="134"/>
        <v>0</v>
      </c>
      <c r="AQ170" s="10">
        <f t="shared" si="135"/>
        <v>2274.3351358430009</v>
      </c>
      <c r="AR170" s="10">
        <f t="shared" si="136"/>
        <v>1468.048491512772</v>
      </c>
      <c r="AS170" s="10">
        <f t="shared" si="137"/>
        <v>864.9319623410272</v>
      </c>
      <c r="AT170" s="10" t="b">
        <f t="shared" si="138"/>
        <v>1</v>
      </c>
      <c r="AU170" s="10">
        <f t="shared" si="114"/>
        <v>2129.9295896968001</v>
      </c>
      <c r="AV170" s="10">
        <f t="shared" si="115"/>
        <v>0</v>
      </c>
      <c r="AW170" s="10">
        <f t="shared" si="116"/>
        <v>2477.386</v>
      </c>
      <c r="AX170" s="10">
        <f t="shared" si="117"/>
        <v>0</v>
      </c>
      <c r="AY170" s="10">
        <f t="shared" si="139"/>
        <v>4607.3155896968001</v>
      </c>
      <c r="AZ170" s="19">
        <f>IFERROR(IF($E170="REC",INDEX(A_Type_Volume!$B:$B,MATCH($D170,A_Type_Volume!$A:$A,0),1),IF($E170="VAM",INDEX(C_Type_Volume!$B:$B,MATCH($D170,C_Type_Volume!$A:$A,0),1),"X")),"")</f>
        <v>27634</v>
      </c>
      <c r="BA170" s="19">
        <f>IFERROR(IF($E170="REC",INDEX(A_Type_Volume!$C:$C,MATCH($D170,A_Type_Volume!$A:$A,0),1),IF($E170="VAM",INDEX(C_Type_Volume!$C:$C,MATCH($D170,C_Type_Volume!$A:$A,0),1),"X")),"")</f>
        <v>26056</v>
      </c>
      <c r="BB170" s="19">
        <f>IFERROR(IF($E170="REC",INDEX(A_Type_Volume!$D:$D,MATCH($D170,A_Type_Volume!$A:$A,0),1),IF($E170="VAM",INDEX(C_Type_Volume!$D:$D,MATCH($D170,C_Type_Volume!$A:$A,0),1),"X")),"")</f>
        <v>25908</v>
      </c>
      <c r="BC170" s="19">
        <f>IFERROR(IF($E170="REC",INDEX(A_Type_Volume!$E:$E,MATCH($D170,A_Type_Volume!$A:$A,0),1),IF($E170="VAM",INDEX(C_Type_Volume!$E:$E,MATCH($D170,C_Type_Volume!$A:$A,0),1),"X")),"")</f>
        <v>23191</v>
      </c>
      <c r="BD170" s="19">
        <f>IFERROR(IF($E170="REC",INDEX(A_Type_Volume!$F:$F,MATCH($D170,A_Type_Volume!$A:$A,0),1),IF($E170="VAM",INDEX(C_Type_Volume!$F:$F,MATCH($D170,C_Type_Volume!$A:$A,0),1),"X")),"")</f>
        <v>27052</v>
      </c>
      <c r="BE170" s="19">
        <f>IFERROR(IF($E170="REC",INDEX(A_Type_Volume!$G:$G,MATCH($D170,A_Type_Volume!$A:$A,0),1),IF($E170="VAM",INDEX(C_Type_Volume!$G:$G,MATCH($D170,C_Type_Volume!$A:$A,0),1),"X")),"")</f>
        <v>27137</v>
      </c>
      <c r="BF170" s="19">
        <f>IFERROR(IF($E170="REC",INDEX(A_Type_Volume!$H:$H,MATCH($D170,A_Type_Volume!$A:$A,0),1),IF($E170="VAM",INDEX(C_Type_Volume!$H:$H,MATCH($D170,C_Type_Volume!$A:$A,0),1),"X")),"")</f>
        <v>21999</v>
      </c>
      <c r="BG170" s="19">
        <f>IFERROR(IF($E170="REC",INDEX(A_Type_Volume!$I:$I,MATCH($D170,A_Type_Volume!$A:$A,0),1),IF($E170="VAM",INDEX(C_Type_Volume!$I:$I,MATCH($D170,C_Type_Volume!$A:$A,0),1),"X")),"")</f>
        <v>8063</v>
      </c>
      <c r="BH170" s="19">
        <f>IFERROR(IF($E170="REC",INDEX(A_Type_Volume!$J:$J,MATCH($D170,A_Type_Volume!$A:$A,0),1),IF($E170="VAM",INDEX(C_Type_Volume!$J:$J,MATCH($D170,C_Type_Volume!$A:$A,0),1),"X")),"")</f>
        <v>9407</v>
      </c>
      <c r="BI170" s="19">
        <f>IFERROR(IF($E170="REC",INDEX(A_Type_Volume!$K:$K,MATCH($D170,A_Type_Volume!$A:$A,0),1),IF($E170="VAM",INDEX(C_Type_Volume!$K:$K,MATCH($D170,C_Type_Volume!$A:$A,0),1),"X")),"")</f>
        <v>10206</v>
      </c>
      <c r="BJ170" s="19">
        <f>IFERROR(IF($E170="REC",INDEX(A_Type_Volume!$L:$L,MATCH($D170,A_Type_Volume!$A:$A,0),1),IF($E170="VAM",INDEX(C_Type_Volume!$L:$L,MATCH($D170,C_Type_Volume!$A:$A,0),1),"X")),"")</f>
        <v>6959</v>
      </c>
      <c r="BK170" s="19">
        <f>IFERROR(IF($E170="REC",INDEX(A_Type_Volume!M:M,MATCH($D170,A_Type_Volume!$A:$A,0),1),IF($E170="VAM",INDEX(C_Type_Volume!M:M,MATCH($D170,C_Type_Volume!$A:$A,0),1),"X")),"")</f>
        <v>6089</v>
      </c>
      <c r="BL170" s="38">
        <f>SUM(Table1[[#This Row],[Jan_AVF]:[Dec_AVF]])</f>
        <v>219701</v>
      </c>
      <c r="BM170" s="16">
        <f t="shared" si="140"/>
        <v>1027.8459554197962</v>
      </c>
      <c r="BN170" s="16">
        <f t="shared" si="141"/>
        <v>969.15228394073279</v>
      </c>
      <c r="BO170" s="16">
        <f t="shared" si="142"/>
        <v>963.64742755359634</v>
      </c>
      <c r="BP170" s="16">
        <f t="shared" si="143"/>
        <v>862.58867887893518</v>
      </c>
      <c r="BQ170" s="16">
        <f t="shared" si="144"/>
        <v>1006.1984796271379</v>
      </c>
      <c r="BR170" s="16">
        <f t="shared" si="145"/>
        <v>1009.3600525521825</v>
      </c>
      <c r="BS170" s="16">
        <f t="shared" si="146"/>
        <v>818.25226797713322</v>
      </c>
      <c r="BT170" s="16">
        <f t="shared" si="147"/>
        <v>299.9030881721726</v>
      </c>
      <c r="BU170" s="16">
        <f t="shared" si="148"/>
        <v>349.89313536346611</v>
      </c>
      <c r="BV170" s="16">
        <f t="shared" si="149"/>
        <v>379.61192085888547</v>
      </c>
      <c r="BW170" s="16">
        <f t="shared" si="150"/>
        <v>258.83983512218146</v>
      </c>
      <c r="BX170" s="16">
        <f t="shared" si="151"/>
        <v>226.48020635996016</v>
      </c>
      <c r="BY170" s="10">
        <f t="shared" si="118"/>
        <v>2960.6456669141253</v>
      </c>
      <c r="BZ170" s="10">
        <f t="shared" si="119"/>
        <v>2878.1472110582554</v>
      </c>
      <c r="CA170" s="10">
        <f t="shared" si="120"/>
        <v>1468.048491512772</v>
      </c>
      <c r="CB170" s="10">
        <f t="shared" si="121"/>
        <v>864.9319623410272</v>
      </c>
      <c r="CC170" s="10">
        <f>IFERROR(Table1[[#This Row],[Labor
Saving]]*Table1[[#This Row],[Annual Volume]],"")</f>
        <v>3777.7533318261799</v>
      </c>
      <c r="CD170" s="10">
        <f>IFERROR(Table1[[#This Row],[Annual Volume]]*Table1[[#This Row],[Yield
Saving]],"")</f>
        <v>0</v>
      </c>
      <c r="CE170" s="10">
        <f>IFERROR(Table1[[#This Row],[Annual Volume]]*Table1[[#This Row],[Material
Saving]],"")</f>
        <v>4394.0200000000004</v>
      </c>
      <c r="CF170" s="10">
        <f>IFERROR(Table1[[#This Row],[OH
Saving]]*Table1[[#This Row],[Annual Volume]],"")</f>
        <v>0</v>
      </c>
      <c r="CG170" s="10">
        <f>SUM(Table1[[#This Row],[Labor_ASV]:[OH_ASV]])</f>
        <v>8171.7733318261799</v>
      </c>
    </row>
    <row r="171" spans="1:85" x14ac:dyDescent="0.3">
      <c r="A171" t="str">
        <f>Table1[[#This Row],[Project Name]]&amp;Table1[[#This Row],[Part Number]]</f>
        <v>Thermal Release Tape 2R118</v>
      </c>
      <c r="B171" t="str">
        <f>IFERROR(Table1[[#This Row],[Project Number]]&amp;Table1[[#This Row],[Part Number]],"")</f>
        <v>AME25-039R118</v>
      </c>
      <c r="C171" s="22" t="s">
        <v>91</v>
      </c>
      <c r="D171" s="24" t="s">
        <v>356</v>
      </c>
      <c r="E171" s="25" t="s">
        <v>58</v>
      </c>
      <c r="F171" s="6">
        <f>INDEX(Proj_Reg!G:G,MATCH($C171,Proj_Reg!$B:$B,0),1)</f>
        <v>46113</v>
      </c>
      <c r="G171" s="6">
        <f>INDEX(Proj_Reg!H:H,MATCH($C171,Proj_Reg!$B:$B,0),1)</f>
        <v>46447</v>
      </c>
      <c r="H171" s="6" t="str">
        <f>IF(INDEX(Proj_Reg!C:C,MATCH($C171,Proj_Reg!$B:$B,0),1)=0,"",INDEX(Proj_Reg!C:C,MATCH($C171,Proj_Reg!$B:$B,0),1))</f>
        <v>Wafer Saw Dicing</v>
      </c>
      <c r="I171" s="6" t="str">
        <f>IF(INDEX(Proj_Reg!D:D,MATCH($C171,Proj_Reg!$B:$B,0),1)=0,"",INDEX(Proj_Reg!D:D,MATCH($C171,Proj_Reg!$B:$B,0),1))</f>
        <v>XCD</v>
      </c>
      <c r="J171" s="6" t="str">
        <f>INDEX(Proj_Reg!E:E,MATCH($C171,Proj_Reg!$B:$B,0),1)</f>
        <v>Thermal Release Tape 2</v>
      </c>
      <c r="K171" s="21">
        <v>1.7194975588760087E-2</v>
      </c>
      <c r="L171" s="21">
        <v>0</v>
      </c>
      <c r="M171" s="21">
        <v>0.02</v>
      </c>
      <c r="N171" s="21">
        <v>0</v>
      </c>
      <c r="O171" s="11">
        <f>SUM(Table1[[#This Row],[Labor
Saving]:[OH
Saving]])</f>
        <v>3.7194975588760087E-2</v>
      </c>
      <c r="Q171" s="40">
        <f t="shared" si="102"/>
        <v>0</v>
      </c>
      <c r="R171" s="40">
        <f t="shared" si="103"/>
        <v>0</v>
      </c>
      <c r="S171" s="40">
        <f t="shared" si="104"/>
        <v>0</v>
      </c>
      <c r="T171" s="40">
        <f t="shared" si="105"/>
        <v>237.6</v>
      </c>
      <c r="U171" s="40">
        <f t="shared" si="106"/>
        <v>963</v>
      </c>
      <c r="V171" s="40">
        <f t="shared" si="107"/>
        <v>1006</v>
      </c>
      <c r="W171" s="40">
        <f t="shared" si="108"/>
        <v>883</v>
      </c>
      <c r="X171" s="40">
        <f t="shared" si="109"/>
        <v>324</v>
      </c>
      <c r="Y171" s="40">
        <f t="shared" si="110"/>
        <v>378</v>
      </c>
      <c r="Z171" s="40">
        <f t="shared" si="111"/>
        <v>410</v>
      </c>
      <c r="AA171" s="40">
        <f t="shared" si="112"/>
        <v>279</v>
      </c>
      <c r="AB171" s="40">
        <f t="shared" si="113"/>
        <v>244</v>
      </c>
      <c r="AC171" s="37">
        <f>SUM(Table1[[#This Row],[Jan]:[Dec]])</f>
        <v>4724.6000000000004</v>
      </c>
      <c r="AD171" s="15">
        <f t="shared" si="122"/>
        <v>0</v>
      </c>
      <c r="AE171" s="15">
        <f t="shared" si="123"/>
        <v>0</v>
      </c>
      <c r="AF171" s="15">
        <f t="shared" si="124"/>
        <v>0</v>
      </c>
      <c r="AG171" s="15">
        <f t="shared" si="125"/>
        <v>8.8375261998893961</v>
      </c>
      <c r="AH171" s="15">
        <f t="shared" si="126"/>
        <v>35.818761491975962</v>
      </c>
      <c r="AI171" s="15">
        <f t="shared" si="127"/>
        <v>37.418145442292648</v>
      </c>
      <c r="AJ171" s="15">
        <f t="shared" si="128"/>
        <v>32.843163444875159</v>
      </c>
      <c r="AK171" s="15">
        <f t="shared" si="129"/>
        <v>12.051172090758268</v>
      </c>
      <c r="AL171" s="15">
        <f t="shared" si="130"/>
        <v>14.059700772551313</v>
      </c>
      <c r="AM171" s="15">
        <f t="shared" si="131"/>
        <v>15.249939991391637</v>
      </c>
      <c r="AN171" s="15">
        <f t="shared" si="132"/>
        <v>10.377398189264065</v>
      </c>
      <c r="AO171" s="15">
        <f t="shared" si="133"/>
        <v>9.0755740436574612</v>
      </c>
      <c r="AP171" s="10">
        <f t="shared" si="134"/>
        <v>0</v>
      </c>
      <c r="AQ171" s="10">
        <f t="shared" si="135"/>
        <v>82.074433134157999</v>
      </c>
      <c r="AR171" s="10">
        <f t="shared" si="136"/>
        <v>58.95403630818474</v>
      </c>
      <c r="AS171" s="10">
        <f t="shared" si="137"/>
        <v>34.702912224313167</v>
      </c>
      <c r="AT171" s="10" t="b">
        <f t="shared" si="138"/>
        <v>1</v>
      </c>
      <c r="AU171" s="10">
        <f t="shared" si="114"/>
        <v>81.239381666655916</v>
      </c>
      <c r="AV171" s="10">
        <f t="shared" si="115"/>
        <v>0</v>
      </c>
      <c r="AW171" s="10">
        <f t="shared" si="116"/>
        <v>94.492000000000004</v>
      </c>
      <c r="AX171" s="10">
        <f t="shared" si="117"/>
        <v>0</v>
      </c>
      <c r="AY171" s="10">
        <f t="shared" si="139"/>
        <v>175.73138166665592</v>
      </c>
      <c r="AZ171" s="19">
        <f>IFERROR(IF($E171="REC",INDEX(A_Type_Volume!$B:$B,MATCH($D171,A_Type_Volume!$A:$A,0),1),IF($E171="VAM",INDEX(C_Type_Volume!$B:$B,MATCH($D171,C_Type_Volume!$A:$A,0),1),"X")),"")</f>
        <v>1227</v>
      </c>
      <c r="BA171" s="19">
        <f>IFERROR(IF($E171="REC",INDEX(A_Type_Volume!$C:$C,MATCH($D171,A_Type_Volume!$A:$A,0),1),IF($E171="VAM",INDEX(C_Type_Volume!$C:$C,MATCH($D171,C_Type_Volume!$A:$A,0),1),"X")),"")</f>
        <v>0</v>
      </c>
      <c r="BB171" s="19">
        <f>IFERROR(IF($E171="REC",INDEX(A_Type_Volume!$D:$D,MATCH($D171,A_Type_Volume!$A:$A,0),1),IF($E171="VAM",INDEX(C_Type_Volume!$D:$D,MATCH($D171,C_Type_Volume!$A:$A,0),1),"X")),"")</f>
        <v>885</v>
      </c>
      <c r="BC171" s="19">
        <f>IFERROR(IF($E171="REC",INDEX(A_Type_Volume!$E:$E,MATCH($D171,A_Type_Volume!$A:$A,0),1),IF($E171="VAM",INDEX(C_Type_Volume!$E:$E,MATCH($D171,C_Type_Volume!$A:$A,0),1),"X")),"")</f>
        <v>792</v>
      </c>
      <c r="BD171" s="19">
        <f>IFERROR(IF($E171="REC",INDEX(A_Type_Volume!$F:$F,MATCH($D171,A_Type_Volume!$A:$A,0),1),IF($E171="VAM",INDEX(C_Type_Volume!$F:$F,MATCH($D171,C_Type_Volume!$A:$A,0),1),"X")),"")</f>
        <v>963</v>
      </c>
      <c r="BE171" s="19">
        <f>IFERROR(IF($E171="REC",INDEX(A_Type_Volume!$G:$G,MATCH($D171,A_Type_Volume!$A:$A,0),1),IF($E171="VAM",INDEX(C_Type_Volume!$G:$G,MATCH($D171,C_Type_Volume!$A:$A,0),1),"X")),"")</f>
        <v>1006</v>
      </c>
      <c r="BF171" s="19">
        <f>IFERROR(IF($E171="REC",INDEX(A_Type_Volume!$H:$H,MATCH($D171,A_Type_Volume!$A:$A,0),1),IF($E171="VAM",INDEX(C_Type_Volume!$H:$H,MATCH($D171,C_Type_Volume!$A:$A,0),1),"X")),"")</f>
        <v>883</v>
      </c>
      <c r="BG171" s="19">
        <f>IFERROR(IF($E171="REC",INDEX(A_Type_Volume!$I:$I,MATCH($D171,A_Type_Volume!$A:$A,0),1),IF($E171="VAM",INDEX(C_Type_Volume!$I:$I,MATCH($D171,C_Type_Volume!$A:$A,0),1),"X")),"")</f>
        <v>324</v>
      </c>
      <c r="BH171" s="19">
        <f>IFERROR(IF($E171="REC",INDEX(A_Type_Volume!$J:$J,MATCH($D171,A_Type_Volume!$A:$A,0),1),IF($E171="VAM",INDEX(C_Type_Volume!$J:$J,MATCH($D171,C_Type_Volume!$A:$A,0),1),"X")),"")</f>
        <v>378</v>
      </c>
      <c r="BI171" s="19">
        <f>IFERROR(IF($E171="REC",INDEX(A_Type_Volume!$K:$K,MATCH($D171,A_Type_Volume!$A:$A,0),1),IF($E171="VAM",INDEX(C_Type_Volume!$K:$K,MATCH($D171,C_Type_Volume!$A:$A,0),1),"X")),"")</f>
        <v>410</v>
      </c>
      <c r="BJ171" s="19">
        <f>IFERROR(IF($E171="REC",INDEX(A_Type_Volume!$L:$L,MATCH($D171,A_Type_Volume!$A:$A,0),1),IF($E171="VAM",INDEX(C_Type_Volume!$L:$L,MATCH($D171,C_Type_Volume!$A:$A,0),1),"X")),"")</f>
        <v>279</v>
      </c>
      <c r="BK171" s="19">
        <f>IFERROR(IF($E171="REC",INDEX(A_Type_Volume!M:M,MATCH($D171,A_Type_Volume!$A:$A,0),1),IF($E171="VAM",INDEX(C_Type_Volume!M:M,MATCH($D171,C_Type_Volume!$A:$A,0),1),"X")),"")</f>
        <v>244</v>
      </c>
      <c r="BL171" s="38">
        <f>SUM(Table1[[#This Row],[Jan_AVF]:[Dec_AVF]])</f>
        <v>7391</v>
      </c>
      <c r="BM171" s="16">
        <f t="shared" si="140"/>
        <v>45.638235047408628</v>
      </c>
      <c r="BN171" s="16">
        <f t="shared" si="141"/>
        <v>0</v>
      </c>
      <c r="BO171" s="16">
        <f t="shared" si="142"/>
        <v>32.917553396052675</v>
      </c>
      <c r="BP171" s="16">
        <f t="shared" si="143"/>
        <v>29.458420666297989</v>
      </c>
      <c r="BQ171" s="16">
        <f t="shared" si="144"/>
        <v>35.818761491975962</v>
      </c>
      <c r="BR171" s="16">
        <f t="shared" si="145"/>
        <v>37.418145442292648</v>
      </c>
      <c r="BS171" s="16">
        <f t="shared" si="146"/>
        <v>32.843163444875159</v>
      </c>
      <c r="BT171" s="16">
        <f t="shared" si="147"/>
        <v>12.051172090758268</v>
      </c>
      <c r="BU171" s="16">
        <f t="shared" si="148"/>
        <v>14.059700772551313</v>
      </c>
      <c r="BV171" s="16">
        <f t="shared" si="149"/>
        <v>15.249939991391637</v>
      </c>
      <c r="BW171" s="16">
        <f t="shared" si="150"/>
        <v>10.377398189264065</v>
      </c>
      <c r="BX171" s="16">
        <f t="shared" si="151"/>
        <v>9.0755740436574612</v>
      </c>
      <c r="BY171" s="10">
        <f t="shared" si="118"/>
        <v>78.555788443461296</v>
      </c>
      <c r="BZ171" s="10">
        <f t="shared" si="119"/>
        <v>102.6953276005666</v>
      </c>
      <c r="CA171" s="10">
        <f t="shared" si="120"/>
        <v>58.95403630818474</v>
      </c>
      <c r="CB171" s="10">
        <f t="shared" si="121"/>
        <v>34.702912224313167</v>
      </c>
      <c r="CC171" s="10">
        <f>IFERROR(Table1[[#This Row],[Labor
Saving]]*Table1[[#This Row],[Annual Volume]],"")</f>
        <v>127.08806457652581</v>
      </c>
      <c r="CD171" s="10">
        <f>IFERROR(Table1[[#This Row],[Annual Volume]]*Table1[[#This Row],[Yield
Saving]],"")</f>
        <v>0</v>
      </c>
      <c r="CE171" s="10">
        <f>IFERROR(Table1[[#This Row],[Annual Volume]]*Table1[[#This Row],[Material
Saving]],"")</f>
        <v>147.82</v>
      </c>
      <c r="CF171" s="10">
        <f>IFERROR(Table1[[#This Row],[OH
Saving]]*Table1[[#This Row],[Annual Volume]],"")</f>
        <v>0</v>
      </c>
      <c r="CG171" s="10">
        <f>SUM(Table1[[#This Row],[Labor_ASV]:[OH_ASV]])</f>
        <v>274.90806457652582</v>
      </c>
    </row>
    <row r="172" spans="1:85" x14ac:dyDescent="0.3">
      <c r="A172" t="str">
        <f>Table1[[#This Row],[Project Name]]&amp;Table1[[#This Row],[Part Number]]</f>
        <v>Thermal Release Tape 2R119</v>
      </c>
      <c r="B172" t="str">
        <f>IFERROR(Table1[[#This Row],[Project Number]]&amp;Table1[[#This Row],[Part Number]],"")</f>
        <v>AME25-039R119</v>
      </c>
      <c r="C172" s="22" t="s">
        <v>91</v>
      </c>
      <c r="D172" s="24" t="s">
        <v>357</v>
      </c>
      <c r="E172" s="25" t="s">
        <v>58</v>
      </c>
      <c r="F172" s="6">
        <f>INDEX(Proj_Reg!G:G,MATCH($C172,Proj_Reg!$B:$B,0),1)</f>
        <v>46113</v>
      </c>
      <c r="G172" s="6">
        <f>INDEX(Proj_Reg!H:H,MATCH($C172,Proj_Reg!$B:$B,0),1)</f>
        <v>46447</v>
      </c>
      <c r="H172" s="6" t="str">
        <f>IF(INDEX(Proj_Reg!C:C,MATCH($C172,Proj_Reg!$B:$B,0),1)=0,"",INDEX(Proj_Reg!C:C,MATCH($C172,Proj_Reg!$B:$B,0),1))</f>
        <v>Wafer Saw Dicing</v>
      </c>
      <c r="I172" s="6" t="str">
        <f>IF(INDEX(Proj_Reg!D:D,MATCH($C172,Proj_Reg!$B:$B,0),1)=0,"",INDEX(Proj_Reg!D:D,MATCH($C172,Proj_Reg!$B:$B,0),1))</f>
        <v>XCD</v>
      </c>
      <c r="J172" s="6" t="str">
        <f>INDEX(Proj_Reg!E:E,MATCH($C172,Proj_Reg!$B:$B,0),1)</f>
        <v>Thermal Release Tape 2</v>
      </c>
      <c r="K172" s="21">
        <v>1.7194975588760087E-2</v>
      </c>
      <c r="L172" s="21">
        <v>0</v>
      </c>
      <c r="M172" s="21">
        <v>0.02</v>
      </c>
      <c r="N172" s="21">
        <v>0</v>
      </c>
      <c r="O172" s="11">
        <f>SUM(Table1[[#This Row],[Labor
Saving]:[OH
Saving]])</f>
        <v>3.7194975588760087E-2</v>
      </c>
      <c r="Q172" s="40">
        <f t="shared" si="102"/>
        <v>0</v>
      </c>
      <c r="R172" s="40">
        <f t="shared" si="103"/>
        <v>0</v>
      </c>
      <c r="S172" s="40">
        <f t="shared" si="104"/>
        <v>0</v>
      </c>
      <c r="T172" s="40">
        <f t="shared" si="105"/>
        <v>189</v>
      </c>
      <c r="U172" s="40">
        <f t="shared" si="106"/>
        <v>944</v>
      </c>
      <c r="V172" s="40">
        <f t="shared" si="107"/>
        <v>1006</v>
      </c>
      <c r="W172" s="40">
        <f t="shared" si="108"/>
        <v>863</v>
      </c>
      <c r="X172" s="40">
        <f t="shared" si="109"/>
        <v>316</v>
      </c>
      <c r="Y172" s="40">
        <f t="shared" si="110"/>
        <v>369</v>
      </c>
      <c r="Z172" s="40">
        <f t="shared" si="111"/>
        <v>401</v>
      </c>
      <c r="AA172" s="40">
        <f t="shared" si="112"/>
        <v>273</v>
      </c>
      <c r="AB172" s="40">
        <f t="shared" si="113"/>
        <v>239</v>
      </c>
      <c r="AC172" s="37">
        <f>SUM(Table1[[#This Row],[Jan]:[Dec]])</f>
        <v>4600</v>
      </c>
      <c r="AD172" s="15">
        <f t="shared" si="122"/>
        <v>0</v>
      </c>
      <c r="AE172" s="15">
        <f t="shared" si="123"/>
        <v>0</v>
      </c>
      <c r="AF172" s="15">
        <f t="shared" si="124"/>
        <v>0</v>
      </c>
      <c r="AG172" s="15">
        <f t="shared" si="125"/>
        <v>7.0298503862756565</v>
      </c>
      <c r="AH172" s="15">
        <f t="shared" si="126"/>
        <v>35.112056955789519</v>
      </c>
      <c r="AI172" s="15">
        <f t="shared" si="127"/>
        <v>37.418145442292648</v>
      </c>
      <c r="AJ172" s="15">
        <f t="shared" si="128"/>
        <v>32.099263933099955</v>
      </c>
      <c r="AK172" s="15">
        <f t="shared" si="129"/>
        <v>11.753612286048188</v>
      </c>
      <c r="AL172" s="15">
        <f t="shared" si="130"/>
        <v>13.724945992252472</v>
      </c>
      <c r="AM172" s="15">
        <f t="shared" si="131"/>
        <v>14.915185211092796</v>
      </c>
      <c r="AN172" s="15">
        <f t="shared" si="132"/>
        <v>10.154228335731505</v>
      </c>
      <c r="AO172" s="15">
        <f t="shared" si="133"/>
        <v>8.8895991657136602</v>
      </c>
      <c r="AP172" s="10">
        <f t="shared" si="134"/>
        <v>0</v>
      </c>
      <c r="AQ172" s="10">
        <f t="shared" si="135"/>
        <v>79.560052784357822</v>
      </c>
      <c r="AR172" s="10">
        <f t="shared" si="136"/>
        <v>57.577822211400616</v>
      </c>
      <c r="AS172" s="10">
        <f t="shared" si="137"/>
        <v>33.959012712537962</v>
      </c>
      <c r="AT172" s="10" t="b">
        <f t="shared" si="138"/>
        <v>1</v>
      </c>
      <c r="AU172" s="10">
        <f t="shared" si="114"/>
        <v>79.096887708296407</v>
      </c>
      <c r="AV172" s="10">
        <f t="shared" si="115"/>
        <v>0</v>
      </c>
      <c r="AW172" s="10">
        <f t="shared" si="116"/>
        <v>92</v>
      </c>
      <c r="AX172" s="10">
        <f t="shared" si="117"/>
        <v>0</v>
      </c>
      <c r="AY172" s="10">
        <f t="shared" si="139"/>
        <v>171.09688770829641</v>
      </c>
      <c r="AZ172" s="19">
        <f>IFERROR(IF($E172="REC",INDEX(A_Type_Volume!$B:$B,MATCH($D172,A_Type_Volume!$A:$A,0),1),IF($E172="VAM",INDEX(C_Type_Volume!$B:$B,MATCH($D172,C_Type_Volume!$A:$A,0),1),"X")),"")</f>
        <v>0</v>
      </c>
      <c r="BA172" s="19">
        <f>IFERROR(IF($E172="REC",INDEX(A_Type_Volume!$C:$C,MATCH($D172,A_Type_Volume!$A:$A,0),1),IF($E172="VAM",INDEX(C_Type_Volume!$C:$C,MATCH($D172,C_Type_Volume!$A:$A,0),1),"X")),"")</f>
        <v>0</v>
      </c>
      <c r="BB172" s="19">
        <f>IFERROR(IF($E172="REC",INDEX(A_Type_Volume!$D:$D,MATCH($D172,A_Type_Volume!$A:$A,0),1),IF($E172="VAM",INDEX(C_Type_Volume!$D:$D,MATCH($D172,C_Type_Volume!$A:$A,0),1),"X")),"")</f>
        <v>704</v>
      </c>
      <c r="BC172" s="19">
        <f>IFERROR(IF($E172="REC",INDEX(A_Type_Volume!$E:$E,MATCH($D172,A_Type_Volume!$A:$A,0),1),IF($E172="VAM",INDEX(C_Type_Volume!$E:$E,MATCH($D172,C_Type_Volume!$A:$A,0),1),"X")),"")</f>
        <v>630</v>
      </c>
      <c r="BD172" s="19">
        <f>IFERROR(IF($E172="REC",INDEX(A_Type_Volume!$F:$F,MATCH($D172,A_Type_Volume!$A:$A,0),1),IF($E172="VAM",INDEX(C_Type_Volume!$F:$F,MATCH($D172,C_Type_Volume!$A:$A,0),1),"X")),"")</f>
        <v>944</v>
      </c>
      <c r="BE172" s="19">
        <f>IFERROR(IF($E172="REC",INDEX(A_Type_Volume!$G:$G,MATCH($D172,A_Type_Volume!$A:$A,0),1),IF($E172="VAM",INDEX(C_Type_Volume!$G:$G,MATCH($D172,C_Type_Volume!$A:$A,0),1),"X")),"")</f>
        <v>1006</v>
      </c>
      <c r="BF172" s="19">
        <f>IFERROR(IF($E172="REC",INDEX(A_Type_Volume!$H:$H,MATCH($D172,A_Type_Volume!$A:$A,0),1),IF($E172="VAM",INDEX(C_Type_Volume!$H:$H,MATCH($D172,C_Type_Volume!$A:$A,0),1),"X")),"")</f>
        <v>863</v>
      </c>
      <c r="BG172" s="19">
        <f>IFERROR(IF($E172="REC",INDEX(A_Type_Volume!$I:$I,MATCH($D172,A_Type_Volume!$A:$A,0),1),IF($E172="VAM",INDEX(C_Type_Volume!$I:$I,MATCH($D172,C_Type_Volume!$A:$A,0),1),"X")),"")</f>
        <v>316</v>
      </c>
      <c r="BH172" s="19">
        <f>IFERROR(IF($E172="REC",INDEX(A_Type_Volume!$J:$J,MATCH($D172,A_Type_Volume!$A:$A,0),1),IF($E172="VAM",INDEX(C_Type_Volume!$J:$J,MATCH($D172,C_Type_Volume!$A:$A,0),1),"X")),"")</f>
        <v>369</v>
      </c>
      <c r="BI172" s="19">
        <f>IFERROR(IF($E172="REC",INDEX(A_Type_Volume!$K:$K,MATCH($D172,A_Type_Volume!$A:$A,0),1),IF($E172="VAM",INDEX(C_Type_Volume!$K:$K,MATCH($D172,C_Type_Volume!$A:$A,0),1),"X")),"")</f>
        <v>401</v>
      </c>
      <c r="BJ172" s="19">
        <f>IFERROR(IF($E172="REC",INDEX(A_Type_Volume!$L:$L,MATCH($D172,A_Type_Volume!$A:$A,0),1),IF($E172="VAM",INDEX(C_Type_Volume!$L:$L,MATCH($D172,C_Type_Volume!$A:$A,0),1),"X")),"")</f>
        <v>273</v>
      </c>
      <c r="BK172" s="19">
        <f>IFERROR(IF($E172="REC",INDEX(A_Type_Volume!M:M,MATCH($D172,A_Type_Volume!$A:$A,0),1),IF($E172="VAM",INDEX(C_Type_Volume!M:M,MATCH($D172,C_Type_Volume!$A:$A,0),1),"X")),"")</f>
        <v>239</v>
      </c>
      <c r="BL172" s="38">
        <f>SUM(Table1[[#This Row],[Jan_AVF]:[Dec_AVF]])</f>
        <v>5745</v>
      </c>
      <c r="BM172" s="16">
        <f t="shared" si="140"/>
        <v>0</v>
      </c>
      <c r="BN172" s="16">
        <f t="shared" si="141"/>
        <v>0</v>
      </c>
      <c r="BO172" s="16">
        <f t="shared" si="142"/>
        <v>26.185262814487103</v>
      </c>
      <c r="BP172" s="16">
        <f t="shared" si="143"/>
        <v>23.432834620918854</v>
      </c>
      <c r="BQ172" s="16">
        <f t="shared" si="144"/>
        <v>35.112056955789519</v>
      </c>
      <c r="BR172" s="16">
        <f t="shared" si="145"/>
        <v>37.418145442292648</v>
      </c>
      <c r="BS172" s="16">
        <f t="shared" si="146"/>
        <v>32.099263933099955</v>
      </c>
      <c r="BT172" s="16">
        <f t="shared" si="147"/>
        <v>11.753612286048188</v>
      </c>
      <c r="BU172" s="16">
        <f t="shared" si="148"/>
        <v>13.724945992252472</v>
      </c>
      <c r="BV172" s="16">
        <f t="shared" si="149"/>
        <v>14.915185211092796</v>
      </c>
      <c r="BW172" s="16">
        <f t="shared" si="150"/>
        <v>10.154228335731505</v>
      </c>
      <c r="BX172" s="16">
        <f t="shared" si="151"/>
        <v>8.8895991657136602</v>
      </c>
      <c r="BY172" s="10">
        <f t="shared" si="118"/>
        <v>26.185262814487103</v>
      </c>
      <c r="BZ172" s="10">
        <f t="shared" si="119"/>
        <v>95.963037019001021</v>
      </c>
      <c r="CA172" s="10">
        <f t="shared" si="120"/>
        <v>57.577822211400616</v>
      </c>
      <c r="CB172" s="10">
        <f t="shared" si="121"/>
        <v>33.959012712537962</v>
      </c>
      <c r="CC172" s="10">
        <f>IFERROR(Table1[[#This Row],[Labor
Saving]]*Table1[[#This Row],[Annual Volume]],"")</f>
        <v>98.785134757426704</v>
      </c>
      <c r="CD172" s="10">
        <f>IFERROR(Table1[[#This Row],[Annual Volume]]*Table1[[#This Row],[Yield
Saving]],"")</f>
        <v>0</v>
      </c>
      <c r="CE172" s="10">
        <f>IFERROR(Table1[[#This Row],[Annual Volume]]*Table1[[#This Row],[Material
Saving]],"")</f>
        <v>114.9</v>
      </c>
      <c r="CF172" s="10">
        <f>IFERROR(Table1[[#This Row],[OH
Saving]]*Table1[[#This Row],[Annual Volume]],"")</f>
        <v>0</v>
      </c>
      <c r="CG172" s="10">
        <f>SUM(Table1[[#This Row],[Labor_ASV]:[OH_ASV]])</f>
        <v>213.68513475742671</v>
      </c>
    </row>
    <row r="173" spans="1:85" x14ac:dyDescent="0.3">
      <c r="A173" t="str">
        <f>Table1[[#This Row],[Project Name]]&amp;Table1[[#This Row],[Part Number]]</f>
        <v>Thermal Release Tape 2R120</v>
      </c>
      <c r="B173" t="str">
        <f>IFERROR(Table1[[#This Row],[Project Number]]&amp;Table1[[#This Row],[Part Number]],"")</f>
        <v>AME25-039R120</v>
      </c>
      <c r="C173" s="22" t="s">
        <v>91</v>
      </c>
      <c r="D173" s="24" t="s">
        <v>358</v>
      </c>
      <c r="E173" s="25" t="s">
        <v>58</v>
      </c>
      <c r="F173" s="6">
        <f>INDEX(Proj_Reg!G:G,MATCH($C173,Proj_Reg!$B:$B,0),1)</f>
        <v>46113</v>
      </c>
      <c r="G173" s="6">
        <f>INDEX(Proj_Reg!H:H,MATCH($C173,Proj_Reg!$B:$B,0),1)</f>
        <v>46447</v>
      </c>
      <c r="H173" s="6" t="str">
        <f>IF(INDEX(Proj_Reg!C:C,MATCH($C173,Proj_Reg!$B:$B,0),1)=0,"",INDEX(Proj_Reg!C:C,MATCH($C173,Proj_Reg!$B:$B,0),1))</f>
        <v>Wafer Saw Dicing</v>
      </c>
      <c r="I173" s="6" t="str">
        <f>IF(INDEX(Proj_Reg!D:D,MATCH($C173,Proj_Reg!$B:$B,0),1)=0,"",INDEX(Proj_Reg!D:D,MATCH($C173,Proj_Reg!$B:$B,0),1))</f>
        <v>XCD</v>
      </c>
      <c r="J173" s="6" t="str">
        <f>INDEX(Proj_Reg!E:E,MATCH($C173,Proj_Reg!$B:$B,0),1)</f>
        <v>Thermal Release Tape 2</v>
      </c>
      <c r="K173" s="21">
        <v>1.7194975588760087E-2</v>
      </c>
      <c r="L173" s="21">
        <v>0</v>
      </c>
      <c r="M173" s="21">
        <v>0.02</v>
      </c>
      <c r="N173" s="21">
        <v>0</v>
      </c>
      <c r="O173" s="11">
        <f>SUM(Table1[[#This Row],[Labor
Saving]:[OH
Saving]])</f>
        <v>3.7194975588760087E-2</v>
      </c>
      <c r="Q173" s="40">
        <f t="shared" si="102"/>
        <v>0</v>
      </c>
      <c r="R173" s="40">
        <f t="shared" si="103"/>
        <v>0</v>
      </c>
      <c r="S173" s="40">
        <f t="shared" si="104"/>
        <v>0</v>
      </c>
      <c r="T173" s="40">
        <f t="shared" si="105"/>
        <v>1086</v>
      </c>
      <c r="U173" s="40">
        <f t="shared" si="106"/>
        <v>4304</v>
      </c>
      <c r="V173" s="40">
        <f t="shared" si="107"/>
        <v>4896</v>
      </c>
      <c r="W173" s="40">
        <f t="shared" si="108"/>
        <v>3670</v>
      </c>
      <c r="X173" s="40">
        <f t="shared" si="109"/>
        <v>1345</v>
      </c>
      <c r="Y173" s="40">
        <f t="shared" si="110"/>
        <v>1569</v>
      </c>
      <c r="Z173" s="40">
        <f t="shared" si="111"/>
        <v>1702</v>
      </c>
      <c r="AA173" s="40">
        <f t="shared" si="112"/>
        <v>1161</v>
      </c>
      <c r="AB173" s="40">
        <f t="shared" si="113"/>
        <v>1016</v>
      </c>
      <c r="AC173" s="37">
        <f>SUM(Table1[[#This Row],[Jan]:[Dec]])</f>
        <v>20749</v>
      </c>
      <c r="AD173" s="15">
        <f t="shared" si="122"/>
        <v>0</v>
      </c>
      <c r="AE173" s="15">
        <f t="shared" si="123"/>
        <v>0</v>
      </c>
      <c r="AF173" s="15">
        <f t="shared" si="124"/>
        <v>0</v>
      </c>
      <c r="AG173" s="15">
        <f t="shared" si="125"/>
        <v>40.393743489393458</v>
      </c>
      <c r="AH173" s="15">
        <f t="shared" si="126"/>
        <v>160.08717493402341</v>
      </c>
      <c r="AI173" s="15">
        <f t="shared" si="127"/>
        <v>182.10660048256938</v>
      </c>
      <c r="AJ173" s="15">
        <f t="shared" si="128"/>
        <v>136.50556041074952</v>
      </c>
      <c r="AK173" s="15">
        <f t="shared" si="129"/>
        <v>50.027242166882317</v>
      </c>
      <c r="AL173" s="15">
        <f t="shared" si="130"/>
        <v>58.358916698764574</v>
      </c>
      <c r="AM173" s="15">
        <f t="shared" si="131"/>
        <v>63.305848452069668</v>
      </c>
      <c r="AN173" s="15">
        <f t="shared" si="132"/>
        <v>43.183366658550462</v>
      </c>
      <c r="AO173" s="15">
        <f t="shared" si="133"/>
        <v>37.790095198180246</v>
      </c>
      <c r="AP173" s="10">
        <f t="shared" si="134"/>
        <v>0</v>
      </c>
      <c r="AQ173" s="10">
        <f t="shared" si="135"/>
        <v>382.58751890598626</v>
      </c>
      <c r="AR173" s="10">
        <f t="shared" si="136"/>
        <v>244.89171927639643</v>
      </c>
      <c r="AS173" s="10">
        <f t="shared" si="137"/>
        <v>144.27931030880038</v>
      </c>
      <c r="AT173" s="10" t="b">
        <f t="shared" si="138"/>
        <v>1</v>
      </c>
      <c r="AU173" s="10">
        <f t="shared" si="114"/>
        <v>356.77854849118307</v>
      </c>
      <c r="AV173" s="10">
        <f t="shared" si="115"/>
        <v>0</v>
      </c>
      <c r="AW173" s="10">
        <f t="shared" si="116"/>
        <v>414.98</v>
      </c>
      <c r="AX173" s="10">
        <f t="shared" si="117"/>
        <v>0</v>
      </c>
      <c r="AY173" s="10">
        <f t="shared" si="139"/>
        <v>771.75854849118309</v>
      </c>
      <c r="AZ173" s="19">
        <f>IFERROR(IF($E173="REC",INDEX(A_Type_Volume!$B:$B,MATCH($D173,A_Type_Volume!$A:$A,0),1),IF($E173="VAM",INDEX(C_Type_Volume!$B:$B,MATCH($D173,C_Type_Volume!$A:$A,0),1),"X")),"")</f>
        <v>6136</v>
      </c>
      <c r="BA173" s="19">
        <f>IFERROR(IF($E173="REC",INDEX(A_Type_Volume!$C:$C,MATCH($D173,A_Type_Volume!$A:$A,0),1),IF($E173="VAM",INDEX(C_Type_Volume!$C:$C,MATCH($D173,C_Type_Volume!$A:$A,0),1),"X")),"")</f>
        <v>0</v>
      </c>
      <c r="BB173" s="19">
        <f>IFERROR(IF($E173="REC",INDEX(A_Type_Volume!$D:$D,MATCH($D173,A_Type_Volume!$A:$A,0),1),IF($E173="VAM",INDEX(C_Type_Volume!$D:$D,MATCH($D173,C_Type_Volume!$A:$A,0),1),"X")),"")</f>
        <v>4044</v>
      </c>
      <c r="BC173" s="19">
        <f>IFERROR(IF($E173="REC",INDEX(A_Type_Volume!$E:$E,MATCH($D173,A_Type_Volume!$A:$A,0),1),IF($E173="VAM",INDEX(C_Type_Volume!$E:$E,MATCH($D173,C_Type_Volume!$A:$A,0),1),"X")),"")</f>
        <v>3620</v>
      </c>
      <c r="BD173" s="19">
        <f>IFERROR(IF($E173="REC",INDEX(A_Type_Volume!$F:$F,MATCH($D173,A_Type_Volume!$A:$A,0),1),IF($E173="VAM",INDEX(C_Type_Volume!$F:$F,MATCH($D173,C_Type_Volume!$A:$A,0),1),"X")),"")</f>
        <v>4304</v>
      </c>
      <c r="BE173" s="19">
        <f>IFERROR(IF($E173="REC",INDEX(A_Type_Volume!$G:$G,MATCH($D173,A_Type_Volume!$A:$A,0),1),IF($E173="VAM",INDEX(C_Type_Volume!$G:$G,MATCH($D173,C_Type_Volume!$A:$A,0),1),"X")),"")</f>
        <v>4896</v>
      </c>
      <c r="BF173" s="19">
        <f>IFERROR(IF($E173="REC",INDEX(A_Type_Volume!$H:$H,MATCH($D173,A_Type_Volume!$A:$A,0),1),IF($E173="VAM",INDEX(C_Type_Volume!$H:$H,MATCH($D173,C_Type_Volume!$A:$A,0),1),"X")),"")</f>
        <v>3670</v>
      </c>
      <c r="BG173" s="19">
        <f>IFERROR(IF($E173="REC",INDEX(A_Type_Volume!$I:$I,MATCH($D173,A_Type_Volume!$A:$A,0),1),IF($E173="VAM",INDEX(C_Type_Volume!$I:$I,MATCH($D173,C_Type_Volume!$A:$A,0),1),"X")),"")</f>
        <v>1345</v>
      </c>
      <c r="BH173" s="19">
        <f>IFERROR(IF($E173="REC",INDEX(A_Type_Volume!$J:$J,MATCH($D173,A_Type_Volume!$A:$A,0),1),IF($E173="VAM",INDEX(C_Type_Volume!$J:$J,MATCH($D173,C_Type_Volume!$A:$A,0),1),"X")),"")</f>
        <v>1569</v>
      </c>
      <c r="BI173" s="19">
        <f>IFERROR(IF($E173="REC",INDEX(A_Type_Volume!$K:$K,MATCH($D173,A_Type_Volume!$A:$A,0),1),IF($E173="VAM",INDEX(C_Type_Volume!$K:$K,MATCH($D173,C_Type_Volume!$A:$A,0),1),"X")),"")</f>
        <v>1702</v>
      </c>
      <c r="BJ173" s="19">
        <f>IFERROR(IF($E173="REC",INDEX(A_Type_Volume!$L:$L,MATCH($D173,A_Type_Volume!$A:$A,0),1),IF($E173="VAM",INDEX(C_Type_Volume!$L:$L,MATCH($D173,C_Type_Volume!$A:$A,0),1),"X")),"")</f>
        <v>1161</v>
      </c>
      <c r="BK173" s="19">
        <f>IFERROR(IF($E173="REC",INDEX(A_Type_Volume!M:M,MATCH($D173,A_Type_Volume!$A:$A,0),1),IF($E173="VAM",INDEX(C_Type_Volume!M:M,MATCH($D173,C_Type_Volume!$A:$A,0),1),"X")),"")</f>
        <v>1016</v>
      </c>
      <c r="BL173" s="38">
        <f>SUM(Table1[[#This Row],[Jan_AVF]:[Dec_AVF]])</f>
        <v>33463</v>
      </c>
      <c r="BM173" s="16">
        <f t="shared" si="140"/>
        <v>228.22837021263189</v>
      </c>
      <c r="BN173" s="16">
        <f t="shared" si="141"/>
        <v>0</v>
      </c>
      <c r="BO173" s="16">
        <f t="shared" si="142"/>
        <v>150.41648128094579</v>
      </c>
      <c r="BP173" s="16">
        <f t="shared" si="143"/>
        <v>134.64581163131152</v>
      </c>
      <c r="BQ173" s="16">
        <f t="shared" si="144"/>
        <v>160.08717493402341</v>
      </c>
      <c r="BR173" s="16">
        <f t="shared" si="145"/>
        <v>182.10660048256938</v>
      </c>
      <c r="BS173" s="16">
        <f t="shared" si="146"/>
        <v>136.50556041074952</v>
      </c>
      <c r="BT173" s="16">
        <f t="shared" si="147"/>
        <v>50.027242166882317</v>
      </c>
      <c r="BU173" s="16">
        <f t="shared" si="148"/>
        <v>58.358916698764574</v>
      </c>
      <c r="BV173" s="16">
        <f t="shared" si="149"/>
        <v>63.305848452069668</v>
      </c>
      <c r="BW173" s="16">
        <f t="shared" si="150"/>
        <v>43.183366658550462</v>
      </c>
      <c r="BX173" s="16">
        <f t="shared" si="151"/>
        <v>37.790095198180246</v>
      </c>
      <c r="BY173" s="10">
        <f t="shared" si="118"/>
        <v>378.64485149357768</v>
      </c>
      <c r="BZ173" s="10">
        <f t="shared" si="119"/>
        <v>476.83958704790433</v>
      </c>
      <c r="CA173" s="10">
        <f t="shared" si="120"/>
        <v>244.89171927639643</v>
      </c>
      <c r="CB173" s="10">
        <f t="shared" si="121"/>
        <v>144.27931030880038</v>
      </c>
      <c r="CC173" s="10">
        <f>IFERROR(Table1[[#This Row],[Labor
Saving]]*Table1[[#This Row],[Annual Volume]],"")</f>
        <v>575.39546812667879</v>
      </c>
      <c r="CD173" s="10">
        <f>IFERROR(Table1[[#This Row],[Annual Volume]]*Table1[[#This Row],[Yield
Saving]],"")</f>
        <v>0</v>
      </c>
      <c r="CE173" s="10">
        <f>IFERROR(Table1[[#This Row],[Annual Volume]]*Table1[[#This Row],[Material
Saving]],"")</f>
        <v>669.26</v>
      </c>
      <c r="CF173" s="10">
        <f>IFERROR(Table1[[#This Row],[OH
Saving]]*Table1[[#This Row],[Annual Volume]],"")</f>
        <v>0</v>
      </c>
      <c r="CG173" s="10">
        <f>SUM(Table1[[#This Row],[Labor_ASV]:[OH_ASV]])</f>
        <v>1244.6554681266789</v>
      </c>
    </row>
    <row r="174" spans="1:85" x14ac:dyDescent="0.3">
      <c r="A174" t="str">
        <f>Table1[[#This Row],[Project Name]]&amp;Table1[[#This Row],[Part Number]]</f>
        <v>Thermal Release Tape 2R121</v>
      </c>
      <c r="B174" t="str">
        <f>IFERROR(Table1[[#This Row],[Project Number]]&amp;Table1[[#This Row],[Part Number]],"")</f>
        <v>AME25-039R121</v>
      </c>
      <c r="C174" s="22" t="s">
        <v>91</v>
      </c>
      <c r="D174" s="24" t="s">
        <v>359</v>
      </c>
      <c r="E174" s="25" t="s">
        <v>58</v>
      </c>
      <c r="F174" s="6">
        <f>INDEX(Proj_Reg!G:G,MATCH($C174,Proj_Reg!$B:$B,0),1)</f>
        <v>46113</v>
      </c>
      <c r="G174" s="6">
        <f>INDEX(Proj_Reg!H:H,MATCH($C174,Proj_Reg!$B:$B,0),1)</f>
        <v>46447</v>
      </c>
      <c r="H174" s="6" t="str">
        <f>IF(INDEX(Proj_Reg!C:C,MATCH($C174,Proj_Reg!$B:$B,0),1)=0,"",INDEX(Proj_Reg!C:C,MATCH($C174,Proj_Reg!$B:$B,0),1))</f>
        <v>Wafer Saw Dicing</v>
      </c>
      <c r="I174" s="6" t="str">
        <f>IF(INDEX(Proj_Reg!D:D,MATCH($C174,Proj_Reg!$B:$B,0),1)=0,"",INDEX(Proj_Reg!D:D,MATCH($C174,Proj_Reg!$B:$B,0),1))</f>
        <v>XCD</v>
      </c>
      <c r="J174" s="6" t="str">
        <f>INDEX(Proj_Reg!E:E,MATCH($C174,Proj_Reg!$B:$B,0),1)</f>
        <v>Thermal Release Tape 2</v>
      </c>
      <c r="K174" s="21">
        <v>1.7194975588760087E-2</v>
      </c>
      <c r="L174" s="21">
        <v>0</v>
      </c>
      <c r="M174" s="21">
        <v>0.02</v>
      </c>
      <c r="N174" s="21">
        <v>0</v>
      </c>
      <c r="O174" s="11">
        <f>SUM(Table1[[#This Row],[Labor
Saving]:[OH
Saving]])</f>
        <v>3.7194975588760087E-2</v>
      </c>
      <c r="Q174" s="40">
        <f t="shared" si="102"/>
        <v>0</v>
      </c>
      <c r="R174" s="40">
        <f t="shared" si="103"/>
        <v>0</v>
      </c>
      <c r="S174" s="40">
        <f t="shared" si="104"/>
        <v>0</v>
      </c>
      <c r="T174" s="40">
        <f t="shared" si="105"/>
        <v>1173.3</v>
      </c>
      <c r="U174" s="40">
        <f t="shared" si="106"/>
        <v>4644</v>
      </c>
      <c r="V174" s="40">
        <f t="shared" si="107"/>
        <v>5257</v>
      </c>
      <c r="W174" s="40">
        <f t="shared" si="108"/>
        <v>3984</v>
      </c>
      <c r="X174" s="40">
        <f t="shared" si="109"/>
        <v>1460</v>
      </c>
      <c r="Y174" s="40">
        <f t="shared" si="110"/>
        <v>1704</v>
      </c>
      <c r="Z174" s="40">
        <f t="shared" si="111"/>
        <v>1848</v>
      </c>
      <c r="AA174" s="40">
        <f t="shared" si="112"/>
        <v>1260</v>
      </c>
      <c r="AB174" s="40">
        <f t="shared" si="113"/>
        <v>1103</v>
      </c>
      <c r="AC174" s="37">
        <f>SUM(Table1[[#This Row],[Jan]:[Dec]])</f>
        <v>22433.3</v>
      </c>
      <c r="AD174" s="15">
        <f t="shared" si="122"/>
        <v>0</v>
      </c>
      <c r="AE174" s="15">
        <f t="shared" si="123"/>
        <v>0</v>
      </c>
      <c r="AF174" s="15">
        <f t="shared" si="124"/>
        <v>0</v>
      </c>
      <c r="AG174" s="15">
        <f t="shared" si="125"/>
        <v>43.640864858292211</v>
      </c>
      <c r="AH174" s="15">
        <f t="shared" si="126"/>
        <v>172.73346663420185</v>
      </c>
      <c r="AI174" s="15">
        <f t="shared" si="127"/>
        <v>195.53398667011177</v>
      </c>
      <c r="AJ174" s="15">
        <f t="shared" si="128"/>
        <v>148.1847827456202</v>
      </c>
      <c r="AK174" s="15">
        <f t="shared" si="129"/>
        <v>54.304664359589729</v>
      </c>
      <c r="AL174" s="15">
        <f t="shared" si="130"/>
        <v>63.380238403247191</v>
      </c>
      <c r="AM174" s="15">
        <f t="shared" si="131"/>
        <v>68.736314888028645</v>
      </c>
      <c r="AN174" s="15">
        <f t="shared" si="132"/>
        <v>46.865669241837708</v>
      </c>
      <c r="AO174" s="15">
        <f t="shared" si="133"/>
        <v>41.026058074402378</v>
      </c>
      <c r="AP174" s="10">
        <f t="shared" si="134"/>
        <v>0</v>
      </c>
      <c r="AQ174" s="10">
        <f t="shared" si="135"/>
        <v>411.90831816260584</v>
      </c>
      <c r="AR174" s="10">
        <f t="shared" si="136"/>
        <v>265.86968550845711</v>
      </c>
      <c r="AS174" s="10">
        <f t="shared" si="137"/>
        <v>156.62804220426872</v>
      </c>
      <c r="AT174" s="10" t="b">
        <f t="shared" si="138"/>
        <v>1</v>
      </c>
      <c r="AU174" s="10">
        <f t="shared" si="114"/>
        <v>385.74004587533165</v>
      </c>
      <c r="AV174" s="10">
        <f t="shared" si="115"/>
        <v>0</v>
      </c>
      <c r="AW174" s="10">
        <f t="shared" si="116"/>
        <v>448.666</v>
      </c>
      <c r="AX174" s="10">
        <f t="shared" si="117"/>
        <v>0</v>
      </c>
      <c r="AY174" s="10">
        <f t="shared" si="139"/>
        <v>834.40604587533164</v>
      </c>
      <c r="AZ174" s="19">
        <f>IFERROR(IF($E174="REC",INDEX(A_Type_Volume!$B:$B,MATCH($D174,A_Type_Volume!$A:$A,0),1),IF($E174="VAM",INDEX(C_Type_Volume!$B:$B,MATCH($D174,C_Type_Volume!$A:$A,0),1),"X")),"")</f>
        <v>5114</v>
      </c>
      <c r="BA174" s="19">
        <f>IFERROR(IF($E174="REC",INDEX(A_Type_Volume!$C:$C,MATCH($D174,A_Type_Volume!$A:$A,0),1),IF($E174="VAM",INDEX(C_Type_Volume!$C:$C,MATCH($D174,C_Type_Volume!$A:$A,0),1),"X")),"")</f>
        <v>1003</v>
      </c>
      <c r="BB174" s="19">
        <f>IFERROR(IF($E174="REC",INDEX(A_Type_Volume!$D:$D,MATCH($D174,A_Type_Volume!$A:$A,0),1),IF($E174="VAM",INDEX(C_Type_Volume!$D:$D,MATCH($D174,C_Type_Volume!$A:$A,0),1),"X")),"")</f>
        <v>4369</v>
      </c>
      <c r="BC174" s="19">
        <f>IFERROR(IF($E174="REC",INDEX(A_Type_Volume!$E:$E,MATCH($D174,A_Type_Volume!$A:$A,0),1),IF($E174="VAM",INDEX(C_Type_Volume!$E:$E,MATCH($D174,C_Type_Volume!$A:$A,0),1),"X")),"")</f>
        <v>3911</v>
      </c>
      <c r="BD174" s="19">
        <f>IFERROR(IF($E174="REC",INDEX(A_Type_Volume!$F:$F,MATCH($D174,A_Type_Volume!$A:$A,0),1),IF($E174="VAM",INDEX(C_Type_Volume!$F:$F,MATCH($D174,C_Type_Volume!$A:$A,0),1),"X")),"")</f>
        <v>4644</v>
      </c>
      <c r="BE174" s="19">
        <f>IFERROR(IF($E174="REC",INDEX(A_Type_Volume!$G:$G,MATCH($D174,A_Type_Volume!$A:$A,0),1),IF($E174="VAM",INDEX(C_Type_Volume!$G:$G,MATCH($D174,C_Type_Volume!$A:$A,0),1),"X")),"")</f>
        <v>5257</v>
      </c>
      <c r="BF174" s="19">
        <f>IFERROR(IF($E174="REC",INDEX(A_Type_Volume!$H:$H,MATCH($D174,A_Type_Volume!$A:$A,0),1),IF($E174="VAM",INDEX(C_Type_Volume!$H:$H,MATCH($D174,C_Type_Volume!$A:$A,0),1),"X")),"")</f>
        <v>3984</v>
      </c>
      <c r="BG174" s="19">
        <f>IFERROR(IF($E174="REC",INDEX(A_Type_Volume!$I:$I,MATCH($D174,A_Type_Volume!$A:$A,0),1),IF($E174="VAM",INDEX(C_Type_Volume!$I:$I,MATCH($D174,C_Type_Volume!$A:$A,0),1),"X")),"")</f>
        <v>1460</v>
      </c>
      <c r="BH174" s="19">
        <f>IFERROR(IF($E174="REC",INDEX(A_Type_Volume!$J:$J,MATCH($D174,A_Type_Volume!$A:$A,0),1),IF($E174="VAM",INDEX(C_Type_Volume!$J:$J,MATCH($D174,C_Type_Volume!$A:$A,0),1),"X")),"")</f>
        <v>1704</v>
      </c>
      <c r="BI174" s="19">
        <f>IFERROR(IF($E174="REC",INDEX(A_Type_Volume!$K:$K,MATCH($D174,A_Type_Volume!$A:$A,0),1),IF($E174="VAM",INDEX(C_Type_Volume!$K:$K,MATCH($D174,C_Type_Volume!$A:$A,0),1),"X")),"")</f>
        <v>1848</v>
      </c>
      <c r="BJ174" s="19">
        <f>IFERROR(IF($E174="REC",INDEX(A_Type_Volume!$L:$L,MATCH($D174,A_Type_Volume!$A:$A,0),1),IF($E174="VAM",INDEX(C_Type_Volume!$L:$L,MATCH($D174,C_Type_Volume!$A:$A,0),1),"X")),"")</f>
        <v>1260</v>
      </c>
      <c r="BK174" s="19">
        <f>IFERROR(IF($E174="REC",INDEX(A_Type_Volume!M:M,MATCH($D174,A_Type_Volume!$A:$A,0),1),IF($E174="VAM",INDEX(C_Type_Volume!M:M,MATCH($D174,C_Type_Volume!$A:$A,0),1),"X")),"")</f>
        <v>1103</v>
      </c>
      <c r="BL174" s="38">
        <f>SUM(Table1[[#This Row],[Jan_AVF]:[Dec_AVF]])</f>
        <v>35657</v>
      </c>
      <c r="BM174" s="16">
        <f t="shared" si="140"/>
        <v>190.21510516091908</v>
      </c>
      <c r="BN174" s="16">
        <f t="shared" si="141"/>
        <v>37.306560515526371</v>
      </c>
      <c r="BO174" s="16">
        <f t="shared" si="142"/>
        <v>162.50484834729284</v>
      </c>
      <c r="BP174" s="16">
        <f t="shared" si="143"/>
        <v>145.46954952764071</v>
      </c>
      <c r="BQ174" s="16">
        <f t="shared" si="144"/>
        <v>172.73346663420185</v>
      </c>
      <c r="BR174" s="16">
        <f t="shared" si="145"/>
        <v>195.53398667011177</v>
      </c>
      <c r="BS174" s="16">
        <f t="shared" si="146"/>
        <v>148.1847827456202</v>
      </c>
      <c r="BT174" s="16">
        <f t="shared" si="147"/>
        <v>54.304664359589729</v>
      </c>
      <c r="BU174" s="16">
        <f t="shared" si="148"/>
        <v>63.380238403247191</v>
      </c>
      <c r="BV174" s="16">
        <f t="shared" si="149"/>
        <v>68.736314888028645</v>
      </c>
      <c r="BW174" s="16">
        <f t="shared" si="150"/>
        <v>46.865669241837708</v>
      </c>
      <c r="BX174" s="16">
        <f t="shared" si="151"/>
        <v>41.026058074402378</v>
      </c>
      <c r="BY174" s="10">
        <f t="shared" si="118"/>
        <v>390.02651402373829</v>
      </c>
      <c r="BZ174" s="10">
        <f t="shared" si="119"/>
        <v>513.73700283195433</v>
      </c>
      <c r="CA174" s="10">
        <f t="shared" si="120"/>
        <v>265.86968550845711</v>
      </c>
      <c r="CB174" s="10">
        <f t="shared" si="121"/>
        <v>156.62804220426872</v>
      </c>
      <c r="CC174" s="10">
        <f>IFERROR(Table1[[#This Row],[Labor
Saving]]*Table1[[#This Row],[Annual Volume]],"")</f>
        <v>613.12124456841843</v>
      </c>
      <c r="CD174" s="10">
        <f>IFERROR(Table1[[#This Row],[Annual Volume]]*Table1[[#This Row],[Yield
Saving]],"")</f>
        <v>0</v>
      </c>
      <c r="CE174" s="10">
        <f>IFERROR(Table1[[#This Row],[Annual Volume]]*Table1[[#This Row],[Material
Saving]],"")</f>
        <v>713.14</v>
      </c>
      <c r="CF174" s="10">
        <f>IFERROR(Table1[[#This Row],[OH
Saving]]*Table1[[#This Row],[Annual Volume]],"")</f>
        <v>0</v>
      </c>
      <c r="CG174" s="10">
        <f>SUM(Table1[[#This Row],[Labor_ASV]:[OH_ASV]])</f>
        <v>1326.2612445684185</v>
      </c>
    </row>
    <row r="175" spans="1:85" x14ac:dyDescent="0.3">
      <c r="A175" t="str">
        <f>Table1[[#This Row],[Project Name]]&amp;Table1[[#This Row],[Part Number]]</f>
        <v>Thermal Release Tape 2R122</v>
      </c>
      <c r="B175" t="str">
        <f>IFERROR(Table1[[#This Row],[Project Number]]&amp;Table1[[#This Row],[Part Number]],"")</f>
        <v>AME25-039R122</v>
      </c>
      <c r="C175" s="22" t="s">
        <v>91</v>
      </c>
      <c r="D175" s="24" t="s">
        <v>360</v>
      </c>
      <c r="E175" s="25" t="s">
        <v>58</v>
      </c>
      <c r="F175" s="6">
        <f>INDEX(Proj_Reg!G:G,MATCH($C175,Proj_Reg!$B:$B,0),1)</f>
        <v>46113</v>
      </c>
      <c r="G175" s="6">
        <f>INDEX(Proj_Reg!H:H,MATCH($C175,Proj_Reg!$B:$B,0),1)</f>
        <v>46447</v>
      </c>
      <c r="H175" s="6" t="str">
        <f>IF(INDEX(Proj_Reg!C:C,MATCH($C175,Proj_Reg!$B:$B,0),1)=0,"",INDEX(Proj_Reg!C:C,MATCH($C175,Proj_Reg!$B:$B,0),1))</f>
        <v>Wafer Saw Dicing</v>
      </c>
      <c r="I175" s="6" t="str">
        <f>IF(INDEX(Proj_Reg!D:D,MATCH($C175,Proj_Reg!$B:$B,0),1)=0,"",INDEX(Proj_Reg!D:D,MATCH($C175,Proj_Reg!$B:$B,0),1))</f>
        <v>XCD</v>
      </c>
      <c r="J175" s="6" t="str">
        <f>INDEX(Proj_Reg!E:E,MATCH($C175,Proj_Reg!$B:$B,0),1)</f>
        <v>Thermal Release Tape 2</v>
      </c>
      <c r="K175" s="21">
        <v>1.7194975588760087E-2</v>
      </c>
      <c r="L175" s="21">
        <v>0</v>
      </c>
      <c r="M175" s="21">
        <v>0.02</v>
      </c>
      <c r="N175" s="21">
        <v>0</v>
      </c>
      <c r="O175" s="11">
        <f>SUM(Table1[[#This Row],[Labor
Saving]:[OH
Saving]])</f>
        <v>3.7194975588760087E-2</v>
      </c>
      <c r="Q175" s="40">
        <f t="shared" si="102"/>
        <v>0</v>
      </c>
      <c r="R175" s="40">
        <f t="shared" si="103"/>
        <v>0</v>
      </c>
      <c r="S175" s="40">
        <f t="shared" si="104"/>
        <v>0</v>
      </c>
      <c r="T175" s="40">
        <f t="shared" si="105"/>
        <v>16120.5</v>
      </c>
      <c r="U175" s="40">
        <f t="shared" si="106"/>
        <v>63638</v>
      </c>
      <c r="V175" s="40">
        <f t="shared" si="107"/>
        <v>85113</v>
      </c>
      <c r="W175" s="40">
        <f t="shared" si="108"/>
        <v>51633</v>
      </c>
      <c r="X175" s="40">
        <f t="shared" si="109"/>
        <v>18924</v>
      </c>
      <c r="Y175" s="40">
        <f t="shared" si="110"/>
        <v>22078</v>
      </c>
      <c r="Z175" s="40">
        <f t="shared" si="111"/>
        <v>23953</v>
      </c>
      <c r="AA175" s="40">
        <f t="shared" si="112"/>
        <v>16332</v>
      </c>
      <c r="AB175" s="40">
        <f t="shared" si="113"/>
        <v>14291</v>
      </c>
      <c r="AC175" s="37">
        <f>SUM(Table1[[#This Row],[Jan]:[Dec]])</f>
        <v>312082.5</v>
      </c>
      <c r="AD175" s="15">
        <f t="shared" si="122"/>
        <v>0</v>
      </c>
      <c r="AE175" s="15">
        <f t="shared" si="123"/>
        <v>0</v>
      </c>
      <c r="AF175" s="15">
        <f t="shared" si="124"/>
        <v>0</v>
      </c>
      <c r="AG175" s="15">
        <f t="shared" si="125"/>
        <v>599.60160397860705</v>
      </c>
      <c r="AH175" s="15">
        <f t="shared" si="126"/>
        <v>2367.0138565175143</v>
      </c>
      <c r="AI175" s="15">
        <f t="shared" si="127"/>
        <v>3165.7759572861373</v>
      </c>
      <c r="AJ175" s="15">
        <f t="shared" si="128"/>
        <v>1920.4881745744497</v>
      </c>
      <c r="AK175" s="15">
        <f t="shared" si="129"/>
        <v>703.87771804169586</v>
      </c>
      <c r="AL175" s="15">
        <f t="shared" si="130"/>
        <v>821.19067104864519</v>
      </c>
      <c r="AM175" s="15">
        <f t="shared" si="131"/>
        <v>890.93125027757037</v>
      </c>
      <c r="AN175" s="15">
        <f t="shared" si="132"/>
        <v>607.4683413156298</v>
      </c>
      <c r="AO175" s="15">
        <f t="shared" si="133"/>
        <v>531.55339613897036</v>
      </c>
      <c r="AP175" s="10">
        <f t="shared" si="134"/>
        <v>0</v>
      </c>
      <c r="AQ175" s="10">
        <f t="shared" si="135"/>
        <v>6132.3914177822589</v>
      </c>
      <c r="AR175" s="10">
        <f t="shared" si="136"/>
        <v>3445.5565636647907</v>
      </c>
      <c r="AS175" s="10">
        <f t="shared" si="137"/>
        <v>2029.9529877321704</v>
      </c>
      <c r="AT175" s="10" t="b">
        <f t="shared" si="138"/>
        <v>1</v>
      </c>
      <c r="AU175" s="10">
        <f t="shared" si="114"/>
        <v>5366.2509691792202</v>
      </c>
      <c r="AV175" s="10">
        <f t="shared" si="115"/>
        <v>0</v>
      </c>
      <c r="AW175" s="10">
        <f t="shared" si="116"/>
        <v>6241.6500000000005</v>
      </c>
      <c r="AX175" s="10">
        <f t="shared" si="117"/>
        <v>0</v>
      </c>
      <c r="AY175" s="10">
        <f t="shared" si="139"/>
        <v>11607.90096917922</v>
      </c>
      <c r="AZ175" s="19">
        <f>IFERROR(IF($E175="REC",INDEX(A_Type_Volume!$B:$B,MATCH($D175,A_Type_Volume!$A:$A,0),1),IF($E175="VAM",INDEX(C_Type_Volume!$B:$B,MATCH($D175,C_Type_Volume!$A:$A,0),1),"X")),"")</f>
        <v>55637</v>
      </c>
      <c r="BA175" s="19">
        <f>IFERROR(IF($E175="REC",INDEX(A_Type_Volume!$C:$C,MATCH($D175,A_Type_Volume!$A:$A,0),1),IF($E175="VAM",INDEX(C_Type_Volume!$C:$C,MATCH($D175,C_Type_Volume!$A:$A,0),1),"X")),"")</f>
        <v>85293</v>
      </c>
      <c r="BB175" s="19">
        <f>IFERROR(IF($E175="REC",INDEX(A_Type_Volume!$D:$D,MATCH($D175,A_Type_Volume!$A:$A,0),1),IF($E175="VAM",INDEX(C_Type_Volume!$D:$D,MATCH($D175,C_Type_Volume!$A:$A,0),1),"X")),"")</f>
        <v>60032</v>
      </c>
      <c r="BC175" s="19">
        <f>IFERROR(IF($E175="REC",INDEX(A_Type_Volume!$E:$E,MATCH($D175,A_Type_Volume!$A:$A,0),1),IF($E175="VAM",INDEX(C_Type_Volume!$E:$E,MATCH($D175,C_Type_Volume!$A:$A,0),1),"X")),"")</f>
        <v>53735</v>
      </c>
      <c r="BD175" s="19">
        <f>IFERROR(IF($E175="REC",INDEX(A_Type_Volume!$F:$F,MATCH($D175,A_Type_Volume!$A:$A,0),1),IF($E175="VAM",INDEX(C_Type_Volume!$F:$F,MATCH($D175,C_Type_Volume!$A:$A,0),1),"X")),"")</f>
        <v>63638</v>
      </c>
      <c r="BE175" s="19">
        <f>IFERROR(IF($E175="REC",INDEX(A_Type_Volume!$G:$G,MATCH($D175,A_Type_Volume!$A:$A,0),1),IF($E175="VAM",INDEX(C_Type_Volume!$G:$G,MATCH($D175,C_Type_Volume!$A:$A,0),1),"X")),"")</f>
        <v>85113</v>
      </c>
      <c r="BF175" s="19">
        <f>IFERROR(IF($E175="REC",INDEX(A_Type_Volume!$H:$H,MATCH($D175,A_Type_Volume!$A:$A,0),1),IF($E175="VAM",INDEX(C_Type_Volume!$H:$H,MATCH($D175,C_Type_Volume!$A:$A,0),1),"X")),"")</f>
        <v>51633</v>
      </c>
      <c r="BG175" s="19">
        <f>IFERROR(IF($E175="REC",INDEX(A_Type_Volume!$I:$I,MATCH($D175,A_Type_Volume!$A:$A,0),1),IF($E175="VAM",INDEX(C_Type_Volume!$I:$I,MATCH($D175,C_Type_Volume!$A:$A,0),1),"X")),"")</f>
        <v>18924</v>
      </c>
      <c r="BH175" s="19">
        <f>IFERROR(IF($E175="REC",INDEX(A_Type_Volume!$J:$J,MATCH($D175,A_Type_Volume!$A:$A,0),1),IF($E175="VAM",INDEX(C_Type_Volume!$J:$J,MATCH($D175,C_Type_Volume!$A:$A,0),1),"X")),"")</f>
        <v>22078</v>
      </c>
      <c r="BI175" s="19">
        <f>IFERROR(IF($E175="REC",INDEX(A_Type_Volume!$K:$K,MATCH($D175,A_Type_Volume!$A:$A,0),1),IF($E175="VAM",INDEX(C_Type_Volume!$K:$K,MATCH($D175,C_Type_Volume!$A:$A,0),1),"X")),"")</f>
        <v>23953</v>
      </c>
      <c r="BJ175" s="19">
        <f>IFERROR(IF($E175="REC",INDEX(A_Type_Volume!$L:$L,MATCH($D175,A_Type_Volume!$A:$A,0),1),IF($E175="VAM",INDEX(C_Type_Volume!$L:$L,MATCH($D175,C_Type_Volume!$A:$A,0),1),"X")),"")</f>
        <v>16332</v>
      </c>
      <c r="BK175" s="19">
        <f>IFERROR(IF($E175="REC",INDEX(A_Type_Volume!M:M,MATCH($D175,A_Type_Volume!$A:$A,0),1),IF($E175="VAM",INDEX(C_Type_Volume!M:M,MATCH($D175,C_Type_Volume!$A:$A,0),1),"X")),"")</f>
        <v>14291</v>
      </c>
      <c r="BL175" s="38">
        <f>SUM(Table1[[#This Row],[Jan_AVF]:[Dec_AVF]])</f>
        <v>550659</v>
      </c>
      <c r="BM175" s="16">
        <f t="shared" si="140"/>
        <v>2069.4168568318451</v>
      </c>
      <c r="BN175" s="16">
        <f t="shared" si="141"/>
        <v>3172.4710528921141</v>
      </c>
      <c r="BO175" s="16">
        <f t="shared" si="142"/>
        <v>2232.8887745444454</v>
      </c>
      <c r="BP175" s="16">
        <f t="shared" si="143"/>
        <v>1998.6720132620233</v>
      </c>
      <c r="BQ175" s="16">
        <f t="shared" si="144"/>
        <v>2367.0138565175143</v>
      </c>
      <c r="BR175" s="16">
        <f t="shared" si="145"/>
        <v>3165.7759572861373</v>
      </c>
      <c r="BS175" s="16">
        <f t="shared" si="146"/>
        <v>1920.4881745744497</v>
      </c>
      <c r="BT175" s="16">
        <f t="shared" si="147"/>
        <v>703.87771804169586</v>
      </c>
      <c r="BU175" s="16">
        <f t="shared" si="148"/>
        <v>821.19067104864519</v>
      </c>
      <c r="BV175" s="16">
        <f t="shared" si="149"/>
        <v>890.93125027757037</v>
      </c>
      <c r="BW175" s="16">
        <f t="shared" si="150"/>
        <v>607.4683413156298</v>
      </c>
      <c r="BX175" s="16">
        <f t="shared" si="151"/>
        <v>531.55339613897036</v>
      </c>
      <c r="BY175" s="10">
        <f t="shared" si="118"/>
        <v>7474.7766842684041</v>
      </c>
      <c r="BZ175" s="10">
        <f t="shared" si="119"/>
        <v>7531.4618270656756</v>
      </c>
      <c r="CA175" s="10">
        <f t="shared" si="120"/>
        <v>3445.5565636647907</v>
      </c>
      <c r="CB175" s="10">
        <f t="shared" si="121"/>
        <v>2029.9529877321704</v>
      </c>
      <c r="CC175" s="10">
        <f>IFERROR(Table1[[#This Row],[Labor
Saving]]*Table1[[#This Row],[Annual Volume]],"")</f>
        <v>9468.5680627310412</v>
      </c>
      <c r="CD175" s="10">
        <f>IFERROR(Table1[[#This Row],[Annual Volume]]*Table1[[#This Row],[Yield
Saving]],"")</f>
        <v>0</v>
      </c>
      <c r="CE175" s="10">
        <f>IFERROR(Table1[[#This Row],[Annual Volume]]*Table1[[#This Row],[Material
Saving]],"")</f>
        <v>11013.18</v>
      </c>
      <c r="CF175" s="10">
        <f>IFERROR(Table1[[#This Row],[OH
Saving]]*Table1[[#This Row],[Annual Volume]],"")</f>
        <v>0</v>
      </c>
      <c r="CG175" s="10">
        <f>SUM(Table1[[#This Row],[Labor_ASV]:[OH_ASV]])</f>
        <v>20481.748062731043</v>
      </c>
    </row>
    <row r="176" spans="1:85" x14ac:dyDescent="0.3">
      <c r="A176" t="str">
        <f>Table1[[#This Row],[Project Name]]&amp;Table1[[#This Row],[Part Number]]</f>
        <v>Thermal Release Tape 2R123</v>
      </c>
      <c r="B176" t="str">
        <f>IFERROR(Table1[[#This Row],[Project Number]]&amp;Table1[[#This Row],[Part Number]],"")</f>
        <v>AME25-039R123</v>
      </c>
      <c r="C176" s="22" t="s">
        <v>91</v>
      </c>
      <c r="D176" s="24" t="s">
        <v>361</v>
      </c>
      <c r="E176" s="25" t="s">
        <v>58</v>
      </c>
      <c r="F176" s="6">
        <f>INDEX(Proj_Reg!G:G,MATCH($C176,Proj_Reg!$B:$B,0),1)</f>
        <v>46113</v>
      </c>
      <c r="G176" s="6">
        <f>INDEX(Proj_Reg!H:H,MATCH($C176,Proj_Reg!$B:$B,0),1)</f>
        <v>46447</v>
      </c>
      <c r="H176" s="6" t="str">
        <f>IF(INDEX(Proj_Reg!C:C,MATCH($C176,Proj_Reg!$B:$B,0),1)=0,"",INDEX(Proj_Reg!C:C,MATCH($C176,Proj_Reg!$B:$B,0),1))</f>
        <v>Wafer Saw Dicing</v>
      </c>
      <c r="I176" s="6" t="str">
        <f>IF(INDEX(Proj_Reg!D:D,MATCH($C176,Proj_Reg!$B:$B,0),1)=0,"",INDEX(Proj_Reg!D:D,MATCH($C176,Proj_Reg!$B:$B,0),1))</f>
        <v>XCD</v>
      </c>
      <c r="J176" s="6" t="str">
        <f>INDEX(Proj_Reg!E:E,MATCH($C176,Proj_Reg!$B:$B,0),1)</f>
        <v>Thermal Release Tape 2</v>
      </c>
      <c r="K176" s="21">
        <v>1.7194975588760087E-2</v>
      </c>
      <c r="L176" s="21">
        <v>0</v>
      </c>
      <c r="M176" s="21">
        <v>0.02</v>
      </c>
      <c r="N176" s="21">
        <v>0</v>
      </c>
      <c r="O176" s="11">
        <f>SUM(Table1[[#This Row],[Labor
Saving]:[OH
Saving]])</f>
        <v>3.7194975588760087E-2</v>
      </c>
      <c r="Q176" s="40">
        <f t="shared" si="102"/>
        <v>0</v>
      </c>
      <c r="R176" s="40">
        <f t="shared" si="103"/>
        <v>0</v>
      </c>
      <c r="S176" s="40">
        <f t="shared" si="104"/>
        <v>0</v>
      </c>
      <c r="T176" s="40">
        <f t="shared" si="105"/>
        <v>16474.5</v>
      </c>
      <c r="U176" s="40">
        <f t="shared" si="106"/>
        <v>65054</v>
      </c>
      <c r="V176" s="40">
        <f t="shared" si="107"/>
        <v>87257</v>
      </c>
      <c r="W176" s="40">
        <f t="shared" si="108"/>
        <v>52712</v>
      </c>
      <c r="X176" s="40">
        <f t="shared" si="109"/>
        <v>19320</v>
      </c>
      <c r="Y176" s="40">
        <f t="shared" si="110"/>
        <v>22540</v>
      </c>
      <c r="Z176" s="40">
        <f t="shared" si="111"/>
        <v>24454</v>
      </c>
      <c r="AA176" s="40">
        <f t="shared" si="112"/>
        <v>16673</v>
      </c>
      <c r="AB176" s="40">
        <f t="shared" si="113"/>
        <v>14590</v>
      </c>
      <c r="AC176" s="37">
        <f>SUM(Table1[[#This Row],[Jan]:[Dec]])</f>
        <v>319074.5</v>
      </c>
      <c r="AD176" s="15">
        <f t="shared" si="122"/>
        <v>0</v>
      </c>
      <c r="AE176" s="15">
        <f t="shared" si="123"/>
        <v>0</v>
      </c>
      <c r="AF176" s="15">
        <f t="shared" si="124"/>
        <v>0</v>
      </c>
      <c r="AG176" s="15">
        <f t="shared" si="125"/>
        <v>612.76862533702808</v>
      </c>
      <c r="AH176" s="15">
        <f t="shared" si="126"/>
        <v>2419.681941951199</v>
      </c>
      <c r="AI176" s="15">
        <f t="shared" si="127"/>
        <v>3245.5219849484388</v>
      </c>
      <c r="AJ176" s="15">
        <f t="shared" si="128"/>
        <v>1960.6215532347217</v>
      </c>
      <c r="AK176" s="15">
        <f t="shared" si="129"/>
        <v>718.60692837484487</v>
      </c>
      <c r="AL176" s="15">
        <f t="shared" si="130"/>
        <v>838.37474977065233</v>
      </c>
      <c r="AM176" s="15">
        <f t="shared" si="131"/>
        <v>909.56593304753915</v>
      </c>
      <c r="AN176" s="15">
        <f t="shared" si="132"/>
        <v>620.15182799139689</v>
      </c>
      <c r="AO176" s="15">
        <f t="shared" si="133"/>
        <v>542.6746938400097</v>
      </c>
      <c r="AP176" s="10">
        <f t="shared" si="134"/>
        <v>0</v>
      </c>
      <c r="AQ176" s="10">
        <f t="shared" si="135"/>
        <v>6277.9725522366662</v>
      </c>
      <c r="AR176" s="10">
        <f t="shared" si="136"/>
        <v>3517.6032313802189</v>
      </c>
      <c r="AS176" s="10">
        <f t="shared" si="137"/>
        <v>2072.3924548789455</v>
      </c>
      <c r="AT176" s="10" t="b">
        <f t="shared" si="138"/>
        <v>1</v>
      </c>
      <c r="AU176" s="10">
        <f t="shared" si="114"/>
        <v>5486.4782384958307</v>
      </c>
      <c r="AV176" s="10">
        <f t="shared" si="115"/>
        <v>0</v>
      </c>
      <c r="AW176" s="10">
        <f t="shared" si="116"/>
        <v>6381.49</v>
      </c>
      <c r="AX176" s="10">
        <f t="shared" si="117"/>
        <v>0</v>
      </c>
      <c r="AY176" s="10">
        <f t="shared" si="139"/>
        <v>11867.968238495831</v>
      </c>
      <c r="AZ176" s="19">
        <f>IFERROR(IF($E176="REC",INDEX(A_Type_Volume!$B:$B,MATCH($D176,A_Type_Volume!$A:$A,0),1),IF($E176="VAM",INDEX(C_Type_Volume!$B:$B,MATCH($D176,C_Type_Volume!$A:$A,0),1),"X")),"")</f>
        <v>51955</v>
      </c>
      <c r="BA176" s="19">
        <f>IFERROR(IF($E176="REC",INDEX(A_Type_Volume!$C:$C,MATCH($D176,A_Type_Volume!$A:$A,0),1),IF($E176="VAM",INDEX(C_Type_Volume!$C:$C,MATCH($D176,C_Type_Volume!$A:$A,0),1),"X")),"")</f>
        <v>95327</v>
      </c>
      <c r="BB176" s="19">
        <f>IFERROR(IF($E176="REC",INDEX(A_Type_Volume!$D:$D,MATCH($D176,A_Type_Volume!$A:$A,0),1),IF($E176="VAM",INDEX(C_Type_Volume!$D:$D,MATCH($D176,C_Type_Volume!$A:$A,0),1),"X")),"")</f>
        <v>61350</v>
      </c>
      <c r="BC176" s="19">
        <f>IFERROR(IF($E176="REC",INDEX(A_Type_Volume!$E:$E,MATCH($D176,A_Type_Volume!$A:$A,0),1),IF($E176="VAM",INDEX(C_Type_Volume!$E:$E,MATCH($D176,C_Type_Volume!$A:$A,0),1),"X")),"")</f>
        <v>54915</v>
      </c>
      <c r="BD176" s="19">
        <f>IFERROR(IF($E176="REC",INDEX(A_Type_Volume!$F:$F,MATCH($D176,A_Type_Volume!$A:$A,0),1),IF($E176="VAM",INDEX(C_Type_Volume!$F:$F,MATCH($D176,C_Type_Volume!$A:$A,0),1),"X")),"")</f>
        <v>65054</v>
      </c>
      <c r="BE176" s="19">
        <f>IFERROR(IF($E176="REC",INDEX(A_Type_Volume!$G:$G,MATCH($D176,A_Type_Volume!$A:$A,0),1),IF($E176="VAM",INDEX(C_Type_Volume!$G:$G,MATCH($D176,C_Type_Volume!$A:$A,0),1),"X")),"")</f>
        <v>87257</v>
      </c>
      <c r="BF176" s="19">
        <f>IFERROR(IF($E176="REC",INDEX(A_Type_Volume!$H:$H,MATCH($D176,A_Type_Volume!$A:$A,0),1),IF($E176="VAM",INDEX(C_Type_Volume!$H:$H,MATCH($D176,C_Type_Volume!$A:$A,0),1),"X")),"")</f>
        <v>52712</v>
      </c>
      <c r="BG176" s="19">
        <f>IFERROR(IF($E176="REC",INDEX(A_Type_Volume!$I:$I,MATCH($D176,A_Type_Volume!$A:$A,0),1),IF($E176="VAM",INDEX(C_Type_Volume!$I:$I,MATCH($D176,C_Type_Volume!$A:$A,0),1),"X")),"")</f>
        <v>19320</v>
      </c>
      <c r="BH176" s="19">
        <f>IFERROR(IF($E176="REC",INDEX(A_Type_Volume!$J:$J,MATCH($D176,A_Type_Volume!$A:$A,0),1),IF($E176="VAM",INDEX(C_Type_Volume!$J:$J,MATCH($D176,C_Type_Volume!$A:$A,0),1),"X")),"")</f>
        <v>22540</v>
      </c>
      <c r="BI176" s="19">
        <f>IFERROR(IF($E176="REC",INDEX(A_Type_Volume!$K:$K,MATCH($D176,A_Type_Volume!$A:$A,0),1),IF($E176="VAM",INDEX(C_Type_Volume!$K:$K,MATCH($D176,C_Type_Volume!$A:$A,0),1),"X")),"")</f>
        <v>24454</v>
      </c>
      <c r="BJ176" s="19">
        <f>IFERROR(IF($E176="REC",INDEX(A_Type_Volume!$L:$L,MATCH($D176,A_Type_Volume!$A:$A,0),1),IF($E176="VAM",INDEX(C_Type_Volume!$L:$L,MATCH($D176,C_Type_Volume!$A:$A,0),1),"X")),"")</f>
        <v>16673</v>
      </c>
      <c r="BK176" s="19">
        <f>IFERROR(IF($E176="REC",INDEX(A_Type_Volume!M:M,MATCH($D176,A_Type_Volume!$A:$A,0),1),IF($E176="VAM",INDEX(C_Type_Volume!M:M,MATCH($D176,C_Type_Volume!$A:$A,0),1),"X")),"")</f>
        <v>14590</v>
      </c>
      <c r="BL176" s="38">
        <f>SUM(Table1[[#This Row],[Jan_AVF]:[Dec_AVF]])</f>
        <v>566147</v>
      </c>
      <c r="BM176" s="16">
        <f t="shared" si="140"/>
        <v>1932.4649567140304</v>
      </c>
      <c r="BN176" s="16">
        <f t="shared" si="141"/>
        <v>3545.6854379497327</v>
      </c>
      <c r="BO176" s="16">
        <f t="shared" si="142"/>
        <v>2281.9117523704313</v>
      </c>
      <c r="BP176" s="16">
        <f t="shared" si="143"/>
        <v>2042.5620844567602</v>
      </c>
      <c r="BQ176" s="16">
        <f t="shared" si="144"/>
        <v>2419.681941951199</v>
      </c>
      <c r="BR176" s="16">
        <f t="shared" si="145"/>
        <v>3245.5219849484388</v>
      </c>
      <c r="BS176" s="16">
        <f t="shared" si="146"/>
        <v>1960.6215532347217</v>
      </c>
      <c r="BT176" s="16">
        <f t="shared" si="147"/>
        <v>718.60692837484487</v>
      </c>
      <c r="BU176" s="16">
        <f t="shared" si="148"/>
        <v>838.37474977065233</v>
      </c>
      <c r="BV176" s="16">
        <f t="shared" si="149"/>
        <v>909.56593304753915</v>
      </c>
      <c r="BW176" s="16">
        <f t="shared" si="150"/>
        <v>620.15182799139689</v>
      </c>
      <c r="BX176" s="16">
        <f t="shared" si="151"/>
        <v>542.6746938400097</v>
      </c>
      <c r="BY176" s="10">
        <f t="shared" si="118"/>
        <v>7760.0621470341939</v>
      </c>
      <c r="BZ176" s="10">
        <f t="shared" si="119"/>
        <v>7707.7660113563979</v>
      </c>
      <c r="CA176" s="10">
        <f t="shared" si="120"/>
        <v>3517.6032313802189</v>
      </c>
      <c r="CB176" s="10">
        <f t="shared" si="121"/>
        <v>2072.3924548789455</v>
      </c>
      <c r="CC176" s="10">
        <f>IFERROR(Table1[[#This Row],[Labor
Saving]]*Table1[[#This Row],[Annual Volume]],"")</f>
        <v>9734.8838446497575</v>
      </c>
      <c r="CD176" s="10">
        <f>IFERROR(Table1[[#This Row],[Annual Volume]]*Table1[[#This Row],[Yield
Saving]],"")</f>
        <v>0</v>
      </c>
      <c r="CE176" s="10">
        <f>IFERROR(Table1[[#This Row],[Annual Volume]]*Table1[[#This Row],[Material
Saving]],"")</f>
        <v>11322.94</v>
      </c>
      <c r="CF176" s="10">
        <f>IFERROR(Table1[[#This Row],[OH
Saving]]*Table1[[#This Row],[Annual Volume]],"")</f>
        <v>0</v>
      </c>
      <c r="CG176" s="10">
        <f>SUM(Table1[[#This Row],[Labor_ASV]:[OH_ASV]])</f>
        <v>21057.823844649756</v>
      </c>
    </row>
    <row r="177" spans="1:85" x14ac:dyDescent="0.3">
      <c r="A177" t="str">
        <f>Table1[[#This Row],[Project Name]]&amp;Table1[[#This Row],[Part Number]]</f>
        <v>Thermal Release Tape 2R124</v>
      </c>
      <c r="B177" t="str">
        <f>IFERROR(Table1[[#This Row],[Project Number]]&amp;Table1[[#This Row],[Part Number]],"")</f>
        <v>AME25-039R124</v>
      </c>
      <c r="C177" s="22" t="s">
        <v>91</v>
      </c>
      <c r="D177" s="24" t="s">
        <v>362</v>
      </c>
      <c r="E177" s="25" t="s">
        <v>58</v>
      </c>
      <c r="F177" s="6">
        <f>INDEX(Proj_Reg!G:G,MATCH($C177,Proj_Reg!$B:$B,0),1)</f>
        <v>46113</v>
      </c>
      <c r="G177" s="6">
        <f>INDEX(Proj_Reg!H:H,MATCH($C177,Proj_Reg!$B:$B,0),1)</f>
        <v>46447</v>
      </c>
      <c r="H177" s="6" t="str">
        <f>IF(INDEX(Proj_Reg!C:C,MATCH($C177,Proj_Reg!$B:$B,0),1)=0,"",INDEX(Proj_Reg!C:C,MATCH($C177,Proj_Reg!$B:$B,0),1))</f>
        <v>Wafer Saw Dicing</v>
      </c>
      <c r="I177" s="6" t="str">
        <f>IF(INDEX(Proj_Reg!D:D,MATCH($C177,Proj_Reg!$B:$B,0),1)=0,"",INDEX(Proj_Reg!D:D,MATCH($C177,Proj_Reg!$B:$B,0),1))</f>
        <v>XCD</v>
      </c>
      <c r="J177" s="6" t="str">
        <f>INDEX(Proj_Reg!E:E,MATCH($C177,Proj_Reg!$B:$B,0),1)</f>
        <v>Thermal Release Tape 2</v>
      </c>
      <c r="K177" s="21">
        <v>1.7194975588760087E-2</v>
      </c>
      <c r="L177" s="21">
        <v>0</v>
      </c>
      <c r="M177" s="21">
        <v>0.02</v>
      </c>
      <c r="N177" s="21">
        <v>0</v>
      </c>
      <c r="O177" s="11">
        <f>SUM(Table1[[#This Row],[Labor
Saving]:[OH
Saving]])</f>
        <v>3.7194975588760087E-2</v>
      </c>
      <c r="Q177" s="40">
        <f t="shared" si="102"/>
        <v>0</v>
      </c>
      <c r="R177" s="40">
        <f t="shared" si="103"/>
        <v>0</v>
      </c>
      <c r="S177" s="40">
        <f t="shared" si="104"/>
        <v>0</v>
      </c>
      <c r="T177" s="40">
        <f t="shared" si="105"/>
        <v>6826.5</v>
      </c>
      <c r="U177" s="40">
        <f t="shared" si="106"/>
        <v>26656</v>
      </c>
      <c r="V177" s="40">
        <f t="shared" si="107"/>
        <v>28978</v>
      </c>
      <c r="W177" s="40">
        <f t="shared" si="108"/>
        <v>21607</v>
      </c>
      <c r="X177" s="40">
        <f t="shared" si="109"/>
        <v>7919</v>
      </c>
      <c r="Y177" s="40">
        <f t="shared" si="110"/>
        <v>9239</v>
      </c>
      <c r="Z177" s="40">
        <f t="shared" si="111"/>
        <v>10024</v>
      </c>
      <c r="AA177" s="40">
        <f t="shared" si="112"/>
        <v>6834</v>
      </c>
      <c r="AB177" s="40">
        <f t="shared" si="113"/>
        <v>5980</v>
      </c>
      <c r="AC177" s="37">
        <f>SUM(Table1[[#This Row],[Jan]:[Dec]])</f>
        <v>124063.5</v>
      </c>
      <c r="AD177" s="15">
        <f t="shared" si="122"/>
        <v>0</v>
      </c>
      <c r="AE177" s="15">
        <f t="shared" si="123"/>
        <v>0</v>
      </c>
      <c r="AF177" s="15">
        <f t="shared" si="124"/>
        <v>0</v>
      </c>
      <c r="AG177" s="15">
        <f t="shared" si="125"/>
        <v>253.91150085667073</v>
      </c>
      <c r="AH177" s="15">
        <f t="shared" si="126"/>
        <v>991.46926929398887</v>
      </c>
      <c r="AI177" s="15">
        <f t="shared" si="127"/>
        <v>1077.8360026110897</v>
      </c>
      <c r="AJ177" s="15">
        <f t="shared" si="128"/>
        <v>803.67183754633925</v>
      </c>
      <c r="AK177" s="15">
        <f t="shared" si="129"/>
        <v>294.54701168739115</v>
      </c>
      <c r="AL177" s="15">
        <f t="shared" si="130"/>
        <v>343.64437946455445</v>
      </c>
      <c r="AM177" s="15">
        <f t="shared" si="131"/>
        <v>372.84243530173114</v>
      </c>
      <c r="AN177" s="15">
        <f t="shared" si="132"/>
        <v>254.19046317358644</v>
      </c>
      <c r="AO177" s="15">
        <f t="shared" si="133"/>
        <v>222.42595402078533</v>
      </c>
      <c r="AP177" s="10">
        <f t="shared" si="134"/>
        <v>0</v>
      </c>
      <c r="AQ177" s="10">
        <f t="shared" si="135"/>
        <v>2323.2167727617493</v>
      </c>
      <c r="AR177" s="10">
        <f t="shared" si="136"/>
        <v>1441.863228698285</v>
      </c>
      <c r="AS177" s="10">
        <f t="shared" si="137"/>
        <v>849.45885249610285</v>
      </c>
      <c r="AT177" s="10" t="b">
        <f t="shared" si="138"/>
        <v>1</v>
      </c>
      <c r="AU177" s="10">
        <f t="shared" si="114"/>
        <v>2133.2688539561373</v>
      </c>
      <c r="AV177" s="10">
        <f t="shared" si="115"/>
        <v>0</v>
      </c>
      <c r="AW177" s="10">
        <f t="shared" si="116"/>
        <v>2481.27</v>
      </c>
      <c r="AX177" s="10">
        <f t="shared" si="117"/>
        <v>0</v>
      </c>
      <c r="AY177" s="10">
        <f t="shared" si="139"/>
        <v>4614.5388539561372</v>
      </c>
      <c r="AZ177" s="19">
        <f>IFERROR(IF($E177="REC",INDEX(A_Type_Volume!$B:$B,MATCH($D177,A_Type_Volume!$A:$A,0),1),IF($E177="VAM",INDEX(C_Type_Volume!$B:$B,MATCH($D177,C_Type_Volume!$A:$A,0),1),"X")),"")</f>
        <v>27818</v>
      </c>
      <c r="BA177" s="19">
        <f>IFERROR(IF($E177="REC",INDEX(A_Type_Volume!$C:$C,MATCH($D177,A_Type_Volume!$A:$A,0),1),IF($E177="VAM",INDEX(C_Type_Volume!$C:$C,MATCH($D177,C_Type_Volume!$A:$A,0),1),"X")),"")</f>
        <v>18062</v>
      </c>
      <c r="BB177" s="19">
        <f>IFERROR(IF($E177="REC",INDEX(A_Type_Volume!$D:$D,MATCH($D177,A_Type_Volume!$A:$A,0),1),IF($E177="VAM",INDEX(C_Type_Volume!$D:$D,MATCH($D177,C_Type_Volume!$A:$A,0),1),"X")),"")</f>
        <v>25421</v>
      </c>
      <c r="BC177" s="19">
        <f>IFERROR(IF($E177="REC",INDEX(A_Type_Volume!$E:$E,MATCH($D177,A_Type_Volume!$A:$A,0),1),IF($E177="VAM",INDEX(C_Type_Volume!$E:$E,MATCH($D177,C_Type_Volume!$A:$A,0),1),"X")),"")</f>
        <v>22755</v>
      </c>
      <c r="BD177" s="19">
        <f>IFERROR(IF($E177="REC",INDEX(A_Type_Volume!$F:$F,MATCH($D177,A_Type_Volume!$A:$A,0),1),IF($E177="VAM",INDEX(C_Type_Volume!$F:$F,MATCH($D177,C_Type_Volume!$A:$A,0),1),"X")),"")</f>
        <v>26656</v>
      </c>
      <c r="BE177" s="19">
        <f>IFERROR(IF($E177="REC",INDEX(A_Type_Volume!$G:$G,MATCH($D177,A_Type_Volume!$A:$A,0),1),IF($E177="VAM",INDEX(C_Type_Volume!$G:$G,MATCH($D177,C_Type_Volume!$A:$A,0),1),"X")),"")</f>
        <v>28978</v>
      </c>
      <c r="BF177" s="19">
        <f>IFERROR(IF($E177="REC",INDEX(A_Type_Volume!$H:$H,MATCH($D177,A_Type_Volume!$A:$A,0),1),IF($E177="VAM",INDEX(C_Type_Volume!$H:$H,MATCH($D177,C_Type_Volume!$A:$A,0),1),"X")),"")</f>
        <v>21607</v>
      </c>
      <c r="BG177" s="19">
        <f>IFERROR(IF($E177="REC",INDEX(A_Type_Volume!$I:$I,MATCH($D177,A_Type_Volume!$A:$A,0),1),IF($E177="VAM",INDEX(C_Type_Volume!$I:$I,MATCH($D177,C_Type_Volume!$A:$A,0),1),"X")),"")</f>
        <v>7919</v>
      </c>
      <c r="BH177" s="19">
        <f>IFERROR(IF($E177="REC",INDEX(A_Type_Volume!$J:$J,MATCH($D177,A_Type_Volume!$A:$A,0),1),IF($E177="VAM",INDEX(C_Type_Volume!$J:$J,MATCH($D177,C_Type_Volume!$A:$A,0),1),"X")),"")</f>
        <v>9239</v>
      </c>
      <c r="BI177" s="19">
        <f>IFERROR(IF($E177="REC",INDEX(A_Type_Volume!$K:$K,MATCH($D177,A_Type_Volume!$A:$A,0),1),IF($E177="VAM",INDEX(C_Type_Volume!$K:$K,MATCH($D177,C_Type_Volume!$A:$A,0),1),"X")),"")</f>
        <v>10024</v>
      </c>
      <c r="BJ177" s="19">
        <f>IFERROR(IF($E177="REC",INDEX(A_Type_Volume!$L:$L,MATCH($D177,A_Type_Volume!$A:$A,0),1),IF($E177="VAM",INDEX(C_Type_Volume!$L:$L,MATCH($D177,C_Type_Volume!$A:$A,0),1),"X")),"")</f>
        <v>6834</v>
      </c>
      <c r="BK177" s="19">
        <f>IFERROR(IF($E177="REC",INDEX(A_Type_Volume!M:M,MATCH($D177,A_Type_Volume!$A:$A,0),1),IF($E177="VAM",INDEX(C_Type_Volume!M:M,MATCH($D177,C_Type_Volume!$A:$A,0),1),"X")),"")</f>
        <v>5980</v>
      </c>
      <c r="BL177" s="38">
        <f>SUM(Table1[[#This Row],[Jan_AVF]:[Dec_AVF]])</f>
        <v>211293</v>
      </c>
      <c r="BM177" s="16">
        <f t="shared" si="140"/>
        <v>1034.689830928128</v>
      </c>
      <c r="BN177" s="16">
        <f t="shared" si="141"/>
        <v>671.81564908418466</v>
      </c>
      <c r="BO177" s="16">
        <f t="shared" si="142"/>
        <v>945.53347444187023</v>
      </c>
      <c r="BP177" s="16">
        <f t="shared" si="143"/>
        <v>846.37166952223583</v>
      </c>
      <c r="BQ177" s="16">
        <f t="shared" si="144"/>
        <v>991.46926929398887</v>
      </c>
      <c r="BR177" s="16">
        <f t="shared" si="145"/>
        <v>1077.8360026110897</v>
      </c>
      <c r="BS177" s="16">
        <f t="shared" si="146"/>
        <v>803.67183754633925</v>
      </c>
      <c r="BT177" s="16">
        <f t="shared" si="147"/>
        <v>294.54701168739115</v>
      </c>
      <c r="BU177" s="16">
        <f t="shared" si="148"/>
        <v>343.64437946455445</v>
      </c>
      <c r="BV177" s="16">
        <f t="shared" si="149"/>
        <v>372.84243530173114</v>
      </c>
      <c r="BW177" s="16">
        <f t="shared" si="150"/>
        <v>254.19046317358644</v>
      </c>
      <c r="BX177" s="16">
        <f t="shared" si="151"/>
        <v>222.42595402078533</v>
      </c>
      <c r="BY177" s="10">
        <f t="shared" si="118"/>
        <v>2652.0389544541827</v>
      </c>
      <c r="BZ177" s="10">
        <f t="shared" si="119"/>
        <v>2915.6769414273144</v>
      </c>
      <c r="CA177" s="10">
        <f t="shared" si="120"/>
        <v>1441.863228698285</v>
      </c>
      <c r="CB177" s="10">
        <f t="shared" si="121"/>
        <v>849.45885249610285</v>
      </c>
      <c r="CC177" s="10">
        <f>IFERROR(Table1[[#This Row],[Labor
Saving]]*Table1[[#This Row],[Annual Volume]],"")</f>
        <v>3633.1779770758849</v>
      </c>
      <c r="CD177" s="10">
        <f>IFERROR(Table1[[#This Row],[Annual Volume]]*Table1[[#This Row],[Yield
Saving]],"")</f>
        <v>0</v>
      </c>
      <c r="CE177" s="10">
        <f>IFERROR(Table1[[#This Row],[Annual Volume]]*Table1[[#This Row],[Material
Saving]],"")</f>
        <v>4225.8599999999997</v>
      </c>
      <c r="CF177" s="10">
        <f>IFERROR(Table1[[#This Row],[OH
Saving]]*Table1[[#This Row],[Annual Volume]],"")</f>
        <v>0</v>
      </c>
      <c r="CG177" s="10">
        <f>SUM(Table1[[#This Row],[Labor_ASV]:[OH_ASV]])</f>
        <v>7859.0379770758846</v>
      </c>
    </row>
    <row r="178" spans="1:85" x14ac:dyDescent="0.3">
      <c r="A178" t="str">
        <f>Table1[[#This Row],[Project Name]]&amp;Table1[[#This Row],[Part Number]]</f>
        <v>Thermal Release Tape 2R125</v>
      </c>
      <c r="B178" t="str">
        <f>IFERROR(Table1[[#This Row],[Project Number]]&amp;Table1[[#This Row],[Part Number]],"")</f>
        <v>AME25-039R125</v>
      </c>
      <c r="C178" s="22" t="s">
        <v>91</v>
      </c>
      <c r="D178" s="24" t="s">
        <v>363</v>
      </c>
      <c r="E178" s="25" t="s">
        <v>58</v>
      </c>
      <c r="F178" s="6">
        <f>INDEX(Proj_Reg!G:G,MATCH($C178,Proj_Reg!$B:$B,0),1)</f>
        <v>46113</v>
      </c>
      <c r="G178" s="6">
        <f>INDEX(Proj_Reg!H:H,MATCH($C178,Proj_Reg!$B:$B,0),1)</f>
        <v>46447</v>
      </c>
      <c r="H178" s="6" t="str">
        <f>IF(INDEX(Proj_Reg!C:C,MATCH($C178,Proj_Reg!$B:$B,0),1)=0,"",INDEX(Proj_Reg!C:C,MATCH($C178,Proj_Reg!$B:$B,0),1))</f>
        <v>Wafer Saw Dicing</v>
      </c>
      <c r="I178" s="6" t="str">
        <f>IF(INDEX(Proj_Reg!D:D,MATCH($C178,Proj_Reg!$B:$B,0),1)=0,"",INDEX(Proj_Reg!D:D,MATCH($C178,Proj_Reg!$B:$B,0),1))</f>
        <v>XCD</v>
      </c>
      <c r="J178" s="6" t="str">
        <f>INDEX(Proj_Reg!E:E,MATCH($C178,Proj_Reg!$B:$B,0),1)</f>
        <v>Thermal Release Tape 2</v>
      </c>
      <c r="K178" s="21">
        <v>1.7194975588760087E-2</v>
      </c>
      <c r="L178" s="21">
        <v>0</v>
      </c>
      <c r="M178" s="21">
        <v>0.02</v>
      </c>
      <c r="N178" s="21">
        <v>0</v>
      </c>
      <c r="O178" s="11">
        <f>SUM(Table1[[#This Row],[Labor
Saving]:[OH
Saving]])</f>
        <v>3.7194975588760087E-2</v>
      </c>
      <c r="Q178" s="40">
        <f t="shared" si="102"/>
        <v>0</v>
      </c>
      <c r="R178" s="40">
        <f t="shared" si="103"/>
        <v>0</v>
      </c>
      <c r="S178" s="40">
        <f t="shared" si="104"/>
        <v>0</v>
      </c>
      <c r="T178" s="40">
        <f t="shared" si="105"/>
        <v>6855.5999999999995</v>
      </c>
      <c r="U178" s="40">
        <f t="shared" si="106"/>
        <v>27052</v>
      </c>
      <c r="V178" s="40">
        <f t="shared" si="107"/>
        <v>29699</v>
      </c>
      <c r="W178" s="40">
        <f t="shared" si="108"/>
        <v>23118</v>
      </c>
      <c r="X178" s="40">
        <f t="shared" si="109"/>
        <v>8473</v>
      </c>
      <c r="Y178" s="40">
        <f t="shared" si="110"/>
        <v>9885</v>
      </c>
      <c r="Z178" s="40">
        <f t="shared" si="111"/>
        <v>10725</v>
      </c>
      <c r="AA178" s="40">
        <f t="shared" si="112"/>
        <v>7312</v>
      </c>
      <c r="AB178" s="40">
        <f t="shared" si="113"/>
        <v>6399</v>
      </c>
      <c r="AC178" s="37">
        <f>SUM(Table1[[#This Row],[Jan]:[Dec]])</f>
        <v>129518.6</v>
      </c>
      <c r="AD178" s="15">
        <f t="shared" si="122"/>
        <v>0</v>
      </c>
      <c r="AE178" s="15">
        <f t="shared" si="123"/>
        <v>0</v>
      </c>
      <c r="AF178" s="15">
        <f t="shared" si="124"/>
        <v>0</v>
      </c>
      <c r="AG178" s="15">
        <f t="shared" si="125"/>
        <v>254.99387464630362</v>
      </c>
      <c r="AH178" s="15">
        <f t="shared" si="126"/>
        <v>1006.1984796271379</v>
      </c>
      <c r="AI178" s="15">
        <f t="shared" si="127"/>
        <v>1104.6535800105858</v>
      </c>
      <c r="AJ178" s="15">
        <f t="shared" si="128"/>
        <v>859.87344566095567</v>
      </c>
      <c r="AK178" s="15">
        <f t="shared" si="129"/>
        <v>315.15302816356422</v>
      </c>
      <c r="AL178" s="15">
        <f t="shared" si="130"/>
        <v>367.67233369489344</v>
      </c>
      <c r="AM178" s="15">
        <f t="shared" si="131"/>
        <v>398.91611318945195</v>
      </c>
      <c r="AN178" s="15">
        <f t="shared" si="132"/>
        <v>271.96966150501373</v>
      </c>
      <c r="AO178" s="15">
        <f t="shared" si="133"/>
        <v>238.01064879247579</v>
      </c>
      <c r="AP178" s="10">
        <f t="shared" si="134"/>
        <v>0</v>
      </c>
      <c r="AQ178" s="10">
        <f t="shared" si="135"/>
        <v>2365.845934284027</v>
      </c>
      <c r="AR178" s="10">
        <f t="shared" si="136"/>
        <v>1542.6988075194133</v>
      </c>
      <c r="AS178" s="10">
        <f t="shared" si="137"/>
        <v>908.89642348694144</v>
      </c>
      <c r="AT178" s="10" t="b">
        <f t="shared" si="138"/>
        <v>1</v>
      </c>
      <c r="AU178" s="10">
        <f t="shared" si="114"/>
        <v>2227.0691652903824</v>
      </c>
      <c r="AV178" s="10">
        <f t="shared" si="115"/>
        <v>0</v>
      </c>
      <c r="AW178" s="10">
        <f t="shared" si="116"/>
        <v>2590.3720000000003</v>
      </c>
      <c r="AX178" s="10">
        <f t="shared" si="117"/>
        <v>0</v>
      </c>
      <c r="AY178" s="10">
        <f t="shared" si="139"/>
        <v>4817.4411652903827</v>
      </c>
      <c r="AZ178" s="19">
        <f>IFERROR(IF($E178="REC",INDEX(A_Type_Volume!$B:$B,MATCH($D178,A_Type_Volume!$A:$A,0),1),IF($E178="VAM",INDEX(C_Type_Volume!$B:$B,MATCH($D178,C_Type_Volume!$A:$A,0),1),"X")),"")</f>
        <v>31909</v>
      </c>
      <c r="BA178" s="19">
        <f>IFERROR(IF($E178="REC",INDEX(A_Type_Volume!$C:$C,MATCH($D178,A_Type_Volume!$A:$A,0),1),IF($E178="VAM",INDEX(C_Type_Volume!$C:$C,MATCH($D178,C_Type_Volume!$A:$A,0),1),"X")),"")</f>
        <v>18062</v>
      </c>
      <c r="BB178" s="19">
        <f>IFERROR(IF($E178="REC",INDEX(A_Type_Volume!$D:$D,MATCH($D178,A_Type_Volume!$A:$A,0),1),IF($E178="VAM",INDEX(C_Type_Volume!$D:$D,MATCH($D178,C_Type_Volume!$A:$A,0),1),"X")),"")</f>
        <v>25529</v>
      </c>
      <c r="BC178" s="19">
        <f>IFERROR(IF($E178="REC",INDEX(A_Type_Volume!$E:$E,MATCH($D178,A_Type_Volume!$A:$A,0),1),IF($E178="VAM",INDEX(C_Type_Volume!$E:$E,MATCH($D178,C_Type_Volume!$A:$A,0),1),"X")),"")</f>
        <v>22852</v>
      </c>
      <c r="BD178" s="19">
        <f>IFERROR(IF($E178="REC",INDEX(A_Type_Volume!$F:$F,MATCH($D178,A_Type_Volume!$A:$A,0),1),IF($E178="VAM",INDEX(C_Type_Volume!$F:$F,MATCH($D178,C_Type_Volume!$A:$A,0),1),"X")),"")</f>
        <v>27052</v>
      </c>
      <c r="BE178" s="19">
        <f>IFERROR(IF($E178="REC",INDEX(A_Type_Volume!$G:$G,MATCH($D178,A_Type_Volume!$A:$A,0),1),IF($E178="VAM",INDEX(C_Type_Volume!$G:$G,MATCH($D178,C_Type_Volume!$A:$A,0),1),"X")),"")</f>
        <v>29699</v>
      </c>
      <c r="BF178" s="19">
        <f>IFERROR(IF($E178="REC",INDEX(A_Type_Volume!$H:$H,MATCH($D178,A_Type_Volume!$A:$A,0),1),IF($E178="VAM",INDEX(C_Type_Volume!$H:$H,MATCH($D178,C_Type_Volume!$A:$A,0),1),"X")),"")</f>
        <v>23118</v>
      </c>
      <c r="BG178" s="19">
        <f>IFERROR(IF($E178="REC",INDEX(A_Type_Volume!$I:$I,MATCH($D178,A_Type_Volume!$A:$A,0),1),IF($E178="VAM",INDEX(C_Type_Volume!$I:$I,MATCH($D178,C_Type_Volume!$A:$A,0),1),"X")),"")</f>
        <v>8473</v>
      </c>
      <c r="BH178" s="19">
        <f>IFERROR(IF($E178="REC",INDEX(A_Type_Volume!$J:$J,MATCH($D178,A_Type_Volume!$A:$A,0),1),IF($E178="VAM",INDEX(C_Type_Volume!$J:$J,MATCH($D178,C_Type_Volume!$A:$A,0),1),"X")),"")</f>
        <v>9885</v>
      </c>
      <c r="BI178" s="19">
        <f>IFERROR(IF($E178="REC",INDEX(A_Type_Volume!$K:$K,MATCH($D178,A_Type_Volume!$A:$A,0),1),IF($E178="VAM",INDEX(C_Type_Volume!$K:$K,MATCH($D178,C_Type_Volume!$A:$A,0),1),"X")),"")</f>
        <v>10725</v>
      </c>
      <c r="BJ178" s="19">
        <f>IFERROR(IF($E178="REC",INDEX(A_Type_Volume!$L:$L,MATCH($D178,A_Type_Volume!$A:$A,0),1),IF($E178="VAM",INDEX(C_Type_Volume!$L:$L,MATCH($D178,C_Type_Volume!$A:$A,0),1),"X")),"")</f>
        <v>7312</v>
      </c>
      <c r="BK178" s="19">
        <f>IFERROR(IF($E178="REC",INDEX(A_Type_Volume!M:M,MATCH($D178,A_Type_Volume!$A:$A,0),1),IF($E178="VAM",INDEX(C_Type_Volume!M:M,MATCH($D178,C_Type_Volume!$A:$A,0),1),"X")),"")</f>
        <v>6399</v>
      </c>
      <c r="BL178" s="38">
        <f>SUM(Table1[[#This Row],[Jan_AVF]:[Dec_AVF]])</f>
        <v>221015</v>
      </c>
      <c r="BM178" s="16">
        <f t="shared" si="140"/>
        <v>1186.8544760617456</v>
      </c>
      <c r="BN178" s="16">
        <f t="shared" si="141"/>
        <v>671.81564908418466</v>
      </c>
      <c r="BO178" s="16">
        <f t="shared" si="142"/>
        <v>949.55053180545622</v>
      </c>
      <c r="BP178" s="16">
        <f t="shared" si="143"/>
        <v>849.97958215434551</v>
      </c>
      <c r="BQ178" s="16">
        <f t="shared" si="144"/>
        <v>1006.1984796271379</v>
      </c>
      <c r="BR178" s="16">
        <f t="shared" si="145"/>
        <v>1104.6535800105858</v>
      </c>
      <c r="BS178" s="16">
        <f t="shared" si="146"/>
        <v>859.87344566095567</v>
      </c>
      <c r="BT178" s="16">
        <f t="shared" si="147"/>
        <v>315.15302816356422</v>
      </c>
      <c r="BU178" s="16">
        <f t="shared" si="148"/>
        <v>367.67233369489344</v>
      </c>
      <c r="BV178" s="16">
        <f t="shared" si="149"/>
        <v>398.91611318945195</v>
      </c>
      <c r="BW178" s="16">
        <f t="shared" si="150"/>
        <v>271.96966150501373</v>
      </c>
      <c r="BX178" s="16">
        <f t="shared" si="151"/>
        <v>238.01064879247579</v>
      </c>
      <c r="BY178" s="10">
        <f t="shared" si="118"/>
        <v>2808.2206569513864</v>
      </c>
      <c r="BZ178" s="10">
        <f t="shared" si="119"/>
        <v>2960.8316417920691</v>
      </c>
      <c r="CA178" s="10">
        <f t="shared" si="120"/>
        <v>1542.6988075194133</v>
      </c>
      <c r="CB178" s="10">
        <f t="shared" si="121"/>
        <v>908.89642348694144</v>
      </c>
      <c r="CC178" s="10">
        <f>IFERROR(Table1[[#This Row],[Labor
Saving]]*Table1[[#This Row],[Annual Volume]],"")</f>
        <v>3800.3475297498107</v>
      </c>
      <c r="CD178" s="10">
        <f>IFERROR(Table1[[#This Row],[Annual Volume]]*Table1[[#This Row],[Yield
Saving]],"")</f>
        <v>0</v>
      </c>
      <c r="CE178" s="10">
        <f>IFERROR(Table1[[#This Row],[Annual Volume]]*Table1[[#This Row],[Material
Saving]],"")</f>
        <v>4420.3</v>
      </c>
      <c r="CF178" s="10">
        <f>IFERROR(Table1[[#This Row],[OH
Saving]]*Table1[[#This Row],[Annual Volume]],"")</f>
        <v>0</v>
      </c>
      <c r="CG178" s="10">
        <f>SUM(Table1[[#This Row],[Labor_ASV]:[OH_ASV]])</f>
        <v>8220.6475297498109</v>
      </c>
    </row>
    <row r="179" spans="1:85" x14ac:dyDescent="0.3">
      <c r="A179" t="str">
        <f>Table1[[#This Row],[Project Name]]&amp;Table1[[#This Row],[Part Number]]</f>
        <v>Thermal Release Tape 2R126</v>
      </c>
      <c r="B179" t="str">
        <f>IFERROR(Table1[[#This Row],[Project Number]]&amp;Table1[[#This Row],[Part Number]],"")</f>
        <v>AME25-039R126</v>
      </c>
      <c r="C179" s="22" t="s">
        <v>91</v>
      </c>
      <c r="D179" s="24" t="s">
        <v>364</v>
      </c>
      <c r="E179" s="25" t="s">
        <v>58</v>
      </c>
      <c r="F179" s="6">
        <f>INDEX(Proj_Reg!G:G,MATCH($C179,Proj_Reg!$B:$B,0),1)</f>
        <v>46113</v>
      </c>
      <c r="G179" s="6">
        <f>INDEX(Proj_Reg!H:H,MATCH($C179,Proj_Reg!$B:$B,0),1)</f>
        <v>46447</v>
      </c>
      <c r="H179" s="6" t="str">
        <f>IF(INDEX(Proj_Reg!C:C,MATCH($C179,Proj_Reg!$B:$B,0),1)=0,"",INDEX(Proj_Reg!C:C,MATCH($C179,Proj_Reg!$B:$B,0),1))</f>
        <v>Wafer Saw Dicing</v>
      </c>
      <c r="I179" s="6" t="str">
        <f>IF(INDEX(Proj_Reg!D:D,MATCH($C179,Proj_Reg!$B:$B,0),1)=0,"",INDEX(Proj_Reg!D:D,MATCH($C179,Proj_Reg!$B:$B,0),1))</f>
        <v>XCD</v>
      </c>
      <c r="J179" s="6" t="str">
        <f>INDEX(Proj_Reg!E:E,MATCH($C179,Proj_Reg!$B:$B,0),1)</f>
        <v>Thermal Release Tape 2</v>
      </c>
      <c r="K179" s="21">
        <v>1.7194975588760087E-2</v>
      </c>
      <c r="L179" s="21">
        <v>0</v>
      </c>
      <c r="M179" s="21">
        <v>0.02</v>
      </c>
      <c r="N179" s="21">
        <v>0</v>
      </c>
      <c r="O179" s="11">
        <f>SUM(Table1[[#This Row],[Labor
Saving]:[OH
Saving]])</f>
        <v>3.7194975588760087E-2</v>
      </c>
      <c r="Q179" s="40">
        <f t="shared" si="102"/>
        <v>0</v>
      </c>
      <c r="R179" s="40">
        <f t="shared" si="103"/>
        <v>0</v>
      </c>
      <c r="S179" s="40">
        <f t="shared" si="104"/>
        <v>0</v>
      </c>
      <c r="T179" s="40">
        <f t="shared" si="105"/>
        <v>1944.3</v>
      </c>
      <c r="U179" s="40">
        <f t="shared" si="106"/>
        <v>7702</v>
      </c>
      <c r="V179" s="40">
        <f t="shared" si="107"/>
        <v>8122</v>
      </c>
      <c r="W179" s="40">
        <f t="shared" si="108"/>
        <v>6731</v>
      </c>
      <c r="X179" s="40">
        <f t="shared" si="109"/>
        <v>2467</v>
      </c>
      <c r="Y179" s="40">
        <f t="shared" si="110"/>
        <v>2878</v>
      </c>
      <c r="Z179" s="40">
        <f t="shared" si="111"/>
        <v>3123</v>
      </c>
      <c r="AA179" s="40">
        <f t="shared" si="112"/>
        <v>2129</v>
      </c>
      <c r="AB179" s="40">
        <f t="shared" si="113"/>
        <v>1863</v>
      </c>
      <c r="AC179" s="37">
        <f>SUM(Table1[[#This Row],[Jan]:[Dec]])</f>
        <v>36959.300000000003</v>
      </c>
      <c r="AD179" s="15">
        <f t="shared" si="122"/>
        <v>0</v>
      </c>
      <c r="AE179" s="15">
        <f t="shared" si="123"/>
        <v>0</v>
      </c>
      <c r="AF179" s="15">
        <f t="shared" si="124"/>
        <v>0</v>
      </c>
      <c r="AG179" s="15">
        <f t="shared" si="125"/>
        <v>72.318191037226242</v>
      </c>
      <c r="AH179" s="15">
        <f t="shared" si="126"/>
        <v>286.47570198463018</v>
      </c>
      <c r="AI179" s="15">
        <f t="shared" si="127"/>
        <v>302.0975917319094</v>
      </c>
      <c r="AJ179" s="15">
        <f t="shared" si="128"/>
        <v>250.35938068794414</v>
      </c>
      <c r="AK179" s="15">
        <f t="shared" si="129"/>
        <v>91.760004777471138</v>
      </c>
      <c r="AL179" s="15">
        <f t="shared" si="130"/>
        <v>107.04713974445153</v>
      </c>
      <c r="AM179" s="15">
        <f t="shared" si="131"/>
        <v>116.15990876369776</v>
      </c>
      <c r="AN179" s="15">
        <f t="shared" si="132"/>
        <v>79.188103028470223</v>
      </c>
      <c r="AO179" s="15">
        <f t="shared" si="133"/>
        <v>69.29423952186005</v>
      </c>
      <c r="AP179" s="10">
        <f t="shared" si="134"/>
        <v>0</v>
      </c>
      <c r="AQ179" s="10">
        <f t="shared" si="135"/>
        <v>660.89148475376578</v>
      </c>
      <c r="AR179" s="10">
        <f t="shared" si="136"/>
        <v>449.16652520986679</v>
      </c>
      <c r="AS179" s="10">
        <f t="shared" si="137"/>
        <v>264.64225131402804</v>
      </c>
      <c r="AT179" s="10" t="b">
        <f t="shared" si="138"/>
        <v>1</v>
      </c>
      <c r="AU179" s="10">
        <f t="shared" si="114"/>
        <v>635.51426127766069</v>
      </c>
      <c r="AV179" s="10">
        <f t="shared" si="115"/>
        <v>0</v>
      </c>
      <c r="AW179" s="10">
        <f t="shared" si="116"/>
        <v>739.18600000000004</v>
      </c>
      <c r="AX179" s="10">
        <f t="shared" si="117"/>
        <v>0</v>
      </c>
      <c r="AY179" s="10">
        <f t="shared" si="139"/>
        <v>1374.7002612776607</v>
      </c>
      <c r="AZ179" s="19">
        <f>IFERROR(IF($E179="REC",INDEX(A_Type_Volume!$B:$B,MATCH($D179,A_Type_Volume!$A:$A,0),1),IF($E179="VAM",INDEX(C_Type_Volume!$B:$B,MATCH($D179,C_Type_Volume!$A:$A,0),1),"X")),"")</f>
        <v>7773</v>
      </c>
      <c r="BA179" s="19">
        <f>IFERROR(IF($E179="REC",INDEX(A_Type_Volume!$C:$C,MATCH($D179,A_Type_Volume!$A:$A,0),1),IF($E179="VAM",INDEX(C_Type_Volume!$C:$C,MATCH($D179,C_Type_Volume!$A:$A,0),1),"X")),"")</f>
        <v>1003</v>
      </c>
      <c r="BB179" s="19">
        <f>IFERROR(IF($E179="REC",INDEX(A_Type_Volume!$D:$D,MATCH($D179,A_Type_Volume!$A:$A,0),1),IF($E179="VAM",INDEX(C_Type_Volume!$D:$D,MATCH($D179,C_Type_Volume!$A:$A,0),1),"X")),"")</f>
        <v>7240</v>
      </c>
      <c r="BC179" s="19">
        <f>IFERROR(IF($E179="REC",INDEX(A_Type_Volume!$E:$E,MATCH($D179,A_Type_Volume!$A:$A,0),1),IF($E179="VAM",INDEX(C_Type_Volume!$E:$E,MATCH($D179,C_Type_Volume!$A:$A,0),1),"X")),"")</f>
        <v>6481</v>
      </c>
      <c r="BD179" s="19">
        <f>IFERROR(IF($E179="REC",INDEX(A_Type_Volume!$F:$F,MATCH($D179,A_Type_Volume!$A:$A,0),1),IF($E179="VAM",INDEX(C_Type_Volume!$F:$F,MATCH($D179,C_Type_Volume!$A:$A,0),1),"X")),"")</f>
        <v>7702</v>
      </c>
      <c r="BE179" s="19">
        <f>IFERROR(IF($E179="REC",INDEX(A_Type_Volume!$G:$G,MATCH($D179,A_Type_Volume!$A:$A,0),1),IF($E179="VAM",INDEX(C_Type_Volume!$G:$G,MATCH($D179,C_Type_Volume!$A:$A,0),1),"X")),"")</f>
        <v>8122</v>
      </c>
      <c r="BF179" s="19">
        <f>IFERROR(IF($E179="REC",INDEX(A_Type_Volume!$H:$H,MATCH($D179,A_Type_Volume!$A:$A,0),1),IF($E179="VAM",INDEX(C_Type_Volume!$H:$H,MATCH($D179,C_Type_Volume!$A:$A,0),1),"X")),"")</f>
        <v>6731</v>
      </c>
      <c r="BG179" s="19">
        <f>IFERROR(IF($E179="REC",INDEX(A_Type_Volume!$I:$I,MATCH($D179,A_Type_Volume!$A:$A,0),1),IF($E179="VAM",INDEX(C_Type_Volume!$I:$I,MATCH($D179,C_Type_Volume!$A:$A,0),1),"X")),"")</f>
        <v>2467</v>
      </c>
      <c r="BH179" s="19">
        <f>IFERROR(IF($E179="REC",INDEX(A_Type_Volume!$J:$J,MATCH($D179,A_Type_Volume!$A:$A,0),1),IF($E179="VAM",INDEX(C_Type_Volume!$J:$J,MATCH($D179,C_Type_Volume!$A:$A,0),1),"X")),"")</f>
        <v>2878</v>
      </c>
      <c r="BI179" s="19">
        <f>IFERROR(IF($E179="REC",INDEX(A_Type_Volume!$K:$K,MATCH($D179,A_Type_Volume!$A:$A,0),1),IF($E179="VAM",INDEX(C_Type_Volume!$K:$K,MATCH($D179,C_Type_Volume!$A:$A,0),1),"X")),"")</f>
        <v>3123</v>
      </c>
      <c r="BJ179" s="19">
        <f>IFERROR(IF($E179="REC",INDEX(A_Type_Volume!$L:$L,MATCH($D179,A_Type_Volume!$A:$A,0),1),IF($E179="VAM",INDEX(C_Type_Volume!$L:$L,MATCH($D179,C_Type_Volume!$A:$A,0),1),"X")),"")</f>
        <v>2129</v>
      </c>
      <c r="BK179" s="19">
        <f>IFERROR(IF($E179="REC",INDEX(A_Type_Volume!M:M,MATCH($D179,A_Type_Volume!$A:$A,0),1),IF($E179="VAM",INDEX(C_Type_Volume!M:M,MATCH($D179,C_Type_Volume!$A:$A,0),1),"X")),"")</f>
        <v>1863</v>
      </c>
      <c r="BL179" s="38">
        <f>SUM(Table1[[#This Row],[Jan_AVF]:[Dec_AVF]])</f>
        <v>57512</v>
      </c>
      <c r="BM179" s="16">
        <f t="shared" si="140"/>
        <v>289.11654525143217</v>
      </c>
      <c r="BN179" s="16">
        <f t="shared" si="141"/>
        <v>37.306560515526371</v>
      </c>
      <c r="BO179" s="16">
        <f t="shared" si="142"/>
        <v>269.29162326262303</v>
      </c>
      <c r="BP179" s="16">
        <f t="shared" si="143"/>
        <v>241.06063679075413</v>
      </c>
      <c r="BQ179" s="16">
        <f t="shared" si="144"/>
        <v>286.47570198463018</v>
      </c>
      <c r="BR179" s="16">
        <f t="shared" si="145"/>
        <v>302.0975917319094</v>
      </c>
      <c r="BS179" s="16">
        <f t="shared" si="146"/>
        <v>250.35938068794414</v>
      </c>
      <c r="BT179" s="16">
        <f t="shared" si="147"/>
        <v>91.760004777471138</v>
      </c>
      <c r="BU179" s="16">
        <f t="shared" si="148"/>
        <v>107.04713974445153</v>
      </c>
      <c r="BV179" s="16">
        <f t="shared" si="149"/>
        <v>116.15990876369776</v>
      </c>
      <c r="BW179" s="16">
        <f t="shared" si="150"/>
        <v>79.188103028470223</v>
      </c>
      <c r="BX179" s="16">
        <f t="shared" si="151"/>
        <v>69.29423952186005</v>
      </c>
      <c r="BY179" s="10">
        <f t="shared" si="118"/>
        <v>595.71472902958158</v>
      </c>
      <c r="BZ179" s="10">
        <f t="shared" si="119"/>
        <v>829.63393050729383</v>
      </c>
      <c r="CA179" s="10">
        <f t="shared" si="120"/>
        <v>449.16652520986679</v>
      </c>
      <c r="CB179" s="10">
        <f t="shared" si="121"/>
        <v>264.64225131402804</v>
      </c>
      <c r="CC179" s="10">
        <f>IFERROR(Table1[[#This Row],[Labor
Saving]]*Table1[[#This Row],[Annual Volume]],"")</f>
        <v>988.91743606077011</v>
      </c>
      <c r="CD179" s="10">
        <f>IFERROR(Table1[[#This Row],[Annual Volume]]*Table1[[#This Row],[Yield
Saving]],"")</f>
        <v>0</v>
      </c>
      <c r="CE179" s="10">
        <f>IFERROR(Table1[[#This Row],[Annual Volume]]*Table1[[#This Row],[Material
Saving]],"")</f>
        <v>1150.24</v>
      </c>
      <c r="CF179" s="10">
        <f>IFERROR(Table1[[#This Row],[OH
Saving]]*Table1[[#This Row],[Annual Volume]],"")</f>
        <v>0</v>
      </c>
      <c r="CG179" s="10">
        <f>SUM(Table1[[#This Row],[Labor_ASV]:[OH_ASV]])</f>
        <v>2139.1574360607701</v>
      </c>
    </row>
    <row r="180" spans="1:85" x14ac:dyDescent="0.3">
      <c r="A180" t="str">
        <f>Table1[[#This Row],[Project Name]]&amp;Table1[[#This Row],[Part Number]]</f>
        <v>Thermal Release Tape 2R127</v>
      </c>
      <c r="B180" t="str">
        <f>IFERROR(Table1[[#This Row],[Project Number]]&amp;Table1[[#This Row],[Part Number]],"")</f>
        <v>AME25-039R127</v>
      </c>
      <c r="C180" s="22" t="s">
        <v>91</v>
      </c>
      <c r="D180" s="24" t="s">
        <v>365</v>
      </c>
      <c r="E180" s="25" t="s">
        <v>58</v>
      </c>
      <c r="F180" s="6">
        <f>INDEX(Proj_Reg!G:G,MATCH($C180,Proj_Reg!$B:$B,0),1)</f>
        <v>46113</v>
      </c>
      <c r="G180" s="6">
        <f>INDEX(Proj_Reg!H:H,MATCH($C180,Proj_Reg!$B:$B,0),1)</f>
        <v>46447</v>
      </c>
      <c r="H180" s="6" t="str">
        <f>IF(INDEX(Proj_Reg!C:C,MATCH($C180,Proj_Reg!$B:$B,0),1)=0,"",INDEX(Proj_Reg!C:C,MATCH($C180,Proj_Reg!$B:$B,0),1))</f>
        <v>Wafer Saw Dicing</v>
      </c>
      <c r="I180" s="6" t="str">
        <f>IF(INDEX(Proj_Reg!D:D,MATCH($C180,Proj_Reg!$B:$B,0),1)=0,"",INDEX(Proj_Reg!D:D,MATCH($C180,Proj_Reg!$B:$B,0),1))</f>
        <v>XCD</v>
      </c>
      <c r="J180" s="6" t="str">
        <f>INDEX(Proj_Reg!E:E,MATCH($C180,Proj_Reg!$B:$B,0),1)</f>
        <v>Thermal Release Tape 2</v>
      </c>
      <c r="K180" s="21">
        <v>1.7194975588760087E-2</v>
      </c>
      <c r="L180" s="21">
        <v>0</v>
      </c>
      <c r="M180" s="21">
        <v>0.02</v>
      </c>
      <c r="N180" s="21">
        <v>0</v>
      </c>
      <c r="O180" s="11">
        <f>SUM(Table1[[#This Row],[Labor
Saving]:[OH
Saving]])</f>
        <v>3.7194975588760087E-2</v>
      </c>
      <c r="Q180" s="40">
        <f t="shared" si="102"/>
        <v>0</v>
      </c>
      <c r="R180" s="40">
        <f t="shared" si="103"/>
        <v>0</v>
      </c>
      <c r="S180" s="40">
        <f t="shared" si="104"/>
        <v>0</v>
      </c>
      <c r="T180" s="40">
        <f t="shared" si="105"/>
        <v>2162.4</v>
      </c>
      <c r="U180" s="40">
        <f t="shared" si="106"/>
        <v>8552</v>
      </c>
      <c r="V180" s="40">
        <f t="shared" si="107"/>
        <v>9014</v>
      </c>
      <c r="W180" s="40">
        <f t="shared" si="108"/>
        <v>7438</v>
      </c>
      <c r="X180" s="40">
        <f t="shared" si="109"/>
        <v>2726</v>
      </c>
      <c r="Y180" s="40">
        <f t="shared" si="110"/>
        <v>3180</v>
      </c>
      <c r="Z180" s="40">
        <f t="shared" si="111"/>
        <v>3451</v>
      </c>
      <c r="AA180" s="40">
        <f t="shared" si="112"/>
        <v>2353</v>
      </c>
      <c r="AB180" s="40">
        <f t="shared" si="113"/>
        <v>2059</v>
      </c>
      <c r="AC180" s="37">
        <f>SUM(Table1[[#This Row],[Jan]:[Dec]])</f>
        <v>40935.4</v>
      </c>
      <c r="AD180" s="15">
        <f t="shared" si="122"/>
        <v>0</v>
      </c>
      <c r="AE180" s="15">
        <f t="shared" si="123"/>
        <v>0</v>
      </c>
      <c r="AF180" s="15">
        <f t="shared" si="124"/>
        <v>0</v>
      </c>
      <c r="AG180" s="15">
        <f t="shared" si="125"/>
        <v>80.430415213134822</v>
      </c>
      <c r="AH180" s="15">
        <f t="shared" si="126"/>
        <v>318.09143123507624</v>
      </c>
      <c r="AI180" s="15">
        <f t="shared" si="127"/>
        <v>335.27550995708344</v>
      </c>
      <c r="AJ180" s="15">
        <f t="shared" si="128"/>
        <v>276.65622842919754</v>
      </c>
      <c r="AK180" s="15">
        <f t="shared" si="129"/>
        <v>101.39350345496</v>
      </c>
      <c r="AL180" s="15">
        <f t="shared" si="130"/>
        <v>118.28002237225708</v>
      </c>
      <c r="AM180" s="15">
        <f t="shared" si="131"/>
        <v>128.35986075681106</v>
      </c>
      <c r="AN180" s="15">
        <f t="shared" si="132"/>
        <v>87.51977756035248</v>
      </c>
      <c r="AO180" s="15">
        <f t="shared" si="133"/>
        <v>76.584454737257019</v>
      </c>
      <c r="AP180" s="10">
        <f t="shared" si="134"/>
        <v>0</v>
      </c>
      <c r="AQ180" s="10">
        <f t="shared" si="135"/>
        <v>733.79735640529452</v>
      </c>
      <c r="AR180" s="10">
        <f t="shared" si="136"/>
        <v>496.32975425641462</v>
      </c>
      <c r="AS180" s="10">
        <f t="shared" si="137"/>
        <v>292.46409305442057</v>
      </c>
      <c r="AT180" s="10" t="b">
        <f t="shared" si="138"/>
        <v>1</v>
      </c>
      <c r="AU180" s="10">
        <f t="shared" si="114"/>
        <v>703.88320371612974</v>
      </c>
      <c r="AV180" s="10">
        <f t="shared" si="115"/>
        <v>0</v>
      </c>
      <c r="AW180" s="10">
        <f t="shared" si="116"/>
        <v>818.70800000000008</v>
      </c>
      <c r="AX180" s="10">
        <f t="shared" si="117"/>
        <v>0</v>
      </c>
      <c r="AY180" s="10">
        <f t="shared" si="139"/>
        <v>1522.5912037161297</v>
      </c>
      <c r="AZ180" s="19">
        <f>IFERROR(IF($E180="REC",INDEX(A_Type_Volume!$B:$B,MATCH($D180,A_Type_Volume!$A:$A,0),1),IF($E180="VAM",INDEX(C_Type_Volume!$B:$B,MATCH($D180,C_Type_Volume!$A:$A,0),1),"X")),"")</f>
        <v>7364</v>
      </c>
      <c r="BA180" s="19">
        <f>IFERROR(IF($E180="REC",INDEX(A_Type_Volume!$C:$C,MATCH($D180,A_Type_Volume!$A:$A,0),1),IF($E180="VAM",INDEX(C_Type_Volume!$C:$C,MATCH($D180,C_Type_Volume!$A:$A,0),1),"X")),"")</f>
        <v>0</v>
      </c>
      <c r="BB180" s="19">
        <f>IFERROR(IF($E180="REC",INDEX(A_Type_Volume!$D:$D,MATCH($D180,A_Type_Volume!$A:$A,0),1),IF($E180="VAM",INDEX(C_Type_Volume!$D:$D,MATCH($D180,C_Type_Volume!$A:$A,0),1),"X")),"")</f>
        <v>8052</v>
      </c>
      <c r="BC180" s="19">
        <f>IFERROR(IF($E180="REC",INDEX(A_Type_Volume!$E:$E,MATCH($D180,A_Type_Volume!$A:$A,0),1),IF($E180="VAM",INDEX(C_Type_Volume!$E:$E,MATCH($D180,C_Type_Volume!$A:$A,0),1),"X")),"")</f>
        <v>7208</v>
      </c>
      <c r="BD180" s="19">
        <f>IFERROR(IF($E180="REC",INDEX(A_Type_Volume!$F:$F,MATCH($D180,A_Type_Volume!$A:$A,0),1),IF($E180="VAM",INDEX(C_Type_Volume!$F:$F,MATCH($D180,C_Type_Volume!$A:$A,0),1),"X")),"")</f>
        <v>8552</v>
      </c>
      <c r="BE180" s="19">
        <f>IFERROR(IF($E180="REC",INDEX(A_Type_Volume!$G:$G,MATCH($D180,A_Type_Volume!$A:$A,0),1),IF($E180="VAM",INDEX(C_Type_Volume!$G:$G,MATCH($D180,C_Type_Volume!$A:$A,0),1),"X")),"")</f>
        <v>9014</v>
      </c>
      <c r="BF180" s="19">
        <f>IFERROR(IF($E180="REC",INDEX(A_Type_Volume!$H:$H,MATCH($D180,A_Type_Volume!$A:$A,0),1),IF($E180="VAM",INDEX(C_Type_Volume!$H:$H,MATCH($D180,C_Type_Volume!$A:$A,0),1),"X")),"")</f>
        <v>7438</v>
      </c>
      <c r="BG180" s="19">
        <f>IFERROR(IF($E180="REC",INDEX(A_Type_Volume!$I:$I,MATCH($D180,A_Type_Volume!$A:$A,0),1),IF($E180="VAM",INDEX(C_Type_Volume!$I:$I,MATCH($D180,C_Type_Volume!$A:$A,0),1),"X")),"")</f>
        <v>2726</v>
      </c>
      <c r="BH180" s="19">
        <f>IFERROR(IF($E180="REC",INDEX(A_Type_Volume!$J:$J,MATCH($D180,A_Type_Volume!$A:$A,0),1),IF($E180="VAM",INDEX(C_Type_Volume!$J:$J,MATCH($D180,C_Type_Volume!$A:$A,0),1),"X")),"")</f>
        <v>3180</v>
      </c>
      <c r="BI180" s="19">
        <f>IFERROR(IF($E180="REC",INDEX(A_Type_Volume!$K:$K,MATCH($D180,A_Type_Volume!$A:$A,0),1),IF($E180="VAM",INDEX(C_Type_Volume!$K:$K,MATCH($D180,C_Type_Volume!$A:$A,0),1),"X")),"")</f>
        <v>3451</v>
      </c>
      <c r="BJ180" s="19">
        <f>IFERROR(IF($E180="REC",INDEX(A_Type_Volume!$L:$L,MATCH($D180,A_Type_Volume!$A:$A,0),1),IF($E180="VAM",INDEX(C_Type_Volume!$L:$L,MATCH($D180,C_Type_Volume!$A:$A,0),1),"X")),"")</f>
        <v>2353</v>
      </c>
      <c r="BK180" s="19">
        <f>IFERROR(IF($E180="REC",INDEX(A_Type_Volume!M:M,MATCH($D180,A_Type_Volume!$A:$A,0),1),IF($E180="VAM",INDEX(C_Type_Volume!M:M,MATCH($D180,C_Type_Volume!$A:$A,0),1),"X")),"")</f>
        <v>2059</v>
      </c>
      <c r="BL180" s="38">
        <f>SUM(Table1[[#This Row],[Jan_AVF]:[Dec_AVF]])</f>
        <v>61397</v>
      </c>
      <c r="BM180" s="16">
        <f t="shared" si="140"/>
        <v>273.90380023562926</v>
      </c>
      <c r="BN180" s="16">
        <f t="shared" si="141"/>
        <v>0</v>
      </c>
      <c r="BO180" s="16">
        <f t="shared" si="142"/>
        <v>299.49394344069623</v>
      </c>
      <c r="BP180" s="16">
        <f t="shared" si="143"/>
        <v>268.10138404378273</v>
      </c>
      <c r="BQ180" s="16">
        <f t="shared" si="144"/>
        <v>318.09143123507624</v>
      </c>
      <c r="BR180" s="16">
        <f t="shared" si="145"/>
        <v>335.27550995708344</v>
      </c>
      <c r="BS180" s="16">
        <f t="shared" si="146"/>
        <v>276.65622842919754</v>
      </c>
      <c r="BT180" s="16">
        <f t="shared" si="147"/>
        <v>101.39350345496</v>
      </c>
      <c r="BU180" s="16">
        <f t="shared" si="148"/>
        <v>118.28002237225708</v>
      </c>
      <c r="BV180" s="16">
        <f t="shared" si="149"/>
        <v>128.35986075681106</v>
      </c>
      <c r="BW180" s="16">
        <f t="shared" si="150"/>
        <v>87.51977756035248</v>
      </c>
      <c r="BX180" s="16">
        <f t="shared" si="151"/>
        <v>76.584454737257019</v>
      </c>
      <c r="BY180" s="10">
        <f t="shared" si="118"/>
        <v>573.39774367632549</v>
      </c>
      <c r="BZ180" s="10">
        <f t="shared" si="119"/>
        <v>921.4683252359423</v>
      </c>
      <c r="CA180" s="10">
        <f t="shared" si="120"/>
        <v>496.32975425641462</v>
      </c>
      <c r="CB180" s="10">
        <f t="shared" si="121"/>
        <v>292.46409305442057</v>
      </c>
      <c r="CC180" s="10">
        <f>IFERROR(Table1[[#This Row],[Labor
Saving]]*Table1[[#This Row],[Annual Volume]],"")</f>
        <v>1055.7199162231032</v>
      </c>
      <c r="CD180" s="10">
        <f>IFERROR(Table1[[#This Row],[Annual Volume]]*Table1[[#This Row],[Yield
Saving]],"")</f>
        <v>0</v>
      </c>
      <c r="CE180" s="10">
        <f>IFERROR(Table1[[#This Row],[Annual Volume]]*Table1[[#This Row],[Material
Saving]],"")</f>
        <v>1227.94</v>
      </c>
      <c r="CF180" s="10">
        <f>IFERROR(Table1[[#This Row],[OH
Saving]]*Table1[[#This Row],[Annual Volume]],"")</f>
        <v>0</v>
      </c>
      <c r="CG180" s="10">
        <f>SUM(Table1[[#This Row],[Labor_ASV]:[OH_ASV]])</f>
        <v>2283.6599162231032</v>
      </c>
    </row>
    <row r="181" spans="1:85" x14ac:dyDescent="0.3">
      <c r="A181" t="str">
        <f>Table1[[#This Row],[Project Name]]&amp;Table1[[#This Row],[Part Number]]</f>
        <v>Thermal Release Tape 2R128</v>
      </c>
      <c r="B181" t="str">
        <f>IFERROR(Table1[[#This Row],[Project Number]]&amp;Table1[[#This Row],[Part Number]],"")</f>
        <v>AME25-039R128</v>
      </c>
      <c r="C181" s="22" t="s">
        <v>91</v>
      </c>
      <c r="D181" s="24" t="s">
        <v>366</v>
      </c>
      <c r="E181" s="25" t="s">
        <v>58</v>
      </c>
      <c r="F181" s="6">
        <f>INDEX(Proj_Reg!G:G,MATCH($C181,Proj_Reg!$B:$B,0),1)</f>
        <v>46113</v>
      </c>
      <c r="G181" s="6">
        <f>INDEX(Proj_Reg!H:H,MATCH($C181,Proj_Reg!$B:$B,0),1)</f>
        <v>46447</v>
      </c>
      <c r="H181" s="6" t="str">
        <f>IF(INDEX(Proj_Reg!C:C,MATCH($C181,Proj_Reg!$B:$B,0),1)=0,"",INDEX(Proj_Reg!C:C,MATCH($C181,Proj_Reg!$B:$B,0),1))</f>
        <v>Wafer Saw Dicing</v>
      </c>
      <c r="I181" s="6" t="str">
        <f>IF(INDEX(Proj_Reg!D:D,MATCH($C181,Proj_Reg!$B:$B,0),1)=0,"",INDEX(Proj_Reg!D:D,MATCH($C181,Proj_Reg!$B:$B,0),1))</f>
        <v>XCD</v>
      </c>
      <c r="J181" s="6" t="str">
        <f>INDEX(Proj_Reg!E:E,MATCH($C181,Proj_Reg!$B:$B,0),1)</f>
        <v>Thermal Release Tape 2</v>
      </c>
      <c r="K181" s="21">
        <v>1.7194975588760087E-2</v>
      </c>
      <c r="L181" s="21">
        <v>0</v>
      </c>
      <c r="M181" s="21">
        <v>0.02</v>
      </c>
      <c r="N181" s="21">
        <v>0</v>
      </c>
      <c r="O181" s="11">
        <f>SUM(Table1[[#This Row],[Labor
Saving]:[OH
Saving]])</f>
        <v>3.7194975588760087E-2</v>
      </c>
      <c r="Q181" s="40">
        <f t="shared" si="102"/>
        <v>0</v>
      </c>
      <c r="R181" s="40">
        <f t="shared" si="103"/>
        <v>0</v>
      </c>
      <c r="S181" s="40">
        <f t="shared" si="104"/>
        <v>0</v>
      </c>
      <c r="T181" s="40">
        <f t="shared" si="105"/>
        <v>533.4</v>
      </c>
      <c r="U181" s="40">
        <f t="shared" si="106"/>
        <v>2114</v>
      </c>
      <c r="V181" s="40">
        <f t="shared" si="107"/>
        <v>2201</v>
      </c>
      <c r="W181" s="40">
        <f t="shared" si="108"/>
        <v>1923</v>
      </c>
      <c r="X181" s="40">
        <f t="shared" si="109"/>
        <v>705</v>
      </c>
      <c r="Y181" s="40">
        <f t="shared" si="110"/>
        <v>822</v>
      </c>
      <c r="Z181" s="40">
        <f t="shared" si="111"/>
        <v>892</v>
      </c>
      <c r="AA181" s="40">
        <f t="shared" si="112"/>
        <v>608</v>
      </c>
      <c r="AB181" s="40">
        <f t="shared" si="113"/>
        <v>532</v>
      </c>
      <c r="AC181" s="37">
        <f>SUM(Table1[[#This Row],[Jan]:[Dec]])</f>
        <v>10330.4</v>
      </c>
      <c r="AD181" s="15">
        <f t="shared" si="122"/>
        <v>0</v>
      </c>
      <c r="AE181" s="15">
        <f t="shared" si="123"/>
        <v>0</v>
      </c>
      <c r="AF181" s="15">
        <f t="shared" si="124"/>
        <v>0</v>
      </c>
      <c r="AG181" s="15">
        <f t="shared" si="125"/>
        <v>19.839799979044631</v>
      </c>
      <c r="AH181" s="15">
        <f t="shared" si="126"/>
        <v>78.630178394638818</v>
      </c>
      <c r="AI181" s="15">
        <f t="shared" si="127"/>
        <v>81.86614127086095</v>
      </c>
      <c r="AJ181" s="15">
        <f t="shared" si="128"/>
        <v>71.525938057185641</v>
      </c>
      <c r="AK181" s="15">
        <f t="shared" si="129"/>
        <v>26.222457790075861</v>
      </c>
      <c r="AL181" s="15">
        <f t="shared" si="130"/>
        <v>30.574269933960792</v>
      </c>
      <c r="AM181" s="15">
        <f t="shared" si="131"/>
        <v>33.177918225173997</v>
      </c>
      <c r="AN181" s="15">
        <f t="shared" si="132"/>
        <v>22.614545157966134</v>
      </c>
      <c r="AO181" s="15">
        <f t="shared" si="133"/>
        <v>19.787727013220366</v>
      </c>
      <c r="AP181" s="10">
        <f t="shared" si="134"/>
        <v>0</v>
      </c>
      <c r="AQ181" s="10">
        <f t="shared" si="135"/>
        <v>180.3361196445444</v>
      </c>
      <c r="AR181" s="10">
        <f t="shared" si="136"/>
        <v>128.3226657812223</v>
      </c>
      <c r="AS181" s="10">
        <f t="shared" si="137"/>
        <v>75.580190396360493</v>
      </c>
      <c r="AT181" s="10" t="b">
        <f t="shared" si="138"/>
        <v>1</v>
      </c>
      <c r="AU181" s="10">
        <f t="shared" si="114"/>
        <v>177.6309758221272</v>
      </c>
      <c r="AV181" s="10">
        <f t="shared" si="115"/>
        <v>0</v>
      </c>
      <c r="AW181" s="10">
        <f t="shared" si="116"/>
        <v>206.608</v>
      </c>
      <c r="AX181" s="10">
        <f t="shared" si="117"/>
        <v>0</v>
      </c>
      <c r="AY181" s="10">
        <f t="shared" si="139"/>
        <v>384.2389758221272</v>
      </c>
      <c r="AZ181" s="19">
        <f>IFERROR(IF($E181="REC",INDEX(A_Type_Volume!$B:$B,MATCH($D181,A_Type_Volume!$A:$A,0),1),IF($E181="VAM",INDEX(C_Type_Volume!$B:$B,MATCH($D181,C_Type_Volume!$A:$A,0),1),"X")),"")</f>
        <v>3682</v>
      </c>
      <c r="BA181" s="19">
        <f>IFERROR(IF($E181="REC",INDEX(A_Type_Volume!$C:$C,MATCH($D181,A_Type_Volume!$A:$A,0),1),IF($E181="VAM",INDEX(C_Type_Volume!$C:$C,MATCH($D181,C_Type_Volume!$A:$A,0),1),"X")),"")</f>
        <v>0</v>
      </c>
      <c r="BB181" s="19">
        <f>IFERROR(IF($E181="REC",INDEX(A_Type_Volume!$D:$D,MATCH($D181,A_Type_Volume!$A:$A,0),1),IF($E181="VAM",INDEX(C_Type_Volume!$D:$D,MATCH($D181,C_Type_Volume!$A:$A,0),1),"X")),"")</f>
        <v>1986</v>
      </c>
      <c r="BC181" s="19">
        <f>IFERROR(IF($E181="REC",INDEX(A_Type_Volume!$E:$E,MATCH($D181,A_Type_Volume!$A:$A,0),1),IF($E181="VAM",INDEX(C_Type_Volume!$E:$E,MATCH($D181,C_Type_Volume!$A:$A,0),1),"X")),"")</f>
        <v>1778</v>
      </c>
      <c r="BD181" s="19">
        <f>IFERROR(IF($E181="REC",INDEX(A_Type_Volume!$F:$F,MATCH($D181,A_Type_Volume!$A:$A,0),1),IF($E181="VAM",INDEX(C_Type_Volume!$F:$F,MATCH($D181,C_Type_Volume!$A:$A,0),1),"X")),"")</f>
        <v>2114</v>
      </c>
      <c r="BE181" s="19">
        <f>IFERROR(IF($E181="REC",INDEX(A_Type_Volume!$G:$G,MATCH($D181,A_Type_Volume!$A:$A,0),1),IF($E181="VAM",INDEX(C_Type_Volume!$G:$G,MATCH($D181,C_Type_Volume!$A:$A,0),1),"X")),"")</f>
        <v>2201</v>
      </c>
      <c r="BF181" s="19">
        <f>IFERROR(IF($E181="REC",INDEX(A_Type_Volume!$H:$H,MATCH($D181,A_Type_Volume!$A:$A,0),1),IF($E181="VAM",INDEX(C_Type_Volume!$H:$H,MATCH($D181,C_Type_Volume!$A:$A,0),1),"X")),"")</f>
        <v>1923</v>
      </c>
      <c r="BG181" s="19">
        <f>IFERROR(IF($E181="REC",INDEX(A_Type_Volume!$I:$I,MATCH($D181,A_Type_Volume!$A:$A,0),1),IF($E181="VAM",INDEX(C_Type_Volume!$I:$I,MATCH($D181,C_Type_Volume!$A:$A,0),1),"X")),"")</f>
        <v>705</v>
      </c>
      <c r="BH181" s="19">
        <f>IFERROR(IF($E181="REC",INDEX(A_Type_Volume!$J:$J,MATCH($D181,A_Type_Volume!$A:$A,0),1),IF($E181="VAM",INDEX(C_Type_Volume!$J:$J,MATCH($D181,C_Type_Volume!$A:$A,0),1),"X")),"")</f>
        <v>822</v>
      </c>
      <c r="BI181" s="19">
        <f>IFERROR(IF($E181="REC",INDEX(A_Type_Volume!$K:$K,MATCH($D181,A_Type_Volume!$A:$A,0),1),IF($E181="VAM",INDEX(C_Type_Volume!$K:$K,MATCH($D181,C_Type_Volume!$A:$A,0),1),"X")),"")</f>
        <v>892</v>
      </c>
      <c r="BJ181" s="19">
        <f>IFERROR(IF($E181="REC",INDEX(A_Type_Volume!$L:$L,MATCH($D181,A_Type_Volume!$A:$A,0),1),IF($E181="VAM",INDEX(C_Type_Volume!$L:$L,MATCH($D181,C_Type_Volume!$A:$A,0),1),"X")),"")</f>
        <v>608</v>
      </c>
      <c r="BK181" s="19">
        <f>IFERROR(IF($E181="REC",INDEX(A_Type_Volume!M:M,MATCH($D181,A_Type_Volume!$A:$A,0),1),IF($E181="VAM",INDEX(C_Type_Volume!M:M,MATCH($D181,C_Type_Volume!$A:$A,0),1),"X")),"")</f>
        <v>532</v>
      </c>
      <c r="BL181" s="38">
        <f>SUM(Table1[[#This Row],[Jan_AVF]:[Dec_AVF]])</f>
        <v>17243</v>
      </c>
      <c r="BM181" s="16">
        <f t="shared" si="140"/>
        <v>136.95190011781463</v>
      </c>
      <c r="BN181" s="16">
        <f t="shared" si="141"/>
        <v>0</v>
      </c>
      <c r="BO181" s="16">
        <f t="shared" si="142"/>
        <v>73.869221519277531</v>
      </c>
      <c r="BP181" s="16">
        <f t="shared" si="143"/>
        <v>66.13266659681544</v>
      </c>
      <c r="BQ181" s="16">
        <f t="shared" si="144"/>
        <v>78.630178394638818</v>
      </c>
      <c r="BR181" s="16">
        <f t="shared" si="145"/>
        <v>81.86614127086095</v>
      </c>
      <c r="BS181" s="16">
        <f t="shared" si="146"/>
        <v>71.525938057185641</v>
      </c>
      <c r="BT181" s="16">
        <f t="shared" si="147"/>
        <v>26.222457790075861</v>
      </c>
      <c r="BU181" s="16">
        <f t="shared" si="148"/>
        <v>30.574269933960792</v>
      </c>
      <c r="BV181" s="16">
        <f t="shared" si="149"/>
        <v>33.177918225173997</v>
      </c>
      <c r="BW181" s="16">
        <f t="shared" si="150"/>
        <v>22.614545157966134</v>
      </c>
      <c r="BX181" s="16">
        <f t="shared" si="151"/>
        <v>19.787727013220366</v>
      </c>
      <c r="BY181" s="10">
        <f t="shared" si="118"/>
        <v>210.82112163709218</v>
      </c>
      <c r="BZ181" s="10">
        <f t="shared" si="119"/>
        <v>226.62898626231521</v>
      </c>
      <c r="CA181" s="10">
        <f t="shared" si="120"/>
        <v>128.3226657812223</v>
      </c>
      <c r="CB181" s="10">
        <f t="shared" si="121"/>
        <v>75.580190396360493</v>
      </c>
      <c r="CC181" s="10">
        <f>IFERROR(Table1[[#This Row],[Labor
Saving]]*Table1[[#This Row],[Annual Volume]],"")</f>
        <v>296.49296407699018</v>
      </c>
      <c r="CD181" s="10">
        <f>IFERROR(Table1[[#This Row],[Annual Volume]]*Table1[[#This Row],[Yield
Saving]],"")</f>
        <v>0</v>
      </c>
      <c r="CE181" s="10">
        <f>IFERROR(Table1[[#This Row],[Annual Volume]]*Table1[[#This Row],[Material
Saving]],"")</f>
        <v>344.86</v>
      </c>
      <c r="CF181" s="10">
        <f>IFERROR(Table1[[#This Row],[OH
Saving]]*Table1[[#This Row],[Annual Volume]],"")</f>
        <v>0</v>
      </c>
      <c r="CG181" s="10">
        <f>SUM(Table1[[#This Row],[Labor_ASV]:[OH_ASV]])</f>
        <v>641.35296407699025</v>
      </c>
    </row>
    <row r="182" spans="1:85" x14ac:dyDescent="0.3">
      <c r="A182" t="str">
        <f>Table1[[#This Row],[Project Name]]&amp;Table1[[#This Row],[Part Number]]</f>
        <v>Thermal Release Tape 2R129</v>
      </c>
      <c r="B182" t="str">
        <f>IFERROR(Table1[[#This Row],[Project Number]]&amp;Table1[[#This Row],[Part Number]],"")</f>
        <v>AME25-039R129</v>
      </c>
      <c r="C182" s="22" t="s">
        <v>91</v>
      </c>
      <c r="D182" s="24" t="s">
        <v>367</v>
      </c>
      <c r="E182" s="25" t="s">
        <v>58</v>
      </c>
      <c r="F182" s="6">
        <f>INDEX(Proj_Reg!G:G,MATCH($C182,Proj_Reg!$B:$B,0),1)</f>
        <v>46113</v>
      </c>
      <c r="G182" s="6">
        <f>INDEX(Proj_Reg!H:H,MATCH($C182,Proj_Reg!$B:$B,0),1)</f>
        <v>46447</v>
      </c>
      <c r="H182" s="6" t="str">
        <f>IF(INDEX(Proj_Reg!C:C,MATCH($C182,Proj_Reg!$B:$B,0),1)=0,"",INDEX(Proj_Reg!C:C,MATCH($C182,Proj_Reg!$B:$B,0),1))</f>
        <v>Wafer Saw Dicing</v>
      </c>
      <c r="I182" s="6" t="str">
        <f>IF(INDEX(Proj_Reg!D:D,MATCH($C182,Proj_Reg!$B:$B,0),1)=0,"",INDEX(Proj_Reg!D:D,MATCH($C182,Proj_Reg!$B:$B,0),1))</f>
        <v>XCD</v>
      </c>
      <c r="J182" s="6" t="str">
        <f>INDEX(Proj_Reg!E:E,MATCH($C182,Proj_Reg!$B:$B,0),1)</f>
        <v>Thermal Release Tape 2</v>
      </c>
      <c r="K182" s="21">
        <v>1.7194975588760087E-2</v>
      </c>
      <c r="L182" s="21">
        <v>0</v>
      </c>
      <c r="M182" s="21">
        <v>0.02</v>
      </c>
      <c r="N182" s="21">
        <v>0</v>
      </c>
      <c r="O182" s="11">
        <f>SUM(Table1[[#This Row],[Labor
Saving]:[OH
Saving]])</f>
        <v>3.7194975588760087E-2</v>
      </c>
      <c r="Q182" s="40">
        <f t="shared" si="102"/>
        <v>0</v>
      </c>
      <c r="R182" s="40">
        <f t="shared" si="103"/>
        <v>0</v>
      </c>
      <c r="S182" s="40">
        <f t="shared" si="104"/>
        <v>0</v>
      </c>
      <c r="T182" s="40">
        <f t="shared" si="105"/>
        <v>596.4</v>
      </c>
      <c r="U182" s="40">
        <f t="shared" si="106"/>
        <v>2360</v>
      </c>
      <c r="V182" s="40">
        <f t="shared" si="107"/>
        <v>2429</v>
      </c>
      <c r="W182" s="40">
        <f t="shared" si="108"/>
        <v>2119</v>
      </c>
      <c r="X182" s="40">
        <f t="shared" si="109"/>
        <v>777</v>
      </c>
      <c r="Y182" s="40">
        <f t="shared" si="110"/>
        <v>906</v>
      </c>
      <c r="Z182" s="40">
        <f t="shared" si="111"/>
        <v>983</v>
      </c>
      <c r="AA182" s="40">
        <f t="shared" si="112"/>
        <v>670</v>
      </c>
      <c r="AB182" s="40">
        <f t="shared" si="113"/>
        <v>587</v>
      </c>
      <c r="AC182" s="37">
        <f>SUM(Table1[[#This Row],[Jan]:[Dec]])</f>
        <v>11427.4</v>
      </c>
      <c r="AD182" s="15">
        <f t="shared" si="122"/>
        <v>0</v>
      </c>
      <c r="AE182" s="15">
        <f t="shared" si="123"/>
        <v>0</v>
      </c>
      <c r="AF182" s="15">
        <f t="shared" si="124"/>
        <v>0</v>
      </c>
      <c r="AG182" s="15">
        <f t="shared" si="125"/>
        <v>22.183083441136514</v>
      </c>
      <c r="AH182" s="15">
        <f t="shared" si="126"/>
        <v>87.780142389473809</v>
      </c>
      <c r="AI182" s="15">
        <f t="shared" si="127"/>
        <v>90.346595705098252</v>
      </c>
      <c r="AJ182" s="15">
        <f t="shared" si="128"/>
        <v>78.816153272582625</v>
      </c>
      <c r="AK182" s="15">
        <f t="shared" si="129"/>
        <v>28.900496032466588</v>
      </c>
      <c r="AL182" s="15">
        <f t="shared" si="130"/>
        <v>33.698647883416641</v>
      </c>
      <c r="AM182" s="15">
        <f t="shared" si="131"/>
        <v>36.562661003751167</v>
      </c>
      <c r="AN182" s="15">
        <f t="shared" si="132"/>
        <v>24.920633644469259</v>
      </c>
      <c r="AO182" s="15">
        <f t="shared" si="133"/>
        <v>21.833450670602172</v>
      </c>
      <c r="AP182" s="10">
        <f t="shared" si="134"/>
        <v>0</v>
      </c>
      <c r="AQ182" s="10">
        <f t="shared" si="135"/>
        <v>200.30982153570858</v>
      </c>
      <c r="AR182" s="10">
        <f t="shared" si="136"/>
        <v>141.41529718846584</v>
      </c>
      <c r="AS182" s="10">
        <f t="shared" si="137"/>
        <v>83.316745318822598</v>
      </c>
      <c r="AT182" s="10" t="b">
        <f t="shared" si="138"/>
        <v>1</v>
      </c>
      <c r="AU182" s="10">
        <f t="shared" si="114"/>
        <v>196.49386404299702</v>
      </c>
      <c r="AV182" s="10">
        <f t="shared" si="115"/>
        <v>0</v>
      </c>
      <c r="AW182" s="10">
        <f t="shared" si="116"/>
        <v>228.548</v>
      </c>
      <c r="AX182" s="10">
        <f t="shared" si="117"/>
        <v>0</v>
      </c>
      <c r="AY182" s="10">
        <f t="shared" si="139"/>
        <v>425.04186404299702</v>
      </c>
      <c r="AZ182" s="19">
        <f>IFERROR(IF($E182="REC",INDEX(A_Type_Volume!$B:$B,MATCH($D182,A_Type_Volume!$A:$A,0),1),IF($E182="VAM",INDEX(C_Type_Volume!$B:$B,MATCH($D182,C_Type_Volume!$A:$A,0),1),"X")),"")</f>
        <v>4909</v>
      </c>
      <c r="BA182" s="19">
        <f>IFERROR(IF($E182="REC",INDEX(A_Type_Volume!$C:$C,MATCH($D182,A_Type_Volume!$A:$A,0),1),IF($E182="VAM",INDEX(C_Type_Volume!$C:$C,MATCH($D182,C_Type_Volume!$A:$A,0),1),"X")),"")</f>
        <v>0</v>
      </c>
      <c r="BB182" s="19">
        <f>IFERROR(IF($E182="REC",INDEX(A_Type_Volume!$D:$D,MATCH($D182,A_Type_Volume!$A:$A,0),1),IF($E182="VAM",INDEX(C_Type_Volume!$D:$D,MATCH($D182,C_Type_Volume!$A:$A,0),1),"X")),"")</f>
        <v>2221</v>
      </c>
      <c r="BC182" s="19">
        <f>IFERROR(IF($E182="REC",INDEX(A_Type_Volume!$E:$E,MATCH($D182,A_Type_Volume!$A:$A,0),1),IF($E182="VAM",INDEX(C_Type_Volume!$E:$E,MATCH($D182,C_Type_Volume!$A:$A,0),1),"X")),"")</f>
        <v>1988</v>
      </c>
      <c r="BD182" s="19">
        <f>IFERROR(IF($E182="REC",INDEX(A_Type_Volume!$F:$F,MATCH($D182,A_Type_Volume!$A:$A,0),1),IF($E182="VAM",INDEX(C_Type_Volume!$F:$F,MATCH($D182,C_Type_Volume!$A:$A,0),1),"X")),"")</f>
        <v>2360</v>
      </c>
      <c r="BE182" s="19">
        <f>IFERROR(IF($E182="REC",INDEX(A_Type_Volume!$G:$G,MATCH($D182,A_Type_Volume!$A:$A,0),1),IF($E182="VAM",INDEX(C_Type_Volume!$G:$G,MATCH($D182,C_Type_Volume!$A:$A,0),1),"X")),"")</f>
        <v>2429</v>
      </c>
      <c r="BF182" s="19">
        <f>IFERROR(IF($E182="REC",INDEX(A_Type_Volume!$H:$H,MATCH($D182,A_Type_Volume!$A:$A,0),1),IF($E182="VAM",INDEX(C_Type_Volume!$H:$H,MATCH($D182,C_Type_Volume!$A:$A,0),1),"X")),"")</f>
        <v>2119</v>
      </c>
      <c r="BG182" s="19">
        <f>IFERROR(IF($E182="REC",INDEX(A_Type_Volume!$I:$I,MATCH($D182,A_Type_Volume!$A:$A,0),1),IF($E182="VAM",INDEX(C_Type_Volume!$I:$I,MATCH($D182,C_Type_Volume!$A:$A,0),1),"X")),"")</f>
        <v>777</v>
      </c>
      <c r="BH182" s="19">
        <f>IFERROR(IF($E182="REC",INDEX(A_Type_Volume!$J:$J,MATCH($D182,A_Type_Volume!$A:$A,0),1),IF($E182="VAM",INDEX(C_Type_Volume!$J:$J,MATCH($D182,C_Type_Volume!$A:$A,0),1),"X")),"")</f>
        <v>906</v>
      </c>
      <c r="BI182" s="19">
        <f>IFERROR(IF($E182="REC",INDEX(A_Type_Volume!$K:$K,MATCH($D182,A_Type_Volume!$A:$A,0),1),IF($E182="VAM",INDEX(C_Type_Volume!$K:$K,MATCH($D182,C_Type_Volume!$A:$A,0),1),"X")),"")</f>
        <v>983</v>
      </c>
      <c r="BJ182" s="19">
        <f>IFERROR(IF($E182="REC",INDEX(A_Type_Volume!$L:$L,MATCH($D182,A_Type_Volume!$A:$A,0),1),IF($E182="VAM",INDEX(C_Type_Volume!$L:$L,MATCH($D182,C_Type_Volume!$A:$A,0),1),"X")),"")</f>
        <v>670</v>
      </c>
      <c r="BK182" s="19">
        <f>IFERROR(IF($E182="REC",INDEX(A_Type_Volume!M:M,MATCH($D182,A_Type_Volume!$A:$A,0),1),IF($E182="VAM",INDEX(C_Type_Volume!M:M,MATCH($D182,C_Type_Volume!$A:$A,0),1),"X")),"")</f>
        <v>587</v>
      </c>
      <c r="BL182" s="38">
        <f>SUM(Table1[[#This Row],[Jan_AVF]:[Dec_AVF]])</f>
        <v>19949</v>
      </c>
      <c r="BM182" s="16">
        <f t="shared" si="140"/>
        <v>182.59013516522327</v>
      </c>
      <c r="BN182" s="16">
        <f t="shared" si="141"/>
        <v>0</v>
      </c>
      <c r="BO182" s="16">
        <f t="shared" si="142"/>
        <v>82.610040782636148</v>
      </c>
      <c r="BP182" s="16">
        <f t="shared" si="143"/>
        <v>73.943611470455053</v>
      </c>
      <c r="BQ182" s="16">
        <f t="shared" si="144"/>
        <v>87.780142389473809</v>
      </c>
      <c r="BR182" s="16">
        <f t="shared" si="145"/>
        <v>90.346595705098252</v>
      </c>
      <c r="BS182" s="16">
        <f t="shared" si="146"/>
        <v>78.816153272582625</v>
      </c>
      <c r="BT182" s="16">
        <f t="shared" si="147"/>
        <v>28.900496032466588</v>
      </c>
      <c r="BU182" s="16">
        <f t="shared" si="148"/>
        <v>33.698647883416641</v>
      </c>
      <c r="BV182" s="16">
        <f t="shared" si="149"/>
        <v>36.562661003751167</v>
      </c>
      <c r="BW182" s="16">
        <f t="shared" si="150"/>
        <v>24.920633644469259</v>
      </c>
      <c r="BX182" s="16">
        <f t="shared" si="151"/>
        <v>21.833450670602172</v>
      </c>
      <c r="BY182" s="10">
        <f t="shared" si="118"/>
        <v>265.20017594785941</v>
      </c>
      <c r="BZ182" s="10">
        <f t="shared" si="119"/>
        <v>252.07034956502713</v>
      </c>
      <c r="CA182" s="10">
        <f t="shared" si="120"/>
        <v>141.41529718846584</v>
      </c>
      <c r="CB182" s="10">
        <f t="shared" si="121"/>
        <v>83.316745318822598</v>
      </c>
      <c r="CC182" s="10">
        <f>IFERROR(Table1[[#This Row],[Labor
Saving]]*Table1[[#This Row],[Annual Volume]],"")</f>
        <v>343.02256802017496</v>
      </c>
      <c r="CD182" s="10">
        <f>IFERROR(Table1[[#This Row],[Annual Volume]]*Table1[[#This Row],[Yield
Saving]],"")</f>
        <v>0</v>
      </c>
      <c r="CE182" s="10">
        <f>IFERROR(Table1[[#This Row],[Annual Volume]]*Table1[[#This Row],[Material
Saving]],"")</f>
        <v>398.98</v>
      </c>
      <c r="CF182" s="10">
        <f>IFERROR(Table1[[#This Row],[OH
Saving]]*Table1[[#This Row],[Annual Volume]],"")</f>
        <v>0</v>
      </c>
      <c r="CG182" s="10">
        <f>SUM(Table1[[#This Row],[Labor_ASV]:[OH_ASV]])</f>
        <v>742.00256802017498</v>
      </c>
    </row>
    <row r="183" spans="1:85" x14ac:dyDescent="0.3">
      <c r="A183" t="str">
        <f>Table1[[#This Row],[Project Name]]&amp;Table1[[#This Row],[Part Number]]</f>
        <v>New Etching Chemical Potassium IodideR80</v>
      </c>
      <c r="B183" t="str">
        <f>IFERROR(Table1[[#This Row],[Project Number]]&amp;Table1[[#This Row],[Part Number]],"")</f>
        <v>AME25-067R80</v>
      </c>
      <c r="C183" s="22" t="s">
        <v>114</v>
      </c>
      <c r="D183" s="24" t="s">
        <v>318</v>
      </c>
      <c r="E183" s="25" t="s">
        <v>58</v>
      </c>
      <c r="F183" s="6">
        <f>INDEX(Proj_Reg!G:G,MATCH($C183,Proj_Reg!$B:$B,0),1)</f>
        <v>46266</v>
      </c>
      <c r="G183" s="6">
        <f>INDEX(Proj_Reg!H:H,MATCH($C183,Proj_Reg!$B:$B,0),1)</f>
        <v>46600</v>
      </c>
      <c r="H183" s="6" t="str">
        <f>IF(INDEX(Proj_Reg!C:C,MATCH($C183,Proj_Reg!$B:$B,0),1)=0,"",INDEX(Proj_Reg!C:C,MATCH($C183,Proj_Reg!$B:$B,0),1))</f>
        <v>Wet Etching</v>
      </c>
      <c r="I183" s="6" t="str">
        <f>IF(INDEX(Proj_Reg!D:D,MATCH($C183,Proj_Reg!$B:$B,0),1)=0,"",INDEX(Proj_Reg!D:D,MATCH($C183,Proj_Reg!$B:$B,0),1))</f>
        <v>XWP</v>
      </c>
      <c r="J183" s="6" t="str">
        <f>INDEX(Proj_Reg!E:E,MATCH($C183,Proj_Reg!$B:$B,0),1)</f>
        <v>New Etching Chemical Potassium Iodide</v>
      </c>
      <c r="K183" s="21">
        <v>1.7194975588760087E-2</v>
      </c>
      <c r="L183" s="21">
        <v>0</v>
      </c>
      <c r="M183" s="21">
        <v>0.02</v>
      </c>
      <c r="N183" s="21">
        <v>0</v>
      </c>
      <c r="O183" s="11">
        <f>SUM(Table1[[#This Row],[Labor
Saving]:[OH
Saving]])</f>
        <v>3.7194975588760087E-2</v>
      </c>
      <c r="Q183" s="40">
        <f t="shared" si="102"/>
        <v>0</v>
      </c>
      <c r="R183" s="40">
        <f t="shared" si="103"/>
        <v>0</v>
      </c>
      <c r="S183" s="40">
        <f t="shared" si="104"/>
        <v>0</v>
      </c>
      <c r="T183" s="40">
        <f t="shared" si="105"/>
        <v>0</v>
      </c>
      <c r="U183" s="40">
        <f t="shared" si="106"/>
        <v>0</v>
      </c>
      <c r="V183" s="40">
        <f t="shared" si="107"/>
        <v>0</v>
      </c>
      <c r="W183" s="40">
        <f t="shared" si="108"/>
        <v>0</v>
      </c>
      <c r="X183" s="40">
        <f t="shared" si="109"/>
        <v>0</v>
      </c>
      <c r="Y183" s="60">
        <f t="shared" si="110"/>
        <v>5470118.5</v>
      </c>
      <c r="Z183" s="40">
        <f t="shared" si="111"/>
        <v>8766266</v>
      </c>
      <c r="AA183" s="40">
        <f t="shared" si="112"/>
        <v>6795129</v>
      </c>
      <c r="AB183" s="40">
        <f t="shared" si="113"/>
        <v>6088240</v>
      </c>
      <c r="AC183" s="37">
        <f>SUM(Table1[[#This Row],[Jan]:[Dec]])</f>
        <v>27119753.5</v>
      </c>
      <c r="AD183" s="15">
        <f t="shared" si="122"/>
        <v>0</v>
      </c>
      <c r="AE183" s="15">
        <f t="shared" si="123"/>
        <v>0</v>
      </c>
      <c r="AF183" s="15">
        <f t="shared" si="124"/>
        <v>0</v>
      </c>
      <c r="AG183" s="15">
        <f t="shared" si="125"/>
        <v>0</v>
      </c>
      <c r="AH183" s="15">
        <f t="shared" si="126"/>
        <v>0</v>
      </c>
      <c r="AI183" s="15">
        <f t="shared" si="127"/>
        <v>0</v>
      </c>
      <c r="AJ183" s="15">
        <f t="shared" si="128"/>
        <v>0</v>
      </c>
      <c r="AK183" s="15">
        <f t="shared" si="129"/>
        <v>0</v>
      </c>
      <c r="AL183" s="15">
        <f t="shared" si="130"/>
        <v>203460.92407512496</v>
      </c>
      <c r="AM183" s="15">
        <f t="shared" si="131"/>
        <v>326061.04987457755</v>
      </c>
      <c r="AN183" s="15">
        <f t="shared" si="132"/>
        <v>252744.65727747575</v>
      </c>
      <c r="AO183" s="15">
        <f t="shared" si="133"/>
        <v>226451.9381785127</v>
      </c>
      <c r="AP183" s="10">
        <f t="shared" si="134"/>
        <v>0</v>
      </c>
      <c r="AQ183" s="10">
        <f t="shared" si="135"/>
        <v>0</v>
      </c>
      <c r="AR183" s="10">
        <f t="shared" si="136"/>
        <v>203460.92407512496</v>
      </c>
      <c r="AS183" s="10">
        <f t="shared" si="137"/>
        <v>805257.64533056598</v>
      </c>
      <c r="AT183" s="10" t="b">
        <f t="shared" si="138"/>
        <v>1</v>
      </c>
      <c r="AU183" s="10">
        <f t="shared" si="114"/>
        <v>466323.49940569093</v>
      </c>
      <c r="AV183" s="10">
        <f t="shared" si="115"/>
        <v>0</v>
      </c>
      <c r="AW183" s="10">
        <f t="shared" si="116"/>
        <v>542395.07000000007</v>
      </c>
      <c r="AX183" s="10">
        <f t="shared" si="117"/>
        <v>0</v>
      </c>
      <c r="AY183" s="10">
        <f t="shared" si="139"/>
        <v>1008718.569405691</v>
      </c>
      <c r="AZ183" s="19">
        <f>IFERROR(IF($E183="REC",INDEX(A_Type_Volume!$B:$B,MATCH($D183,A_Type_Volume!$A:$A,0),1),IF($E183="VAM",INDEX(C_Type_Volume!$B:$B,MATCH($D183,C_Type_Volume!$A:$A,0),1),"X")),"")</f>
        <v>9245550</v>
      </c>
      <c r="BA183" s="19">
        <f>IFERROR(IF($E183="REC",INDEX(A_Type_Volume!$C:$C,MATCH($D183,A_Type_Volume!$A:$A,0),1),IF($E183="VAM",INDEX(C_Type_Volume!$C:$C,MATCH($D183,C_Type_Volume!$A:$A,0),1),"X")),"")</f>
        <v>9040100</v>
      </c>
      <c r="BB183" s="19">
        <f>IFERROR(IF($E183="REC",INDEX(A_Type_Volume!$D:$D,MATCH($D183,A_Type_Volume!$A:$A,0),1),IF($E183="VAM",INDEX(C_Type_Volume!$D:$D,MATCH($D183,C_Type_Volume!$A:$A,0),1),"X")),"")</f>
        <v>9994248</v>
      </c>
      <c r="BC183" s="19">
        <f>IFERROR(IF($E183="REC",INDEX(A_Type_Volume!$E:$E,MATCH($D183,A_Type_Volume!$A:$A,0),1),IF($E183="VAM",INDEX(C_Type_Volume!$E:$E,MATCH($D183,C_Type_Volume!$A:$A,0),1),"X")),"")</f>
        <v>8581988</v>
      </c>
      <c r="BD183" s="19">
        <f>IFERROR(IF($E183="REC",INDEX(A_Type_Volume!$F:$F,MATCH($D183,A_Type_Volume!$A:$A,0),1),IF($E183="VAM",INDEX(C_Type_Volume!$F:$F,MATCH($D183,C_Type_Volume!$A:$A,0),1),"X")),"")</f>
        <v>8383529</v>
      </c>
      <c r="BE183" s="19">
        <f>IFERROR(IF($E183="REC",INDEX(A_Type_Volume!$G:$G,MATCH($D183,A_Type_Volume!$A:$A,0),1),IF($E183="VAM",INDEX(C_Type_Volume!$G:$G,MATCH($D183,C_Type_Volume!$A:$A,0),1),"X")),"")</f>
        <v>7713898</v>
      </c>
      <c r="BF183" s="19">
        <f>IFERROR(IF($E183="REC",INDEX(A_Type_Volume!$H:$H,MATCH($D183,A_Type_Volume!$A:$A,0),1),IF($E183="VAM",INDEX(C_Type_Volume!$H:$H,MATCH($D183,C_Type_Volume!$A:$A,0),1),"X")),"")</f>
        <v>7846098</v>
      </c>
      <c r="BG183" s="19">
        <f>IFERROR(IF($E183="REC",INDEX(A_Type_Volume!$I:$I,MATCH($D183,A_Type_Volume!$A:$A,0),1),IF($E183="VAM",INDEX(C_Type_Volume!$I:$I,MATCH($D183,C_Type_Volume!$A:$A,0),1),"X")),"")</f>
        <v>8839034</v>
      </c>
      <c r="BH183" s="19">
        <f>IFERROR(IF($E183="REC",INDEX(A_Type_Volume!$J:$J,MATCH($D183,A_Type_Volume!$A:$A,0),1),IF($E183="VAM",INDEX(C_Type_Volume!$J:$J,MATCH($D183,C_Type_Volume!$A:$A,0),1),"X")),"")</f>
        <v>7814455</v>
      </c>
      <c r="BI183" s="19">
        <f>IFERROR(IF($E183="REC",INDEX(A_Type_Volume!$K:$K,MATCH($D183,A_Type_Volume!$A:$A,0),1),IF($E183="VAM",INDEX(C_Type_Volume!$K:$K,MATCH($D183,C_Type_Volume!$A:$A,0),1),"X")),"")</f>
        <v>8766266</v>
      </c>
      <c r="BJ183" s="19">
        <f>IFERROR(IF($E183="REC",INDEX(A_Type_Volume!$L:$L,MATCH($D183,A_Type_Volume!$A:$A,0),1),IF($E183="VAM",INDEX(C_Type_Volume!$L:$L,MATCH($D183,C_Type_Volume!$A:$A,0),1),"X")),"")</f>
        <v>6795129</v>
      </c>
      <c r="BK183" s="19">
        <f>IFERROR(IF($E183="REC",INDEX(A_Type_Volume!M:M,MATCH($D183,A_Type_Volume!$A:$A,0),1),IF($E183="VAM",INDEX(C_Type_Volume!M:M,MATCH($D183,C_Type_Volume!$A:$A,0),1),"X")),"")</f>
        <v>6088240</v>
      </c>
      <c r="BL183" s="38">
        <f>SUM(Table1[[#This Row],[Jan_AVF]:[Dec_AVF]])</f>
        <v>99108535</v>
      </c>
      <c r="BM183" s="16">
        <f t="shared" si="140"/>
        <v>343888.00655466085</v>
      </c>
      <c r="BN183" s="16">
        <f t="shared" si="141"/>
        <v>336246.29881995008</v>
      </c>
      <c r="BO183" s="16">
        <f t="shared" si="142"/>
        <v>371735.8103880143</v>
      </c>
      <c r="BP183" s="16">
        <f t="shared" si="143"/>
        <v>319206.83416303201</v>
      </c>
      <c r="BQ183" s="16">
        <f t="shared" si="144"/>
        <v>311825.15650266228</v>
      </c>
      <c r="BR183" s="16">
        <f t="shared" si="145"/>
        <v>286918.24780418526</v>
      </c>
      <c r="BS183" s="16">
        <f t="shared" si="146"/>
        <v>291835.42357701936</v>
      </c>
      <c r="BT183" s="16">
        <f t="shared" si="147"/>
        <v>328767.65385822044</v>
      </c>
      <c r="BU183" s="16">
        <f t="shared" si="148"/>
        <v>290658.46296446421</v>
      </c>
      <c r="BV183" s="16">
        <f t="shared" si="149"/>
        <v>326061.04987457755</v>
      </c>
      <c r="BW183" s="16">
        <f t="shared" si="150"/>
        <v>252744.65727747575</v>
      </c>
      <c r="BX183" s="16">
        <f t="shared" si="151"/>
        <v>226451.9381785127</v>
      </c>
      <c r="BY183" s="10">
        <f t="shared" si="118"/>
        <v>1051870.1157626254</v>
      </c>
      <c r="BZ183" s="10">
        <f t="shared" si="119"/>
        <v>917950.23846987949</v>
      </c>
      <c r="CA183" s="10">
        <f t="shared" si="120"/>
        <v>911261.54039970401</v>
      </c>
      <c r="CB183" s="10">
        <f t="shared" si="121"/>
        <v>805257.64533056598</v>
      </c>
      <c r="CC183" s="10">
        <f>IFERROR(Table1[[#This Row],[Labor
Saving]]*Table1[[#This Row],[Annual Volume]],"")</f>
        <v>1704168.8399627747</v>
      </c>
      <c r="CD183" s="10">
        <f>IFERROR(Table1[[#This Row],[Annual Volume]]*Table1[[#This Row],[Yield
Saving]],"")</f>
        <v>0</v>
      </c>
      <c r="CE183" s="10">
        <f>IFERROR(Table1[[#This Row],[Annual Volume]]*Table1[[#This Row],[Material
Saving]],"")</f>
        <v>1982170.7</v>
      </c>
      <c r="CF183" s="10">
        <f>IFERROR(Table1[[#This Row],[OH
Saving]]*Table1[[#This Row],[Annual Volume]],"")</f>
        <v>0</v>
      </c>
      <c r="CG183" s="10">
        <f>SUM(Table1[[#This Row],[Labor_ASV]:[OH_ASV]])</f>
        <v>3686339.5399627746</v>
      </c>
    </row>
    <row r="184" spans="1:85" x14ac:dyDescent="0.3">
      <c r="A184" t="str">
        <f>Table1[[#This Row],[Project Name]]&amp;Table1[[#This Row],[Part Number]]</f>
        <v>New Etching Chemical Hydroflauric AcidV2</v>
      </c>
      <c r="B184" t="str">
        <f>IFERROR(Table1[[#This Row],[Project Number]]&amp;Table1[[#This Row],[Part Number]],"")</f>
        <v>AME25-068V2</v>
      </c>
      <c r="C184" s="22" t="s">
        <v>115</v>
      </c>
      <c r="D184" s="24" t="s">
        <v>214</v>
      </c>
      <c r="E184" s="25" t="s">
        <v>60</v>
      </c>
      <c r="F184" s="6">
        <f>INDEX(Proj_Reg!G:G,MATCH($C184,Proj_Reg!$B:$B,0),1)</f>
        <v>46266</v>
      </c>
      <c r="G184" s="6">
        <f>INDEX(Proj_Reg!H:H,MATCH($C184,Proj_Reg!$B:$B,0),1)</f>
        <v>46600</v>
      </c>
      <c r="H184" s="6" t="str">
        <f>IF(INDEX(Proj_Reg!C:C,MATCH($C184,Proj_Reg!$B:$B,0),1)=0,"",INDEX(Proj_Reg!C:C,MATCH($C184,Proj_Reg!$B:$B,0),1))</f>
        <v>Wet Etching</v>
      </c>
      <c r="I184" s="6" t="str">
        <f>IF(INDEX(Proj_Reg!D:D,MATCH($C184,Proj_Reg!$B:$B,0),1)=0,"",INDEX(Proj_Reg!D:D,MATCH($C184,Proj_Reg!$B:$B,0),1))</f>
        <v>XWP</v>
      </c>
      <c r="J184" s="6" t="str">
        <f>INDEX(Proj_Reg!E:E,MATCH($C184,Proj_Reg!$B:$B,0),1)</f>
        <v>New Etching Chemical Hydroflauric Acid</v>
      </c>
      <c r="K184" s="14">
        <v>5.7663999999999997E-3</v>
      </c>
      <c r="L184" s="21">
        <v>2.6206276920042737E-3</v>
      </c>
      <c r="M184" s="21">
        <v>0</v>
      </c>
      <c r="N184" s="21">
        <v>0</v>
      </c>
      <c r="O184" s="11">
        <f>SUM(Table1[[#This Row],[Labor
Saving]:[OH
Saving]])</f>
        <v>8.3870276920042734E-3</v>
      </c>
      <c r="Q184" s="40">
        <f t="shared" si="102"/>
        <v>0</v>
      </c>
      <c r="R184" s="40">
        <f t="shared" si="103"/>
        <v>0</v>
      </c>
      <c r="S184" s="40">
        <f t="shared" si="104"/>
        <v>0</v>
      </c>
      <c r="T184" s="40">
        <f t="shared" si="105"/>
        <v>0</v>
      </c>
      <c r="U184" s="40">
        <f t="shared" si="106"/>
        <v>0</v>
      </c>
      <c r="V184" s="40">
        <f t="shared" si="107"/>
        <v>0</v>
      </c>
      <c r="W184" s="40">
        <f t="shared" si="108"/>
        <v>0</v>
      </c>
      <c r="X184" s="40">
        <f t="shared" si="109"/>
        <v>0</v>
      </c>
      <c r="Y184" s="40">
        <f t="shared" si="110"/>
        <v>0</v>
      </c>
      <c r="Z184" s="40">
        <f t="shared" si="111"/>
        <v>0</v>
      </c>
      <c r="AA184" s="40">
        <f t="shared" si="112"/>
        <v>0</v>
      </c>
      <c r="AB184" s="40">
        <f t="shared" si="113"/>
        <v>0</v>
      </c>
      <c r="AC184" s="37">
        <f>SUM(Table1[[#This Row],[Jan]:[Dec]])</f>
        <v>0</v>
      </c>
      <c r="AD184" s="15">
        <f t="shared" si="122"/>
        <v>0</v>
      </c>
      <c r="AE184" s="15">
        <f t="shared" si="123"/>
        <v>0</v>
      </c>
      <c r="AF184" s="15">
        <f t="shared" si="124"/>
        <v>0</v>
      </c>
      <c r="AG184" s="15">
        <f t="shared" si="125"/>
        <v>0</v>
      </c>
      <c r="AH184" s="15">
        <f t="shared" si="126"/>
        <v>0</v>
      </c>
      <c r="AI184" s="15">
        <f t="shared" si="127"/>
        <v>0</v>
      </c>
      <c r="AJ184" s="15">
        <f t="shared" si="128"/>
        <v>0</v>
      </c>
      <c r="AK184" s="15">
        <f t="shared" si="129"/>
        <v>0</v>
      </c>
      <c r="AL184" s="15">
        <f t="shared" si="130"/>
        <v>0</v>
      </c>
      <c r="AM184" s="15">
        <f t="shared" si="131"/>
        <v>0</v>
      </c>
      <c r="AN184" s="15">
        <f t="shared" si="132"/>
        <v>0</v>
      </c>
      <c r="AO184" s="15">
        <f t="shared" si="133"/>
        <v>0</v>
      </c>
      <c r="AP184" s="10">
        <f t="shared" si="134"/>
        <v>0</v>
      </c>
      <c r="AQ184" s="10">
        <f t="shared" si="135"/>
        <v>0</v>
      </c>
      <c r="AR184" s="10">
        <f t="shared" si="136"/>
        <v>0</v>
      </c>
      <c r="AS184" s="10">
        <f t="shared" si="137"/>
        <v>0</v>
      </c>
      <c r="AT184" s="10" t="b">
        <f t="shared" si="138"/>
        <v>1</v>
      </c>
      <c r="AU184" s="10">
        <f t="shared" si="114"/>
        <v>0</v>
      </c>
      <c r="AV184" s="10">
        <f t="shared" si="115"/>
        <v>0</v>
      </c>
      <c r="AW184" s="10">
        <f t="shared" si="116"/>
        <v>0</v>
      </c>
      <c r="AX184" s="10">
        <f t="shared" si="117"/>
        <v>0</v>
      </c>
      <c r="AY184" s="10">
        <f t="shared" si="139"/>
        <v>0</v>
      </c>
      <c r="AZ184" s="19">
        <f>IFERROR(IF($E184="REC",INDEX(A_Type_Volume!$B:$B,MATCH($D184,A_Type_Volume!$A:$A,0),1),IF($E184="VAM",INDEX(C_Type_Volume!$B:$B,MATCH($D184,C_Type_Volume!$A:$A,0),1),"X")),"")</f>
        <v>149825</v>
      </c>
      <c r="BA184" s="19">
        <f>IFERROR(IF($E184="REC",INDEX(A_Type_Volume!$C:$C,MATCH($D184,A_Type_Volume!$A:$A,0),1),IF($E184="VAM",INDEX(C_Type_Volume!$C:$C,MATCH($D184,C_Type_Volume!$A:$A,0),1),"X")),"")</f>
        <v>66806</v>
      </c>
      <c r="BB184" s="19">
        <f>IFERROR(IF($E184="REC",INDEX(A_Type_Volume!$D:$D,MATCH($D184,A_Type_Volume!$A:$A,0),1),IF($E184="VAM",INDEX(C_Type_Volume!$D:$D,MATCH($D184,C_Type_Volume!$A:$A,0),1),"X")),"")</f>
        <v>66911</v>
      </c>
      <c r="BC184" s="19">
        <f>IFERROR(IF($E184="REC",INDEX(A_Type_Volume!$E:$E,MATCH($D184,A_Type_Volume!$A:$A,0),1),IF($E184="VAM",INDEX(C_Type_Volume!$E:$E,MATCH($D184,C_Type_Volume!$A:$A,0),1),"X")),"")</f>
        <v>0</v>
      </c>
      <c r="BD184" s="19">
        <f>IFERROR(IF($E184="REC",INDEX(A_Type_Volume!$F:$F,MATCH($D184,A_Type_Volume!$A:$A,0),1),IF($E184="VAM",INDEX(C_Type_Volume!$F:$F,MATCH($D184,C_Type_Volume!$A:$A,0),1),"X")),"")</f>
        <v>0</v>
      </c>
      <c r="BE184" s="19">
        <f>IFERROR(IF($E184="REC",INDEX(A_Type_Volume!$G:$G,MATCH($D184,A_Type_Volume!$A:$A,0),1),IF($E184="VAM",INDEX(C_Type_Volume!$G:$G,MATCH($D184,C_Type_Volume!$A:$A,0),1),"X")),"")</f>
        <v>0</v>
      </c>
      <c r="BF184" s="19">
        <f>IFERROR(IF($E184="REC",INDEX(A_Type_Volume!$H:$H,MATCH($D184,A_Type_Volume!$A:$A,0),1),IF($E184="VAM",INDEX(C_Type_Volume!$H:$H,MATCH($D184,C_Type_Volume!$A:$A,0),1),"X")),"")</f>
        <v>0</v>
      </c>
      <c r="BG184" s="19">
        <f>IFERROR(IF($E184="REC",INDEX(A_Type_Volume!$I:$I,MATCH($D184,A_Type_Volume!$A:$A,0),1),IF($E184="VAM",INDEX(C_Type_Volume!$I:$I,MATCH($D184,C_Type_Volume!$A:$A,0),1),"X")),"")</f>
        <v>0</v>
      </c>
      <c r="BH184" s="19">
        <f>IFERROR(IF($E184="REC",INDEX(A_Type_Volume!$J:$J,MATCH($D184,A_Type_Volume!$A:$A,0),1),IF($E184="VAM",INDEX(C_Type_Volume!$J:$J,MATCH($D184,C_Type_Volume!$A:$A,0),1),"X")),"")</f>
        <v>0</v>
      </c>
      <c r="BI184" s="19">
        <f>IFERROR(IF($E184="REC",INDEX(A_Type_Volume!$K:$K,MATCH($D184,A_Type_Volume!$A:$A,0),1),IF($E184="VAM",INDEX(C_Type_Volume!$K:$K,MATCH($D184,C_Type_Volume!$A:$A,0),1),"X")),"")</f>
        <v>0</v>
      </c>
      <c r="BJ184" s="19">
        <f>IFERROR(IF($E184="REC",INDEX(A_Type_Volume!$L:$L,MATCH($D184,A_Type_Volume!$A:$A,0),1),IF($E184="VAM",INDEX(C_Type_Volume!$L:$L,MATCH($D184,C_Type_Volume!$A:$A,0),1),"X")),"")</f>
        <v>0</v>
      </c>
      <c r="BK184" s="19">
        <f>IFERROR(IF($E184="REC",INDEX(A_Type_Volume!M:M,MATCH($D184,A_Type_Volume!$A:$A,0),1),IF($E184="VAM",INDEX(C_Type_Volume!M:M,MATCH($D184,C_Type_Volume!$A:$A,0),1),"X")),"")</f>
        <v>0</v>
      </c>
      <c r="BL184" s="38">
        <f>SUM(Table1[[#This Row],[Jan_AVF]:[Dec_AVF]])</f>
        <v>283542</v>
      </c>
      <c r="BM184" s="16">
        <f t="shared" si="140"/>
        <v>1256.5864239545404</v>
      </c>
      <c r="BN184" s="16">
        <f t="shared" si="141"/>
        <v>560.30377199203747</v>
      </c>
      <c r="BO184" s="16">
        <f t="shared" si="142"/>
        <v>561.18440989969793</v>
      </c>
      <c r="BP184" s="16">
        <f t="shared" si="143"/>
        <v>0</v>
      </c>
      <c r="BQ184" s="16">
        <f t="shared" si="144"/>
        <v>0</v>
      </c>
      <c r="BR184" s="16">
        <f t="shared" si="145"/>
        <v>0</v>
      </c>
      <c r="BS184" s="16">
        <f t="shared" si="146"/>
        <v>0</v>
      </c>
      <c r="BT184" s="16">
        <f t="shared" si="147"/>
        <v>0</v>
      </c>
      <c r="BU184" s="16">
        <f t="shared" si="148"/>
        <v>0</v>
      </c>
      <c r="BV184" s="16">
        <f t="shared" si="149"/>
        <v>0</v>
      </c>
      <c r="BW184" s="16">
        <f t="shared" si="150"/>
        <v>0</v>
      </c>
      <c r="BX184" s="16">
        <f t="shared" si="151"/>
        <v>0</v>
      </c>
      <c r="BY184" s="10">
        <f t="shared" si="118"/>
        <v>2378.074605846276</v>
      </c>
      <c r="BZ184" s="10">
        <f t="shared" si="119"/>
        <v>0</v>
      </c>
      <c r="CA184" s="10">
        <f t="shared" si="120"/>
        <v>0</v>
      </c>
      <c r="CB184" s="10">
        <f t="shared" si="121"/>
        <v>0</v>
      </c>
      <c r="CC184" s="10">
        <f>IFERROR(Table1[[#This Row],[Labor
Saving]]*Table1[[#This Row],[Annual Volume]],"")</f>
        <v>1635.0165887999999</v>
      </c>
      <c r="CD184" s="10">
        <f>IFERROR(Table1[[#This Row],[Annual Volume]]*Table1[[#This Row],[Yield
Saving]],"")</f>
        <v>743.05801704627572</v>
      </c>
      <c r="CE184" s="10">
        <f>IFERROR(Table1[[#This Row],[Annual Volume]]*Table1[[#This Row],[Material
Saving]],"")</f>
        <v>0</v>
      </c>
      <c r="CF184" s="10">
        <f>IFERROR(Table1[[#This Row],[OH
Saving]]*Table1[[#This Row],[Annual Volume]],"")</f>
        <v>0</v>
      </c>
      <c r="CG184" s="10">
        <f>SUM(Table1[[#This Row],[Labor_ASV]:[OH_ASV]])</f>
        <v>2378.0746058462755</v>
      </c>
    </row>
    <row r="185" spans="1:85" x14ac:dyDescent="0.3">
      <c r="A185" t="str">
        <f>Table1[[#This Row],[Project Name]]&amp;Table1[[#This Row],[Part Number]]</f>
        <v>New Etching Chemical IodineR80</v>
      </c>
      <c r="B185" t="str">
        <f>IFERROR(Table1[[#This Row],[Project Number]]&amp;Table1[[#This Row],[Part Number]],"")</f>
        <v>AME25-069R80</v>
      </c>
      <c r="C185" s="22" t="s">
        <v>116</v>
      </c>
      <c r="D185" s="24" t="s">
        <v>318</v>
      </c>
      <c r="E185" s="25" t="s">
        <v>58</v>
      </c>
      <c r="F185" s="6">
        <f>INDEX(Proj_Reg!G:G,MATCH($C185,Proj_Reg!$B:$B,0),1)</f>
        <v>46204</v>
      </c>
      <c r="G185" s="6">
        <f>INDEX(Proj_Reg!H:H,MATCH($C185,Proj_Reg!$B:$B,0),1)</f>
        <v>46539</v>
      </c>
      <c r="H185" s="6" t="str">
        <f>IF(INDEX(Proj_Reg!C:C,MATCH($C185,Proj_Reg!$B:$B,0),1)=0,"",INDEX(Proj_Reg!C:C,MATCH($C185,Proj_Reg!$B:$B,0),1))</f>
        <v>Wet Etching</v>
      </c>
      <c r="I185" s="6" t="str">
        <f>IF(INDEX(Proj_Reg!D:D,MATCH($C185,Proj_Reg!$B:$B,0),1)=0,"",INDEX(Proj_Reg!D:D,MATCH($C185,Proj_Reg!$B:$B,0),1))</f>
        <v>XWP</v>
      </c>
      <c r="J185" s="6" t="str">
        <f>INDEX(Proj_Reg!E:E,MATCH($C185,Proj_Reg!$B:$B,0),1)</f>
        <v>New Etching Chemical Iodine</v>
      </c>
      <c r="K185" s="21">
        <v>5.0000000000000001E-3</v>
      </c>
      <c r="L185" s="21">
        <v>0</v>
      </c>
      <c r="M185" s="21">
        <v>0</v>
      </c>
      <c r="N185" s="21">
        <v>0</v>
      </c>
      <c r="O185" s="11">
        <f>SUM(Table1[[#This Row],[Labor
Saving]:[OH
Saving]])</f>
        <v>5.0000000000000001E-3</v>
      </c>
      <c r="Q185" s="40">
        <f t="shared" si="102"/>
        <v>0</v>
      </c>
      <c r="R185" s="40">
        <f t="shared" si="103"/>
        <v>0</v>
      </c>
      <c r="S185" s="40">
        <f t="shared" si="104"/>
        <v>0</v>
      </c>
      <c r="T185" s="40">
        <f t="shared" si="105"/>
        <v>0</v>
      </c>
      <c r="U185" s="40">
        <f t="shared" si="106"/>
        <v>0</v>
      </c>
      <c r="V185" s="40">
        <f t="shared" si="107"/>
        <v>0</v>
      </c>
      <c r="W185" s="40">
        <f t="shared" si="108"/>
        <v>2353829.4</v>
      </c>
      <c r="X185" s="40">
        <f t="shared" si="109"/>
        <v>8839034</v>
      </c>
      <c r="Y185" s="40">
        <f t="shared" si="110"/>
        <v>7814455</v>
      </c>
      <c r="Z185" s="40">
        <f t="shared" si="111"/>
        <v>8766266</v>
      </c>
      <c r="AA185" s="40">
        <f t="shared" si="112"/>
        <v>6795129</v>
      </c>
      <c r="AB185" s="40">
        <f t="shared" si="113"/>
        <v>6088240</v>
      </c>
      <c r="AC185" s="37">
        <f>SUM(Table1[[#This Row],[Jan]:[Dec]])</f>
        <v>40656953.399999999</v>
      </c>
      <c r="AD185" s="15">
        <f t="shared" si="122"/>
        <v>0</v>
      </c>
      <c r="AE185" s="15">
        <f t="shared" si="123"/>
        <v>0</v>
      </c>
      <c r="AF185" s="15">
        <f t="shared" si="124"/>
        <v>0</v>
      </c>
      <c r="AG185" s="15">
        <f t="shared" si="125"/>
        <v>0</v>
      </c>
      <c r="AH185" s="15">
        <f t="shared" si="126"/>
        <v>0</v>
      </c>
      <c r="AI185" s="15">
        <f t="shared" si="127"/>
        <v>0</v>
      </c>
      <c r="AJ185" s="15">
        <f t="shared" si="128"/>
        <v>11769.146999999999</v>
      </c>
      <c r="AK185" s="15">
        <f t="shared" si="129"/>
        <v>44195.17</v>
      </c>
      <c r="AL185" s="15">
        <f t="shared" si="130"/>
        <v>39072.275000000001</v>
      </c>
      <c r="AM185" s="15">
        <f t="shared" si="131"/>
        <v>43831.33</v>
      </c>
      <c r="AN185" s="15">
        <f t="shared" si="132"/>
        <v>33975.645000000004</v>
      </c>
      <c r="AO185" s="15">
        <f t="shared" si="133"/>
        <v>30441.200000000001</v>
      </c>
      <c r="AP185" s="10">
        <f t="shared" si="134"/>
        <v>0</v>
      </c>
      <c r="AQ185" s="10">
        <f t="shared" si="135"/>
        <v>0</v>
      </c>
      <c r="AR185" s="10">
        <f t="shared" si="136"/>
        <v>95036.592000000004</v>
      </c>
      <c r="AS185" s="10">
        <f t="shared" si="137"/>
        <v>108248.175</v>
      </c>
      <c r="AT185" s="10" t="b">
        <f t="shared" si="138"/>
        <v>1</v>
      </c>
      <c r="AU185" s="10">
        <f t="shared" si="114"/>
        <v>203284.76699999999</v>
      </c>
      <c r="AV185" s="10">
        <f t="shared" si="115"/>
        <v>0</v>
      </c>
      <c r="AW185" s="10">
        <f t="shared" si="116"/>
        <v>0</v>
      </c>
      <c r="AX185" s="10">
        <f t="shared" si="117"/>
        <v>0</v>
      </c>
      <c r="AY185" s="10">
        <f t="shared" si="139"/>
        <v>203284.76699999999</v>
      </c>
      <c r="AZ185" s="19">
        <f>IFERROR(IF($E185="REC",INDEX(A_Type_Volume!$B:$B,MATCH($D185,A_Type_Volume!$A:$A,0),1),IF($E185="VAM",INDEX(C_Type_Volume!$B:$B,MATCH($D185,C_Type_Volume!$A:$A,0),1),"X")),"")</f>
        <v>9245550</v>
      </c>
      <c r="BA185" s="19">
        <f>IFERROR(IF($E185="REC",INDEX(A_Type_Volume!$C:$C,MATCH($D185,A_Type_Volume!$A:$A,0),1),IF($E185="VAM",INDEX(C_Type_Volume!$C:$C,MATCH($D185,C_Type_Volume!$A:$A,0),1),"X")),"")</f>
        <v>9040100</v>
      </c>
      <c r="BB185" s="19">
        <f>IFERROR(IF($E185="REC",INDEX(A_Type_Volume!$D:$D,MATCH($D185,A_Type_Volume!$A:$A,0),1),IF($E185="VAM",INDEX(C_Type_Volume!$D:$D,MATCH($D185,C_Type_Volume!$A:$A,0),1),"X")),"")</f>
        <v>9994248</v>
      </c>
      <c r="BC185" s="19">
        <f>IFERROR(IF($E185="REC",INDEX(A_Type_Volume!$E:$E,MATCH($D185,A_Type_Volume!$A:$A,0),1),IF($E185="VAM",INDEX(C_Type_Volume!$E:$E,MATCH($D185,C_Type_Volume!$A:$A,0),1),"X")),"")</f>
        <v>8581988</v>
      </c>
      <c r="BD185" s="19">
        <f>IFERROR(IF($E185="REC",INDEX(A_Type_Volume!$F:$F,MATCH($D185,A_Type_Volume!$A:$A,0),1),IF($E185="VAM",INDEX(C_Type_Volume!$F:$F,MATCH($D185,C_Type_Volume!$A:$A,0),1),"X")),"")</f>
        <v>8383529</v>
      </c>
      <c r="BE185" s="19">
        <f>IFERROR(IF($E185="REC",INDEX(A_Type_Volume!$G:$G,MATCH($D185,A_Type_Volume!$A:$A,0),1),IF($E185="VAM",INDEX(C_Type_Volume!$G:$G,MATCH($D185,C_Type_Volume!$A:$A,0),1),"X")),"")</f>
        <v>7713898</v>
      </c>
      <c r="BF185" s="19">
        <f>IFERROR(IF($E185="REC",INDEX(A_Type_Volume!$H:$H,MATCH($D185,A_Type_Volume!$A:$A,0),1),IF($E185="VAM",INDEX(C_Type_Volume!$H:$H,MATCH($D185,C_Type_Volume!$A:$A,0),1),"X")),"")</f>
        <v>7846098</v>
      </c>
      <c r="BG185" s="19">
        <f>IFERROR(IF($E185="REC",INDEX(A_Type_Volume!$I:$I,MATCH($D185,A_Type_Volume!$A:$A,0),1),IF($E185="VAM",INDEX(C_Type_Volume!$I:$I,MATCH($D185,C_Type_Volume!$A:$A,0),1),"X")),"")</f>
        <v>8839034</v>
      </c>
      <c r="BH185" s="19">
        <f>IFERROR(IF($E185="REC",INDEX(A_Type_Volume!$J:$J,MATCH($D185,A_Type_Volume!$A:$A,0),1),IF($E185="VAM",INDEX(C_Type_Volume!$J:$J,MATCH($D185,C_Type_Volume!$A:$A,0),1),"X")),"")</f>
        <v>7814455</v>
      </c>
      <c r="BI185" s="19">
        <f>IFERROR(IF($E185="REC",INDEX(A_Type_Volume!$K:$K,MATCH($D185,A_Type_Volume!$A:$A,0),1),IF($E185="VAM",INDEX(C_Type_Volume!$K:$K,MATCH($D185,C_Type_Volume!$A:$A,0),1),"X")),"")</f>
        <v>8766266</v>
      </c>
      <c r="BJ185" s="19">
        <f>IFERROR(IF($E185="REC",INDEX(A_Type_Volume!$L:$L,MATCH($D185,A_Type_Volume!$A:$A,0),1),IF($E185="VAM",INDEX(C_Type_Volume!$L:$L,MATCH($D185,C_Type_Volume!$A:$A,0),1),"X")),"")</f>
        <v>6795129</v>
      </c>
      <c r="BK185" s="19">
        <f>IFERROR(IF($E185="REC",INDEX(A_Type_Volume!M:M,MATCH($D185,A_Type_Volume!$A:$A,0),1),IF($E185="VAM",INDEX(C_Type_Volume!M:M,MATCH($D185,C_Type_Volume!$A:$A,0),1),"X")),"")</f>
        <v>6088240</v>
      </c>
      <c r="BL185" s="38">
        <f>SUM(Table1[[#This Row],[Jan_AVF]:[Dec_AVF]])</f>
        <v>99108535</v>
      </c>
      <c r="BM185" s="16">
        <f t="shared" si="140"/>
        <v>46227.75</v>
      </c>
      <c r="BN185" s="16">
        <f t="shared" si="141"/>
        <v>45200.5</v>
      </c>
      <c r="BO185" s="16">
        <f t="shared" si="142"/>
        <v>49971.24</v>
      </c>
      <c r="BP185" s="16">
        <f t="shared" si="143"/>
        <v>42909.94</v>
      </c>
      <c r="BQ185" s="16">
        <f t="shared" si="144"/>
        <v>41917.645000000004</v>
      </c>
      <c r="BR185" s="16">
        <f t="shared" si="145"/>
        <v>38569.49</v>
      </c>
      <c r="BS185" s="16">
        <f t="shared" si="146"/>
        <v>39230.49</v>
      </c>
      <c r="BT185" s="16">
        <f t="shared" si="147"/>
        <v>44195.17</v>
      </c>
      <c r="BU185" s="16">
        <f t="shared" si="148"/>
        <v>39072.275000000001</v>
      </c>
      <c r="BV185" s="16">
        <f t="shared" si="149"/>
        <v>43831.33</v>
      </c>
      <c r="BW185" s="16">
        <f t="shared" si="150"/>
        <v>33975.645000000004</v>
      </c>
      <c r="BX185" s="16">
        <f t="shared" si="151"/>
        <v>30441.200000000001</v>
      </c>
      <c r="BY185" s="10">
        <f t="shared" si="118"/>
        <v>141399.49</v>
      </c>
      <c r="BZ185" s="10">
        <f t="shared" si="119"/>
        <v>123397.07500000001</v>
      </c>
      <c r="CA185" s="10">
        <f t="shared" si="120"/>
        <v>122497.935</v>
      </c>
      <c r="CB185" s="10">
        <f t="shared" si="121"/>
        <v>108248.175</v>
      </c>
      <c r="CC185" s="10">
        <f>IFERROR(Table1[[#This Row],[Labor
Saving]]*Table1[[#This Row],[Annual Volume]],"")</f>
        <v>495542.67499999999</v>
      </c>
      <c r="CD185" s="10">
        <f>IFERROR(Table1[[#This Row],[Annual Volume]]*Table1[[#This Row],[Yield
Saving]],"")</f>
        <v>0</v>
      </c>
      <c r="CE185" s="10">
        <f>IFERROR(Table1[[#This Row],[Annual Volume]]*Table1[[#This Row],[Material
Saving]],"")</f>
        <v>0</v>
      </c>
      <c r="CF185" s="10">
        <f>IFERROR(Table1[[#This Row],[OH
Saving]]*Table1[[#This Row],[Annual Volume]],"")</f>
        <v>0</v>
      </c>
      <c r="CG185" s="10">
        <f>SUM(Table1[[#This Row],[Labor_ASV]:[OH_ASV]])</f>
        <v>495542.67499999999</v>
      </c>
    </row>
    <row r="186" spans="1:85" x14ac:dyDescent="0.3">
      <c r="A186" t="str">
        <f>Table1[[#This Row],[Project Name]]&amp;Table1[[#This Row],[Part Number]]</f>
        <v>New Etching Chemical Nitric AcidR93</v>
      </c>
      <c r="B186" t="str">
        <f>IFERROR(Table1[[#This Row],[Project Number]]&amp;Table1[[#This Row],[Part Number]],"")</f>
        <v>AME25-071R93</v>
      </c>
      <c r="C186" s="22" t="s">
        <v>118</v>
      </c>
      <c r="D186" s="24" t="s">
        <v>331</v>
      </c>
      <c r="E186" s="25" t="s">
        <v>58</v>
      </c>
      <c r="F186" s="6">
        <f>INDEX(Proj_Reg!G:G,MATCH($C186,Proj_Reg!$B:$B,0),1)</f>
        <v>46204</v>
      </c>
      <c r="G186" s="6">
        <f>INDEX(Proj_Reg!H:H,MATCH($C186,Proj_Reg!$B:$B,0),1)</f>
        <v>46539</v>
      </c>
      <c r="H186" s="6" t="str">
        <f>IF(INDEX(Proj_Reg!C:C,MATCH($C186,Proj_Reg!$B:$B,0),1)=0,"",INDEX(Proj_Reg!C:C,MATCH($C186,Proj_Reg!$B:$B,0),1))</f>
        <v>Wet Etching</v>
      </c>
      <c r="I186" s="6" t="str">
        <f>IF(INDEX(Proj_Reg!D:D,MATCH($C186,Proj_Reg!$B:$B,0),1)=0,"",INDEX(Proj_Reg!D:D,MATCH($C186,Proj_Reg!$B:$B,0),1))</f>
        <v>XWP</v>
      </c>
      <c r="J186" s="6" t="str">
        <f>INDEX(Proj_Reg!E:E,MATCH($C186,Proj_Reg!$B:$B,0),1)</f>
        <v>New Etching Chemical Nitric Acid</v>
      </c>
      <c r="K186" s="21">
        <v>1.9334399999999998E-3</v>
      </c>
      <c r="L186" s="21">
        <v>0</v>
      </c>
      <c r="M186" s="21">
        <v>0</v>
      </c>
      <c r="N186" s="21">
        <v>0</v>
      </c>
      <c r="O186" s="11">
        <f>SUM(Table1[[#This Row],[Labor
Saving]:[OH
Saving]])</f>
        <v>1.9334399999999998E-3</v>
      </c>
      <c r="Q186" s="40">
        <f t="shared" si="102"/>
        <v>0</v>
      </c>
      <c r="R186" s="40">
        <f t="shared" si="103"/>
        <v>0</v>
      </c>
      <c r="S186" s="40">
        <f t="shared" si="104"/>
        <v>0</v>
      </c>
      <c r="T186" s="40">
        <f t="shared" si="105"/>
        <v>0</v>
      </c>
      <c r="U186" s="40">
        <f t="shared" si="106"/>
        <v>0</v>
      </c>
      <c r="V186" s="40">
        <f t="shared" si="107"/>
        <v>0</v>
      </c>
      <c r="W186" s="40">
        <f t="shared" si="108"/>
        <v>22343.7</v>
      </c>
      <c r="X186" s="40">
        <f t="shared" si="109"/>
        <v>58273</v>
      </c>
      <c r="Y186" s="40">
        <f t="shared" si="110"/>
        <v>67997</v>
      </c>
      <c r="Z186" s="40">
        <f t="shared" si="111"/>
        <v>85542</v>
      </c>
      <c r="AA186" s="40">
        <f t="shared" si="112"/>
        <v>75465</v>
      </c>
      <c r="AB186" s="40">
        <f t="shared" si="113"/>
        <v>84571</v>
      </c>
      <c r="AC186" s="37">
        <f>SUM(Table1[[#This Row],[Jan]:[Dec]])</f>
        <v>394191.7</v>
      </c>
      <c r="AD186" s="15">
        <f t="shared" si="122"/>
        <v>0</v>
      </c>
      <c r="AE186" s="15">
        <f t="shared" si="123"/>
        <v>0</v>
      </c>
      <c r="AF186" s="15">
        <f t="shared" si="124"/>
        <v>0</v>
      </c>
      <c r="AG186" s="15">
        <f t="shared" si="125"/>
        <v>0</v>
      </c>
      <c r="AH186" s="15">
        <f t="shared" si="126"/>
        <v>0</v>
      </c>
      <c r="AI186" s="15">
        <f t="shared" si="127"/>
        <v>0</v>
      </c>
      <c r="AJ186" s="15">
        <f t="shared" si="128"/>
        <v>43.200203328000001</v>
      </c>
      <c r="AK186" s="15">
        <f t="shared" si="129"/>
        <v>112.66734911999998</v>
      </c>
      <c r="AL186" s="15">
        <f t="shared" si="130"/>
        <v>131.46811968</v>
      </c>
      <c r="AM186" s="15">
        <f t="shared" si="131"/>
        <v>165.39032447999998</v>
      </c>
      <c r="AN186" s="15">
        <f t="shared" si="132"/>
        <v>145.90704959999999</v>
      </c>
      <c r="AO186" s="15">
        <f t="shared" si="133"/>
        <v>163.51295423999997</v>
      </c>
      <c r="AP186" s="10">
        <f t="shared" si="134"/>
        <v>0</v>
      </c>
      <c r="AQ186" s="10">
        <f t="shared" si="135"/>
        <v>0</v>
      </c>
      <c r="AR186" s="10">
        <f t="shared" si="136"/>
        <v>287.33567212799994</v>
      </c>
      <c r="AS186" s="10">
        <f t="shared" si="137"/>
        <v>474.81032831999994</v>
      </c>
      <c r="AT186" s="10" t="b">
        <f t="shared" si="138"/>
        <v>1</v>
      </c>
      <c r="AU186" s="10">
        <f t="shared" si="114"/>
        <v>762.146000448</v>
      </c>
      <c r="AV186" s="10">
        <f t="shared" si="115"/>
        <v>0</v>
      </c>
      <c r="AW186" s="10">
        <f t="shared" si="116"/>
        <v>0</v>
      </c>
      <c r="AX186" s="10">
        <f t="shared" si="117"/>
        <v>0</v>
      </c>
      <c r="AY186" s="10">
        <f t="shared" si="139"/>
        <v>762.146000448</v>
      </c>
      <c r="AZ186" s="19">
        <f>IFERROR(IF($E186="REC",INDEX(A_Type_Volume!$B:$B,MATCH($D186,A_Type_Volume!$A:$A,0),1),IF($E186="VAM",INDEX(C_Type_Volume!$B:$B,MATCH($D186,C_Type_Volume!$A:$A,0),1),"X")),"")</f>
        <v>48500</v>
      </c>
      <c r="BA186" s="19">
        <f>IFERROR(IF($E186="REC",INDEX(A_Type_Volume!$C:$C,MATCH($D186,A_Type_Volume!$A:$A,0),1),IF($E186="VAM",INDEX(C_Type_Volume!$C:$C,MATCH($D186,C_Type_Volume!$A:$A,0),1),"X")),"")</f>
        <v>80821</v>
      </c>
      <c r="BB186" s="19">
        <f>IFERROR(IF($E186="REC",INDEX(A_Type_Volume!$D:$D,MATCH($D186,A_Type_Volume!$A:$A,0),1),IF($E186="VAM",INDEX(C_Type_Volume!$D:$D,MATCH($D186,C_Type_Volume!$A:$A,0),1),"X")),"")</f>
        <v>90035</v>
      </c>
      <c r="BC186" s="19">
        <f>IFERROR(IF($E186="REC",INDEX(A_Type_Volume!$E:$E,MATCH($D186,A_Type_Volume!$A:$A,0),1),IF($E186="VAM",INDEX(C_Type_Volume!$E:$E,MATCH($D186,C_Type_Volume!$A:$A,0),1),"X")),"")</f>
        <v>74480</v>
      </c>
      <c r="BD186" s="19">
        <f>IFERROR(IF($E186="REC",INDEX(A_Type_Volume!$F:$F,MATCH($D186,A_Type_Volume!$A:$A,0),1),IF($E186="VAM",INDEX(C_Type_Volume!$F:$F,MATCH($D186,C_Type_Volume!$A:$A,0),1),"X")),"")</f>
        <v>78343</v>
      </c>
      <c r="BE186" s="19">
        <f>IFERROR(IF($E186="REC",INDEX(A_Type_Volume!$G:$G,MATCH($D186,A_Type_Volume!$A:$A,0),1),IF($E186="VAM",INDEX(C_Type_Volume!$G:$G,MATCH($D186,C_Type_Volume!$A:$A,0),1),"X")),"")</f>
        <v>72933</v>
      </c>
      <c r="BF186" s="19">
        <f>IFERROR(IF($E186="REC",INDEX(A_Type_Volume!$H:$H,MATCH($D186,A_Type_Volume!$A:$A,0),1),IF($E186="VAM",INDEX(C_Type_Volume!$H:$H,MATCH($D186,C_Type_Volume!$A:$A,0),1),"X")),"")</f>
        <v>74479</v>
      </c>
      <c r="BG186" s="19">
        <f>IFERROR(IF($E186="REC",INDEX(A_Type_Volume!$I:$I,MATCH($D186,A_Type_Volume!$A:$A,0),1),IF($E186="VAM",INDEX(C_Type_Volume!$I:$I,MATCH($D186,C_Type_Volume!$A:$A,0),1),"X")),"")</f>
        <v>58273</v>
      </c>
      <c r="BH186" s="19">
        <f>IFERROR(IF($E186="REC",INDEX(A_Type_Volume!$J:$J,MATCH($D186,A_Type_Volume!$A:$A,0),1),IF($E186="VAM",INDEX(C_Type_Volume!$J:$J,MATCH($D186,C_Type_Volume!$A:$A,0),1),"X")),"")</f>
        <v>67997</v>
      </c>
      <c r="BI186" s="19">
        <f>IFERROR(IF($E186="REC",INDEX(A_Type_Volume!$K:$K,MATCH($D186,A_Type_Volume!$A:$A,0),1),IF($E186="VAM",INDEX(C_Type_Volume!$K:$K,MATCH($D186,C_Type_Volume!$A:$A,0),1),"X")),"")</f>
        <v>85542</v>
      </c>
      <c r="BJ186" s="19">
        <f>IFERROR(IF($E186="REC",INDEX(A_Type_Volume!$L:$L,MATCH($D186,A_Type_Volume!$A:$A,0),1),IF($E186="VAM",INDEX(C_Type_Volume!$L:$L,MATCH($D186,C_Type_Volume!$A:$A,0),1),"X")),"")</f>
        <v>75465</v>
      </c>
      <c r="BK186" s="19">
        <f>IFERROR(IF($E186="REC",INDEX(A_Type_Volume!M:M,MATCH($D186,A_Type_Volume!$A:$A,0),1),IF($E186="VAM",INDEX(C_Type_Volume!M:M,MATCH($D186,C_Type_Volume!$A:$A,0),1),"X")),"")</f>
        <v>84571</v>
      </c>
      <c r="BL186" s="38">
        <f>SUM(Table1[[#This Row],[Jan_AVF]:[Dec_AVF]])</f>
        <v>891439</v>
      </c>
      <c r="BM186" s="16">
        <f t="shared" si="140"/>
        <v>93.771839999999997</v>
      </c>
      <c r="BN186" s="16">
        <f t="shared" si="141"/>
        <v>156.26255423999999</v>
      </c>
      <c r="BO186" s="16">
        <f t="shared" si="142"/>
        <v>174.07727039999997</v>
      </c>
      <c r="BP186" s="16">
        <f t="shared" si="143"/>
        <v>144.00261119999999</v>
      </c>
      <c r="BQ186" s="16">
        <f t="shared" si="144"/>
        <v>151.47148991999998</v>
      </c>
      <c r="BR186" s="16">
        <f t="shared" si="145"/>
        <v>141.01157952</v>
      </c>
      <c r="BS186" s="16">
        <f t="shared" si="146"/>
        <v>144.00067775999997</v>
      </c>
      <c r="BT186" s="16">
        <f t="shared" si="147"/>
        <v>112.66734911999998</v>
      </c>
      <c r="BU186" s="16">
        <f t="shared" si="148"/>
        <v>131.46811968</v>
      </c>
      <c r="BV186" s="16">
        <f t="shared" si="149"/>
        <v>165.39032447999998</v>
      </c>
      <c r="BW186" s="16">
        <f t="shared" si="150"/>
        <v>145.90704959999999</v>
      </c>
      <c r="BX186" s="16">
        <f t="shared" si="151"/>
        <v>163.51295423999997</v>
      </c>
      <c r="BY186" s="10">
        <f t="shared" si="118"/>
        <v>424.11166463999996</v>
      </c>
      <c r="BZ186" s="10">
        <f t="shared" si="119"/>
        <v>436.48568064</v>
      </c>
      <c r="CA186" s="10">
        <f t="shared" si="120"/>
        <v>388.13614655999993</v>
      </c>
      <c r="CB186" s="10">
        <f t="shared" si="121"/>
        <v>474.81032831999994</v>
      </c>
      <c r="CC186" s="10">
        <f>IFERROR(Table1[[#This Row],[Labor
Saving]]*Table1[[#This Row],[Annual Volume]],"")</f>
        <v>1723.5438201599998</v>
      </c>
      <c r="CD186" s="10">
        <f>IFERROR(Table1[[#This Row],[Annual Volume]]*Table1[[#This Row],[Yield
Saving]],"")</f>
        <v>0</v>
      </c>
      <c r="CE186" s="10">
        <f>IFERROR(Table1[[#This Row],[Annual Volume]]*Table1[[#This Row],[Material
Saving]],"")</f>
        <v>0</v>
      </c>
      <c r="CF186" s="10">
        <f>IFERROR(Table1[[#This Row],[OH
Saving]]*Table1[[#This Row],[Annual Volume]],"")</f>
        <v>0</v>
      </c>
      <c r="CG186" s="10">
        <f>SUM(Table1[[#This Row],[Labor_ASV]:[OH_ASV]])</f>
        <v>1723.5438201599998</v>
      </c>
    </row>
    <row r="187" spans="1:85" x14ac:dyDescent="0.3">
      <c r="A187" t="str">
        <f>Table1[[#This Row],[Project Name]]&amp;Table1[[#This Row],[Part Number]]</f>
        <v>New Etching Chemical H2O2R195</v>
      </c>
      <c r="B187" t="str">
        <f>IFERROR(Table1[[#This Row],[Project Number]]&amp;Table1[[#This Row],[Part Number]],"")</f>
        <v>AME25-070R195</v>
      </c>
      <c r="C187" s="22" t="s">
        <v>117</v>
      </c>
      <c r="D187" s="24" t="s">
        <v>433</v>
      </c>
      <c r="E187" s="25" t="s">
        <v>58</v>
      </c>
      <c r="F187" s="6">
        <f>INDEX(Proj_Reg!G:G,MATCH($C187,Proj_Reg!$B:$B,0),1)</f>
        <v>46204</v>
      </c>
      <c r="G187" s="6">
        <f>INDEX(Proj_Reg!H:H,MATCH($C187,Proj_Reg!$B:$B,0),1)</f>
        <v>46539</v>
      </c>
      <c r="H187" s="6" t="str">
        <f>IF(INDEX(Proj_Reg!C:C,MATCH($C187,Proj_Reg!$B:$B,0),1)=0,"",INDEX(Proj_Reg!C:C,MATCH($C187,Proj_Reg!$B:$B,0),1))</f>
        <v>Wet Etching</v>
      </c>
      <c r="I187" s="6" t="str">
        <f>IF(INDEX(Proj_Reg!D:D,MATCH($C187,Proj_Reg!$B:$B,0),1)=0,"",INDEX(Proj_Reg!D:D,MATCH($C187,Proj_Reg!$B:$B,0),1))</f>
        <v>XWP</v>
      </c>
      <c r="J187" s="6" t="str">
        <f>INDEX(Proj_Reg!E:E,MATCH($C187,Proj_Reg!$B:$B,0),1)</f>
        <v>New Etching Chemical H2O2</v>
      </c>
      <c r="K187" s="21">
        <v>1.6649663994818234E-3</v>
      </c>
      <c r="L187" s="21">
        <v>1.5525010702578723E-2</v>
      </c>
      <c r="M187" s="21">
        <v>0</v>
      </c>
      <c r="N187" s="21">
        <v>0</v>
      </c>
      <c r="O187" s="11">
        <f>SUM(Table1[[#This Row],[Labor
Saving]:[OH
Saving]])</f>
        <v>1.7189977102060546E-2</v>
      </c>
      <c r="Q187" s="40">
        <f t="shared" si="102"/>
        <v>0</v>
      </c>
      <c r="R187" s="40">
        <f t="shared" si="103"/>
        <v>0</v>
      </c>
      <c r="S187" s="40">
        <f t="shared" si="104"/>
        <v>0</v>
      </c>
      <c r="T187" s="40">
        <f t="shared" si="105"/>
        <v>0</v>
      </c>
      <c r="U187" s="40">
        <f t="shared" si="106"/>
        <v>0</v>
      </c>
      <c r="V187" s="40">
        <f t="shared" si="107"/>
        <v>0</v>
      </c>
      <c r="W187" s="40">
        <f t="shared" si="108"/>
        <v>0</v>
      </c>
      <c r="X187" s="40">
        <f t="shared" si="109"/>
        <v>0</v>
      </c>
      <c r="Y187" s="40">
        <f t="shared" si="110"/>
        <v>0</v>
      </c>
      <c r="Z187" s="40">
        <f t="shared" si="111"/>
        <v>0</v>
      </c>
      <c r="AA187" s="40">
        <f t="shared" si="112"/>
        <v>0</v>
      </c>
      <c r="AB187" s="40">
        <f t="shared" si="113"/>
        <v>0</v>
      </c>
      <c r="AC187" s="37">
        <f>SUM(Table1[[#This Row],[Jan]:[Dec]])</f>
        <v>0</v>
      </c>
      <c r="AD187" s="15">
        <f t="shared" si="122"/>
        <v>0</v>
      </c>
      <c r="AE187" s="15">
        <f t="shared" si="123"/>
        <v>0</v>
      </c>
      <c r="AF187" s="15">
        <f t="shared" si="124"/>
        <v>0</v>
      </c>
      <c r="AG187" s="15">
        <f t="shared" si="125"/>
        <v>0</v>
      </c>
      <c r="AH187" s="15">
        <f t="shared" si="126"/>
        <v>0</v>
      </c>
      <c r="AI187" s="15">
        <f t="shared" si="127"/>
        <v>0</v>
      </c>
      <c r="AJ187" s="15">
        <f t="shared" si="128"/>
        <v>0</v>
      </c>
      <c r="AK187" s="15">
        <f t="shared" si="129"/>
        <v>0</v>
      </c>
      <c r="AL187" s="15">
        <f t="shared" si="130"/>
        <v>0</v>
      </c>
      <c r="AM187" s="15">
        <f t="shared" si="131"/>
        <v>0</v>
      </c>
      <c r="AN187" s="15">
        <f t="shared" si="132"/>
        <v>0</v>
      </c>
      <c r="AO187" s="15">
        <f t="shared" si="133"/>
        <v>0</v>
      </c>
      <c r="AP187" s="10">
        <f t="shared" si="134"/>
        <v>0</v>
      </c>
      <c r="AQ187" s="10">
        <f t="shared" si="135"/>
        <v>0</v>
      </c>
      <c r="AR187" s="10">
        <f t="shared" si="136"/>
        <v>0</v>
      </c>
      <c r="AS187" s="10">
        <f t="shared" si="137"/>
        <v>0</v>
      </c>
      <c r="AT187" s="10" t="b">
        <f t="shared" si="138"/>
        <v>1</v>
      </c>
      <c r="AU187" s="10">
        <f t="shared" si="114"/>
        <v>0</v>
      </c>
      <c r="AV187" s="10">
        <f t="shared" si="115"/>
        <v>0</v>
      </c>
      <c r="AW187" s="10">
        <f t="shared" si="116"/>
        <v>0</v>
      </c>
      <c r="AX187" s="10">
        <f t="shared" si="117"/>
        <v>0</v>
      </c>
      <c r="AY187" s="10">
        <f t="shared" si="139"/>
        <v>0</v>
      </c>
      <c r="AZ187" s="19">
        <f>IFERROR(IF($E187="REC",INDEX(A_Type_Volume!$B:$B,MATCH($D187,A_Type_Volume!$A:$A,0),1),IF($E187="VAM",INDEX(C_Type_Volume!$B:$B,MATCH($D187,C_Type_Volume!$A:$A,0),1),"X")),"")</f>
        <v>0</v>
      </c>
      <c r="BA187" s="19">
        <f>IFERROR(IF($E187="REC",INDEX(A_Type_Volume!$C:$C,MATCH($D187,A_Type_Volume!$A:$A,0),1),IF($E187="VAM",INDEX(C_Type_Volume!$C:$C,MATCH($D187,C_Type_Volume!$A:$A,0),1),"X")),"")</f>
        <v>0</v>
      </c>
      <c r="BB187" s="19">
        <f>IFERROR(IF($E187="REC",INDEX(A_Type_Volume!$D:$D,MATCH($D187,A_Type_Volume!$A:$A,0),1),IF($E187="VAM",INDEX(C_Type_Volume!$D:$D,MATCH($D187,C_Type_Volume!$A:$A,0),1),"X")),"")</f>
        <v>0</v>
      </c>
      <c r="BC187" s="19">
        <f>IFERROR(IF($E187="REC",INDEX(A_Type_Volume!$E:$E,MATCH($D187,A_Type_Volume!$A:$A,0),1),IF($E187="VAM",INDEX(C_Type_Volume!$E:$E,MATCH($D187,C_Type_Volume!$A:$A,0),1),"X")),"")</f>
        <v>0</v>
      </c>
      <c r="BD187" s="19">
        <f>IFERROR(IF($E187="REC",INDEX(A_Type_Volume!$F:$F,MATCH($D187,A_Type_Volume!$A:$A,0),1),IF($E187="VAM",INDEX(C_Type_Volume!$F:$F,MATCH($D187,C_Type_Volume!$A:$A,0),1),"X")),"")</f>
        <v>0</v>
      </c>
      <c r="BE187" s="19">
        <f>IFERROR(IF($E187="REC",INDEX(A_Type_Volume!$G:$G,MATCH($D187,A_Type_Volume!$A:$A,0),1),IF($E187="VAM",INDEX(C_Type_Volume!$G:$G,MATCH($D187,C_Type_Volume!$A:$A,0),1),"X")),"")</f>
        <v>0</v>
      </c>
      <c r="BF187" s="19">
        <f>IFERROR(IF($E187="REC",INDEX(A_Type_Volume!$H:$H,MATCH($D187,A_Type_Volume!$A:$A,0),1),IF($E187="VAM",INDEX(C_Type_Volume!$H:$H,MATCH($D187,C_Type_Volume!$A:$A,0),1),"X")),"")</f>
        <v>0</v>
      </c>
      <c r="BG187" s="19">
        <f>IFERROR(IF($E187="REC",INDEX(A_Type_Volume!$I:$I,MATCH($D187,A_Type_Volume!$A:$A,0),1),IF($E187="VAM",INDEX(C_Type_Volume!$I:$I,MATCH($D187,C_Type_Volume!$A:$A,0),1),"X")),"")</f>
        <v>0</v>
      </c>
      <c r="BH187" s="19">
        <f>IFERROR(IF($E187="REC",INDEX(A_Type_Volume!$J:$J,MATCH($D187,A_Type_Volume!$A:$A,0),1),IF($E187="VAM",INDEX(C_Type_Volume!$J:$J,MATCH($D187,C_Type_Volume!$A:$A,0),1),"X")),"")</f>
        <v>0</v>
      </c>
      <c r="BI187" s="19">
        <f>IFERROR(IF($E187="REC",INDEX(A_Type_Volume!$K:$K,MATCH($D187,A_Type_Volume!$A:$A,0),1),IF($E187="VAM",INDEX(C_Type_Volume!$K:$K,MATCH($D187,C_Type_Volume!$A:$A,0),1),"X")),"")</f>
        <v>0</v>
      </c>
      <c r="BJ187" s="19">
        <f>IFERROR(IF($E187="REC",INDEX(A_Type_Volume!$L:$L,MATCH($D187,A_Type_Volume!$A:$A,0),1),IF($E187="VAM",INDEX(C_Type_Volume!$L:$L,MATCH($D187,C_Type_Volume!$A:$A,0),1),"X")),"")</f>
        <v>0</v>
      </c>
      <c r="BK187" s="19">
        <f>IFERROR(IF($E187="REC",INDEX(A_Type_Volume!M:M,MATCH($D187,A_Type_Volume!$A:$A,0),1),IF($E187="VAM",INDEX(C_Type_Volume!M:M,MATCH($D187,C_Type_Volume!$A:$A,0),1),"X")),"")</f>
        <v>0</v>
      </c>
      <c r="BL187" s="38">
        <f>SUM(Table1[[#This Row],[Jan_AVF]:[Dec_AVF]])</f>
        <v>0</v>
      </c>
      <c r="BM187" s="16">
        <f t="shared" si="140"/>
        <v>0</v>
      </c>
      <c r="BN187" s="16">
        <f t="shared" si="141"/>
        <v>0</v>
      </c>
      <c r="BO187" s="16">
        <f t="shared" si="142"/>
        <v>0</v>
      </c>
      <c r="BP187" s="16">
        <f t="shared" si="143"/>
        <v>0</v>
      </c>
      <c r="BQ187" s="16">
        <f t="shared" si="144"/>
        <v>0</v>
      </c>
      <c r="BR187" s="16">
        <f t="shared" si="145"/>
        <v>0</v>
      </c>
      <c r="BS187" s="16">
        <f t="shared" si="146"/>
        <v>0</v>
      </c>
      <c r="BT187" s="16">
        <f t="shared" si="147"/>
        <v>0</v>
      </c>
      <c r="BU187" s="16">
        <f t="shared" si="148"/>
        <v>0</v>
      </c>
      <c r="BV187" s="16">
        <f t="shared" si="149"/>
        <v>0</v>
      </c>
      <c r="BW187" s="16">
        <f t="shared" si="150"/>
        <v>0</v>
      </c>
      <c r="BX187" s="16">
        <f t="shared" si="151"/>
        <v>0</v>
      </c>
      <c r="BY187" s="10">
        <f t="shared" si="118"/>
        <v>0</v>
      </c>
      <c r="BZ187" s="10">
        <f t="shared" si="119"/>
        <v>0</v>
      </c>
      <c r="CA187" s="10">
        <f t="shared" si="120"/>
        <v>0</v>
      </c>
      <c r="CB187" s="10">
        <f t="shared" si="121"/>
        <v>0</v>
      </c>
      <c r="CC187" s="10">
        <f>IFERROR(Table1[[#This Row],[Labor
Saving]]*Table1[[#This Row],[Annual Volume]],"")</f>
        <v>0</v>
      </c>
      <c r="CD187" s="10">
        <f>IFERROR(Table1[[#This Row],[Annual Volume]]*Table1[[#This Row],[Yield
Saving]],"")</f>
        <v>0</v>
      </c>
      <c r="CE187" s="10">
        <f>IFERROR(Table1[[#This Row],[Annual Volume]]*Table1[[#This Row],[Material
Saving]],"")</f>
        <v>0</v>
      </c>
      <c r="CF187" s="10">
        <f>IFERROR(Table1[[#This Row],[OH
Saving]]*Table1[[#This Row],[Annual Volume]],"")</f>
        <v>0</v>
      </c>
      <c r="CG187" s="10">
        <f>SUM(Table1[[#This Row],[Labor_ASV]:[OH_ASV]])</f>
        <v>0</v>
      </c>
    </row>
    <row r="188" spans="1:85" x14ac:dyDescent="0.3">
      <c r="A188" t="str">
        <f>Table1[[#This Row],[Project Name]]&amp;Table1[[#This Row],[Part Number]]</f>
        <v>New Etching Chemical Diammonium CeriumR71</v>
      </c>
      <c r="B188" t="str">
        <f>IFERROR(Table1[[#This Row],[Project Number]]&amp;Table1[[#This Row],[Part Number]],"")</f>
        <v>AME25-072R71</v>
      </c>
      <c r="C188" s="22" t="s">
        <v>119</v>
      </c>
      <c r="D188" s="24" t="s">
        <v>309</v>
      </c>
      <c r="E188" s="25" t="s">
        <v>58</v>
      </c>
      <c r="F188" s="6">
        <f>INDEX(Proj_Reg!G:G,MATCH($C188,Proj_Reg!$B:$B,0),1)</f>
        <v>46266</v>
      </c>
      <c r="G188" s="6">
        <f>INDEX(Proj_Reg!H:H,MATCH($C188,Proj_Reg!$B:$B,0),1)</f>
        <v>46600</v>
      </c>
      <c r="H188" s="6" t="str">
        <f>IF(INDEX(Proj_Reg!C:C,MATCH($C188,Proj_Reg!$B:$B,0),1)=0,"",INDEX(Proj_Reg!C:C,MATCH($C188,Proj_Reg!$B:$B,0),1))</f>
        <v>Wet Etching</v>
      </c>
      <c r="I188" s="6" t="str">
        <f>IF(INDEX(Proj_Reg!D:D,MATCH($C188,Proj_Reg!$B:$B,0),1)=0,"",INDEX(Proj_Reg!D:D,MATCH($C188,Proj_Reg!$B:$B,0),1))</f>
        <v>XWP</v>
      </c>
      <c r="J188" s="6" t="str">
        <f>INDEX(Proj_Reg!E:E,MATCH($C188,Proj_Reg!$B:$B,0),1)</f>
        <v>New Etching Chemical Diammonium Cerium</v>
      </c>
      <c r="K188" s="21">
        <v>2.0068343999999987E-3</v>
      </c>
      <c r="L188" s="21">
        <v>0</v>
      </c>
      <c r="M188" s="21">
        <v>1.257512351172E-2</v>
      </c>
      <c r="N188" s="21">
        <v>0</v>
      </c>
      <c r="O188" s="11">
        <f>SUM(Table1[[#This Row],[Labor
Saving]:[OH
Saving]])</f>
        <v>1.4581957911719999E-2</v>
      </c>
      <c r="Q188" s="40">
        <f t="shared" si="102"/>
        <v>0</v>
      </c>
      <c r="R188" s="40">
        <f t="shared" si="103"/>
        <v>0</v>
      </c>
      <c r="S188" s="40">
        <f t="shared" si="104"/>
        <v>0</v>
      </c>
      <c r="T188" s="40">
        <f t="shared" si="105"/>
        <v>0</v>
      </c>
      <c r="U188" s="40">
        <f t="shared" si="106"/>
        <v>0</v>
      </c>
      <c r="V188" s="40">
        <f t="shared" si="107"/>
        <v>0</v>
      </c>
      <c r="W188" s="40">
        <f t="shared" si="108"/>
        <v>0</v>
      </c>
      <c r="X188" s="40">
        <f t="shared" si="109"/>
        <v>0</v>
      </c>
      <c r="Y188" s="40">
        <f t="shared" si="110"/>
        <v>394640.39999999997</v>
      </c>
      <c r="Z188" s="40">
        <f t="shared" si="111"/>
        <v>430915</v>
      </c>
      <c r="AA188" s="40">
        <f t="shared" si="112"/>
        <v>412407</v>
      </c>
      <c r="AB188" s="40">
        <f t="shared" si="113"/>
        <v>333152</v>
      </c>
      <c r="AC188" s="37">
        <f>SUM(Table1[[#This Row],[Jan]:[Dec]])</f>
        <v>1571114.4</v>
      </c>
      <c r="AD188" s="15">
        <f t="shared" si="122"/>
        <v>0</v>
      </c>
      <c r="AE188" s="15">
        <f t="shared" si="123"/>
        <v>0</v>
      </c>
      <c r="AF188" s="15">
        <f t="shared" si="124"/>
        <v>0</v>
      </c>
      <c r="AG188" s="15">
        <f t="shared" si="125"/>
        <v>0</v>
      </c>
      <c r="AH188" s="15">
        <f t="shared" si="126"/>
        <v>0</v>
      </c>
      <c r="AI188" s="15">
        <f t="shared" si="127"/>
        <v>0</v>
      </c>
      <c r="AJ188" s="15">
        <f t="shared" si="128"/>
        <v>0</v>
      </c>
      <c r="AK188" s="15">
        <f t="shared" si="129"/>
        <v>0</v>
      </c>
      <c r="AL188" s="15">
        <f t="shared" si="130"/>
        <v>5754.6297030643445</v>
      </c>
      <c r="AM188" s="15">
        <f t="shared" si="131"/>
        <v>6283.584393528824</v>
      </c>
      <c r="AN188" s="15">
        <f t="shared" si="132"/>
        <v>6013.7015164987097</v>
      </c>
      <c r="AO188" s="15">
        <f t="shared" si="133"/>
        <v>4858.0084422053415</v>
      </c>
      <c r="AP188" s="10">
        <f t="shared" si="134"/>
        <v>0</v>
      </c>
      <c r="AQ188" s="10">
        <f t="shared" si="135"/>
        <v>0</v>
      </c>
      <c r="AR188" s="10">
        <f t="shared" si="136"/>
        <v>5754.6297030643445</v>
      </c>
      <c r="AS188" s="10">
        <f t="shared" si="137"/>
        <v>17155.294352232875</v>
      </c>
      <c r="AT188" s="10" t="b">
        <f t="shared" si="138"/>
        <v>1</v>
      </c>
      <c r="AU188" s="10">
        <f t="shared" si="114"/>
        <v>3152.9664242553577</v>
      </c>
      <c r="AV188" s="10">
        <f t="shared" si="115"/>
        <v>0</v>
      </c>
      <c r="AW188" s="10">
        <f t="shared" si="116"/>
        <v>19756.95763104186</v>
      </c>
      <c r="AX188" s="10">
        <f t="shared" si="117"/>
        <v>0</v>
      </c>
      <c r="AY188" s="10">
        <f t="shared" si="139"/>
        <v>22909.924055297219</v>
      </c>
      <c r="AZ188" s="19">
        <f>IFERROR(IF($E188="REC",INDEX(A_Type_Volume!$B:$B,MATCH($D188,A_Type_Volume!$A:$A,0),1),IF($E188="VAM",INDEX(C_Type_Volume!$B:$B,MATCH($D188,C_Type_Volume!$A:$A,0),1),"X")),"")</f>
        <v>426689</v>
      </c>
      <c r="BA188" s="19">
        <f>IFERROR(IF($E188="REC",INDEX(A_Type_Volume!$C:$C,MATCH($D188,A_Type_Volume!$A:$A,0),1),IF($E188="VAM",INDEX(C_Type_Volume!$C:$C,MATCH($D188,C_Type_Volume!$A:$A,0),1),"X")),"")</f>
        <v>595954</v>
      </c>
      <c r="BB188" s="19">
        <f>IFERROR(IF($E188="REC",INDEX(A_Type_Volume!$D:$D,MATCH($D188,A_Type_Volume!$A:$A,0),1),IF($E188="VAM",INDEX(C_Type_Volume!$D:$D,MATCH($D188,C_Type_Volume!$A:$A,0),1),"X")),"")</f>
        <v>602169</v>
      </c>
      <c r="BC188" s="19">
        <f>IFERROR(IF($E188="REC",INDEX(A_Type_Volume!$E:$E,MATCH($D188,A_Type_Volume!$A:$A,0),1),IF($E188="VAM",INDEX(C_Type_Volume!$E:$E,MATCH($D188,C_Type_Volume!$A:$A,0),1),"X")),"")</f>
        <v>448478</v>
      </c>
      <c r="BD188" s="19">
        <f>IFERROR(IF($E188="REC",INDEX(A_Type_Volume!$F:$F,MATCH($D188,A_Type_Volume!$A:$A,0),1),IF($E188="VAM",INDEX(C_Type_Volume!$F:$F,MATCH($D188,C_Type_Volume!$A:$A,0),1),"X")),"")</f>
        <v>524517</v>
      </c>
      <c r="BE188" s="19">
        <f>IFERROR(IF($E188="REC",INDEX(A_Type_Volume!$G:$G,MATCH($D188,A_Type_Volume!$A:$A,0),1),IF($E188="VAM",INDEX(C_Type_Volume!$G:$G,MATCH($D188,C_Type_Volume!$A:$A,0),1),"X")),"")</f>
        <v>551468</v>
      </c>
      <c r="BF188" s="19">
        <f>IFERROR(IF($E188="REC",INDEX(A_Type_Volume!$H:$H,MATCH($D188,A_Type_Volume!$A:$A,0),1),IF($E188="VAM",INDEX(C_Type_Volume!$H:$H,MATCH($D188,C_Type_Volume!$A:$A,0),1),"X")),"")</f>
        <v>524552</v>
      </c>
      <c r="BG188" s="19">
        <f>IFERROR(IF($E188="REC",INDEX(A_Type_Volume!$I:$I,MATCH($D188,A_Type_Volume!$A:$A,0),1),IF($E188="VAM",INDEX(C_Type_Volume!$I:$I,MATCH($D188,C_Type_Volume!$A:$A,0),1),"X")),"")</f>
        <v>433669</v>
      </c>
      <c r="BH188" s="19">
        <f>IFERROR(IF($E188="REC",INDEX(A_Type_Volume!$J:$J,MATCH($D188,A_Type_Volume!$A:$A,0),1),IF($E188="VAM",INDEX(C_Type_Volume!$J:$J,MATCH($D188,C_Type_Volume!$A:$A,0),1),"X")),"")</f>
        <v>563772</v>
      </c>
      <c r="BI188" s="19">
        <f>IFERROR(IF($E188="REC",INDEX(A_Type_Volume!$K:$K,MATCH($D188,A_Type_Volume!$A:$A,0),1),IF($E188="VAM",INDEX(C_Type_Volume!$K:$K,MATCH($D188,C_Type_Volume!$A:$A,0),1),"X")),"")</f>
        <v>430915</v>
      </c>
      <c r="BJ188" s="19">
        <f>IFERROR(IF($E188="REC",INDEX(A_Type_Volume!$L:$L,MATCH($D188,A_Type_Volume!$A:$A,0),1),IF($E188="VAM",INDEX(C_Type_Volume!$L:$L,MATCH($D188,C_Type_Volume!$A:$A,0),1),"X")),"")</f>
        <v>412407</v>
      </c>
      <c r="BK188" s="19">
        <f>IFERROR(IF($E188="REC",INDEX(A_Type_Volume!M:M,MATCH($D188,A_Type_Volume!$A:$A,0),1),IF($E188="VAM",INDEX(C_Type_Volume!M:M,MATCH($D188,C_Type_Volume!$A:$A,0),1),"X")),"")</f>
        <v>333152</v>
      </c>
      <c r="BL188" s="38">
        <f>SUM(Table1[[#This Row],[Jan_AVF]:[Dec_AVF]])</f>
        <v>5847742</v>
      </c>
      <c r="BM188" s="16">
        <f t="shared" si="140"/>
        <v>6221.9610393938947</v>
      </c>
      <c r="BN188" s="16">
        <f t="shared" si="141"/>
        <v>8690.1761453211802</v>
      </c>
      <c r="BO188" s="16">
        <f t="shared" si="142"/>
        <v>8780.8030137425212</v>
      </c>
      <c r="BP188" s="16">
        <f t="shared" si="143"/>
        <v>6539.6873203323621</v>
      </c>
      <c r="BQ188" s="16">
        <f t="shared" si="144"/>
        <v>7648.484817981639</v>
      </c>
      <c r="BR188" s="16">
        <f t="shared" si="145"/>
        <v>8041.4831656604047</v>
      </c>
      <c r="BS188" s="16">
        <f t="shared" si="146"/>
        <v>7648.9951865085495</v>
      </c>
      <c r="BT188" s="16">
        <f t="shared" si="147"/>
        <v>6323.7431056177002</v>
      </c>
      <c r="BU188" s="16">
        <f t="shared" si="148"/>
        <v>8220.8995758062083</v>
      </c>
      <c r="BV188" s="16">
        <f t="shared" si="149"/>
        <v>6283.584393528824</v>
      </c>
      <c r="BW188" s="16">
        <f t="shared" si="150"/>
        <v>6013.7015164987097</v>
      </c>
      <c r="BX188" s="16">
        <f t="shared" si="151"/>
        <v>4858.0084422053415</v>
      </c>
      <c r="BY188" s="10">
        <f t="shared" si="118"/>
        <v>23692.940198457596</v>
      </c>
      <c r="BZ188" s="10">
        <f t="shared" si="119"/>
        <v>22229.655303974407</v>
      </c>
      <c r="CA188" s="10">
        <f t="shared" si="120"/>
        <v>22193.637867932459</v>
      </c>
      <c r="CB188" s="10">
        <f t="shared" si="121"/>
        <v>17155.294352232875</v>
      </c>
      <c r="CC188" s="10">
        <f>IFERROR(Table1[[#This Row],[Labor
Saving]]*Table1[[#This Row],[Annual Volume]],"")</f>
        <v>11735.449807924793</v>
      </c>
      <c r="CD188" s="10">
        <f>IFERROR(Table1[[#This Row],[Annual Volume]]*Table1[[#This Row],[Yield
Saving]],"")</f>
        <v>0</v>
      </c>
      <c r="CE188" s="10">
        <f>IFERROR(Table1[[#This Row],[Annual Volume]]*Table1[[#This Row],[Material
Saving]],"")</f>
        <v>73536.07791467254</v>
      </c>
      <c r="CF188" s="10">
        <f>IFERROR(Table1[[#This Row],[OH
Saving]]*Table1[[#This Row],[Annual Volume]],"")</f>
        <v>0</v>
      </c>
      <c r="CG188" s="10">
        <f>SUM(Table1[[#This Row],[Labor_ASV]:[OH_ASV]])</f>
        <v>85271.527722597326</v>
      </c>
    </row>
    <row r="189" spans="1:85" s="7" customFormat="1" x14ac:dyDescent="0.3">
      <c r="A189" t="e">
        <f>Table1[[#This Row],[Project Name]]&amp;Table1[[#This Row],[Part Number]]</f>
        <v>#N/A</v>
      </c>
      <c r="B189" s="7" t="str">
        <f>IFERROR(Table1[[#This Row],[Project Number]]&amp;Table1[[#This Row],[Part Number]],"")</f>
        <v/>
      </c>
      <c r="C189" s="7" t="s">
        <v>120</v>
      </c>
      <c r="D189" s="12" t="e">
        <v>#N/A</v>
      </c>
      <c r="E189" s="13" t="s">
        <v>58</v>
      </c>
      <c r="F189" s="59">
        <f>INDEX(Proj_Reg!G:G,MATCH($C189,Proj_Reg!$B:$B,0),1)</f>
        <v>46204</v>
      </c>
      <c r="G189" s="59">
        <f>INDEX(Proj_Reg!H:H,MATCH($C189,Proj_Reg!$B:$B,0),1)</f>
        <v>46539</v>
      </c>
      <c r="H189" s="59" t="str">
        <f>IF(INDEX(Proj_Reg!C:C,MATCH($C189,Proj_Reg!$B:$B,0),1)=0,"",INDEX(Proj_Reg!C:C,MATCH($C189,Proj_Reg!$B:$B,0),1))</f>
        <v>Wet Etching</v>
      </c>
      <c r="I189" s="59" t="str">
        <f>IF(INDEX(Proj_Reg!D:D,MATCH($C189,Proj_Reg!$B:$B,0),1)=0,"",INDEX(Proj_Reg!D:D,MATCH($C189,Proj_Reg!$B:$B,0),1))</f>
        <v>XWP</v>
      </c>
      <c r="J189" s="59" t="str">
        <f>INDEX(Proj_Reg!E:E,MATCH($C189,Proj_Reg!$B:$B,0),1)</f>
        <v>New Etching Chemical Agua Regia</v>
      </c>
      <c r="K189" s="14">
        <v>3.8464836601307191E-3</v>
      </c>
      <c r="L189" s="14">
        <v>1.4564074192795651E-2</v>
      </c>
      <c r="M189" s="14">
        <v>0</v>
      </c>
      <c r="N189" s="14">
        <v>0</v>
      </c>
      <c r="O189" s="14">
        <f>SUM(Table1[[#This Row],[Labor
Saving]:[OH
Saving]])</f>
        <v>1.8410557852926369E-2</v>
      </c>
      <c r="Q189" s="60" t="str">
        <f t="shared" si="102"/>
        <v/>
      </c>
      <c r="R189" s="60" t="str">
        <f t="shared" si="103"/>
        <v/>
      </c>
      <c r="S189" s="60" t="str">
        <f t="shared" si="104"/>
        <v/>
      </c>
      <c r="T189" s="60" t="str">
        <f t="shared" si="105"/>
        <v/>
      </c>
      <c r="U189" s="60" t="str">
        <f t="shared" si="106"/>
        <v/>
      </c>
      <c r="V189" s="60" t="str">
        <f t="shared" si="107"/>
        <v/>
      </c>
      <c r="W189" s="60" t="str">
        <f t="shared" si="108"/>
        <v/>
      </c>
      <c r="X189" s="60" t="str">
        <f t="shared" si="109"/>
        <v/>
      </c>
      <c r="Y189" s="60" t="str">
        <f t="shared" si="110"/>
        <v/>
      </c>
      <c r="Z189" s="60" t="str">
        <f t="shared" si="111"/>
        <v/>
      </c>
      <c r="AA189" s="60" t="str">
        <f t="shared" si="112"/>
        <v/>
      </c>
      <c r="AB189" s="60" t="str">
        <f t="shared" si="113"/>
        <v/>
      </c>
      <c r="AC189" s="61">
        <f>SUM(Table1[[#This Row],[Jan]:[Dec]])</f>
        <v>0</v>
      </c>
      <c r="AD189" s="62" t="str">
        <f t="shared" si="122"/>
        <v/>
      </c>
      <c r="AE189" s="62" t="str">
        <f t="shared" si="123"/>
        <v/>
      </c>
      <c r="AF189" s="62" t="str">
        <f t="shared" si="124"/>
        <v/>
      </c>
      <c r="AG189" s="62" t="str">
        <f t="shared" si="125"/>
        <v/>
      </c>
      <c r="AH189" s="62" t="str">
        <f t="shared" si="126"/>
        <v/>
      </c>
      <c r="AI189" s="62" t="str">
        <f t="shared" si="127"/>
        <v/>
      </c>
      <c r="AJ189" s="62" t="str">
        <f t="shared" si="128"/>
        <v/>
      </c>
      <c r="AK189" s="62" t="str">
        <f t="shared" si="129"/>
        <v/>
      </c>
      <c r="AL189" s="62" t="str">
        <f t="shared" si="130"/>
        <v/>
      </c>
      <c r="AM189" s="62" t="str">
        <f t="shared" si="131"/>
        <v/>
      </c>
      <c r="AN189" s="62" t="str">
        <f t="shared" si="132"/>
        <v/>
      </c>
      <c r="AO189" s="62" t="str">
        <f t="shared" si="133"/>
        <v/>
      </c>
      <c r="AP189" s="63">
        <f t="shared" si="134"/>
        <v>0</v>
      </c>
      <c r="AQ189" s="67">
        <v>2.5</v>
      </c>
      <c r="AR189" s="67">
        <v>2.5</v>
      </c>
      <c r="AS189" s="67">
        <v>2.5</v>
      </c>
      <c r="AT189" s="63" t="b">
        <f t="shared" si="138"/>
        <v>0</v>
      </c>
      <c r="AU189" s="67">
        <v>5.2519999999999998</v>
      </c>
      <c r="AV189" s="63">
        <f t="shared" si="115"/>
        <v>0</v>
      </c>
      <c r="AW189" s="63">
        <f t="shared" si="116"/>
        <v>0</v>
      </c>
      <c r="AX189" s="63">
        <f t="shared" si="117"/>
        <v>0</v>
      </c>
      <c r="AY189" s="63">
        <f t="shared" si="139"/>
        <v>5.2519999999999998</v>
      </c>
      <c r="AZ189" s="64" t="str">
        <f>IFERROR(IF($E189="REC",INDEX(A_Type_Volume!$B:$B,MATCH($D189,A_Type_Volume!$A:$A,0),1),IF($E189="VAM",INDEX(C_Type_Volume!$B:$B,MATCH($D189,C_Type_Volume!$A:$A,0),1),"X")),"")</f>
        <v/>
      </c>
      <c r="BA189" s="64" t="str">
        <f>IFERROR(IF($E189="REC",INDEX(A_Type_Volume!$C:$C,MATCH($D189,A_Type_Volume!$A:$A,0),1),IF($E189="VAM",INDEX(C_Type_Volume!$C:$C,MATCH($D189,C_Type_Volume!$A:$A,0),1),"X")),"")</f>
        <v/>
      </c>
      <c r="BB189" s="64" t="str">
        <f>IFERROR(IF($E189="REC",INDEX(A_Type_Volume!$D:$D,MATCH($D189,A_Type_Volume!$A:$A,0),1),IF($E189="VAM",INDEX(C_Type_Volume!$D:$D,MATCH($D189,C_Type_Volume!$A:$A,0),1),"X")),"")</f>
        <v/>
      </c>
      <c r="BC189" s="64" t="str">
        <f>IFERROR(IF($E189="REC",INDEX(A_Type_Volume!$E:$E,MATCH($D189,A_Type_Volume!$A:$A,0),1),IF($E189="VAM",INDEX(C_Type_Volume!$E:$E,MATCH($D189,C_Type_Volume!$A:$A,0),1),"X")),"")</f>
        <v/>
      </c>
      <c r="BD189" s="64" t="str">
        <f>IFERROR(IF($E189="REC",INDEX(A_Type_Volume!$F:$F,MATCH($D189,A_Type_Volume!$A:$A,0),1),IF($E189="VAM",INDEX(C_Type_Volume!$F:$F,MATCH($D189,C_Type_Volume!$A:$A,0),1),"X")),"")</f>
        <v/>
      </c>
      <c r="BE189" s="64" t="str">
        <f>IFERROR(IF($E189="REC",INDEX(A_Type_Volume!$G:$G,MATCH($D189,A_Type_Volume!$A:$A,0),1),IF($E189="VAM",INDEX(C_Type_Volume!$G:$G,MATCH($D189,C_Type_Volume!$A:$A,0),1),"X")),"")</f>
        <v/>
      </c>
      <c r="BF189" s="64" t="str">
        <f>IFERROR(IF($E189="REC",INDEX(A_Type_Volume!$H:$H,MATCH($D189,A_Type_Volume!$A:$A,0),1),IF($E189="VAM",INDEX(C_Type_Volume!$H:$H,MATCH($D189,C_Type_Volume!$A:$A,0),1),"X")),"")</f>
        <v/>
      </c>
      <c r="BG189" s="64" t="str">
        <f>IFERROR(IF($E189="REC",INDEX(A_Type_Volume!$I:$I,MATCH($D189,A_Type_Volume!$A:$A,0),1),IF($E189="VAM",INDEX(C_Type_Volume!$I:$I,MATCH($D189,C_Type_Volume!$A:$A,0),1),"X")),"")</f>
        <v/>
      </c>
      <c r="BH189" s="64" t="str">
        <f>IFERROR(IF($E189="REC",INDEX(A_Type_Volume!$J:$J,MATCH($D189,A_Type_Volume!$A:$A,0),1),IF($E189="VAM",INDEX(C_Type_Volume!$J:$J,MATCH($D189,C_Type_Volume!$A:$A,0),1),"X")),"")</f>
        <v/>
      </c>
      <c r="BI189" s="64" t="str">
        <f>IFERROR(IF($E189="REC",INDEX(A_Type_Volume!$K:$K,MATCH($D189,A_Type_Volume!$A:$A,0),1),IF($E189="VAM",INDEX(C_Type_Volume!$K:$K,MATCH($D189,C_Type_Volume!$A:$A,0),1),"X")),"")</f>
        <v/>
      </c>
      <c r="BJ189" s="64" t="str">
        <f>IFERROR(IF($E189="REC",INDEX(A_Type_Volume!$L:$L,MATCH($D189,A_Type_Volume!$A:$A,0),1),IF($E189="VAM",INDEX(C_Type_Volume!$L:$L,MATCH($D189,C_Type_Volume!$A:$A,0),1),"X")),"")</f>
        <v/>
      </c>
      <c r="BK189" s="64" t="str">
        <f>IFERROR(IF($E189="REC",INDEX(A_Type_Volume!M:M,MATCH($D189,A_Type_Volume!$A:$A,0),1),IF($E189="VAM",INDEX(C_Type_Volume!M:M,MATCH($D189,C_Type_Volume!$A:$A,0),1),"X")),"")</f>
        <v/>
      </c>
      <c r="BL189" s="65">
        <f>SUM(Table1[[#This Row],[Jan_AVF]:[Dec_AVF]])</f>
        <v>0</v>
      </c>
      <c r="BM189" s="66" t="e">
        <f t="shared" si="140"/>
        <v>#VALUE!</v>
      </c>
      <c r="BN189" s="66" t="e">
        <f t="shared" si="141"/>
        <v>#VALUE!</v>
      </c>
      <c r="BO189" s="66" t="e">
        <f t="shared" si="142"/>
        <v>#VALUE!</v>
      </c>
      <c r="BP189" s="66" t="e">
        <f t="shared" si="143"/>
        <v>#VALUE!</v>
      </c>
      <c r="BQ189" s="66" t="e">
        <f t="shared" si="144"/>
        <v>#VALUE!</v>
      </c>
      <c r="BR189" s="66" t="e">
        <f t="shared" si="145"/>
        <v>#VALUE!</v>
      </c>
      <c r="BS189" s="66" t="e">
        <f t="shared" si="146"/>
        <v>#VALUE!</v>
      </c>
      <c r="BT189" s="66" t="e">
        <f t="shared" si="147"/>
        <v>#VALUE!</v>
      </c>
      <c r="BU189" s="66" t="e">
        <f t="shared" si="148"/>
        <v>#VALUE!</v>
      </c>
      <c r="BV189" s="66" t="e">
        <f t="shared" si="149"/>
        <v>#VALUE!</v>
      </c>
      <c r="BW189" s="66" t="e">
        <f t="shared" si="150"/>
        <v>#VALUE!</v>
      </c>
      <c r="BX189" s="66" t="e">
        <f t="shared" si="151"/>
        <v>#VALUE!</v>
      </c>
      <c r="BY189" s="67">
        <v>2.5</v>
      </c>
      <c r="BZ189" s="67">
        <v>2.5</v>
      </c>
      <c r="CA189" s="67">
        <v>2.5</v>
      </c>
      <c r="CB189" s="67">
        <v>2.5</v>
      </c>
      <c r="CC189" s="67">
        <v>10</v>
      </c>
      <c r="CD189" s="63">
        <f>IFERROR(Table1[[#This Row],[Annual Volume]]*Table1[[#This Row],[Yield
Saving]],"")</f>
        <v>0</v>
      </c>
      <c r="CE189" s="63">
        <f>IFERROR(Table1[[#This Row],[Annual Volume]]*Table1[[#This Row],[Material
Saving]],"")</f>
        <v>0</v>
      </c>
      <c r="CF189" s="63">
        <f>IFERROR(Table1[[#This Row],[OH
Saving]]*Table1[[#This Row],[Annual Volume]],"")</f>
        <v>0</v>
      </c>
      <c r="CG189" s="63">
        <f>SUM(Table1[[#This Row],[Labor_ASV]:[OH_ASV]])</f>
        <v>10</v>
      </c>
    </row>
    <row r="190" spans="1:85" x14ac:dyDescent="0.3">
      <c r="A190" t="str">
        <f>Table1[[#This Row],[Project Name]]&amp;Table1[[#This Row],[Part Number]]</f>
        <v>Au Eching Time ReductionR184</v>
      </c>
      <c r="B190" t="str">
        <f>IFERROR(Table1[[#This Row],[Project Number]]&amp;Table1[[#This Row],[Part Number]],"")</f>
        <v>AME25-075R184</v>
      </c>
      <c r="C190" s="22" t="s">
        <v>122</v>
      </c>
      <c r="D190" s="24" t="s">
        <v>422</v>
      </c>
      <c r="E190" s="25" t="s">
        <v>58</v>
      </c>
      <c r="F190" s="6">
        <f>INDEX(Proj_Reg!G:G,MATCH($C190,Proj_Reg!$B:$B,0),1)</f>
        <v>46296</v>
      </c>
      <c r="G190" s="6">
        <f>INDEX(Proj_Reg!H:H,MATCH($C190,Proj_Reg!$B:$B,0),1)</f>
        <v>46631</v>
      </c>
      <c r="H190" s="6" t="str">
        <f>IF(INDEX(Proj_Reg!C:C,MATCH($C190,Proj_Reg!$B:$B,0),1)=0,"",INDEX(Proj_Reg!C:C,MATCH($C190,Proj_Reg!$B:$B,0),1))</f>
        <v>Wet Etching</v>
      </c>
      <c r="I190" s="6" t="str">
        <f>IF(INDEX(Proj_Reg!D:D,MATCH($C190,Proj_Reg!$B:$B,0),1)=0,"",INDEX(Proj_Reg!D:D,MATCH($C190,Proj_Reg!$B:$B,0),1))</f>
        <v>XWP</v>
      </c>
      <c r="J190" s="6" t="str">
        <f>INDEX(Proj_Reg!E:E,MATCH($C190,Proj_Reg!$B:$B,0),1)</f>
        <v>Au Eching Time Reduction</v>
      </c>
      <c r="K190" s="21">
        <v>0</v>
      </c>
      <c r="L190" s="21">
        <v>0</v>
      </c>
      <c r="M190" s="21">
        <v>0</v>
      </c>
      <c r="N190" s="21">
        <v>0</v>
      </c>
      <c r="O190" s="11">
        <f>SUM(Table1[[#This Row],[Labor
Saving]:[OH
Saving]])</f>
        <v>0</v>
      </c>
      <c r="Q190" s="40">
        <f t="shared" si="102"/>
        <v>0</v>
      </c>
      <c r="R190" s="40">
        <f t="shared" si="103"/>
        <v>0</v>
      </c>
      <c r="S190" s="40">
        <f t="shared" si="104"/>
        <v>0</v>
      </c>
      <c r="T190" s="40">
        <f t="shared" si="105"/>
        <v>0</v>
      </c>
      <c r="U190" s="40">
        <f t="shared" si="106"/>
        <v>0</v>
      </c>
      <c r="V190" s="40">
        <f t="shared" si="107"/>
        <v>0</v>
      </c>
      <c r="W190" s="40">
        <f t="shared" si="108"/>
        <v>0</v>
      </c>
      <c r="X190" s="40">
        <f t="shared" si="109"/>
        <v>0</v>
      </c>
      <c r="Y190" s="40">
        <f t="shared" si="110"/>
        <v>0</v>
      </c>
      <c r="Z190" s="40">
        <f t="shared" si="111"/>
        <v>0</v>
      </c>
      <c r="AA190" s="40">
        <f t="shared" si="112"/>
        <v>0</v>
      </c>
      <c r="AB190" s="40">
        <f t="shared" si="113"/>
        <v>0</v>
      </c>
      <c r="AC190" s="37">
        <f>SUM(Table1[[#This Row],[Jan]:[Dec]])</f>
        <v>0</v>
      </c>
      <c r="AD190" s="15">
        <f t="shared" si="122"/>
        <v>0</v>
      </c>
      <c r="AE190" s="15">
        <f t="shared" si="123"/>
        <v>0</v>
      </c>
      <c r="AF190" s="15">
        <f t="shared" si="124"/>
        <v>0</v>
      </c>
      <c r="AG190" s="15">
        <f t="shared" si="125"/>
        <v>0</v>
      </c>
      <c r="AH190" s="15">
        <f t="shared" si="126"/>
        <v>0</v>
      </c>
      <c r="AI190" s="15">
        <f t="shared" si="127"/>
        <v>0</v>
      </c>
      <c r="AJ190" s="15">
        <f t="shared" si="128"/>
        <v>0</v>
      </c>
      <c r="AK190" s="15">
        <f t="shared" si="129"/>
        <v>0</v>
      </c>
      <c r="AL190" s="15">
        <f t="shared" si="130"/>
        <v>0</v>
      </c>
      <c r="AM190" s="15">
        <f t="shared" si="131"/>
        <v>0</v>
      </c>
      <c r="AN190" s="15">
        <f t="shared" si="132"/>
        <v>0</v>
      </c>
      <c r="AO190" s="15">
        <f t="shared" si="133"/>
        <v>0</v>
      </c>
      <c r="AP190" s="10">
        <f t="shared" si="134"/>
        <v>0</v>
      </c>
      <c r="AQ190" s="10">
        <f t="shared" si="135"/>
        <v>0</v>
      </c>
      <c r="AR190" s="10">
        <f t="shared" si="136"/>
        <v>0</v>
      </c>
      <c r="AS190" s="10">
        <f t="shared" si="137"/>
        <v>0</v>
      </c>
      <c r="AT190" s="10" t="b">
        <f t="shared" si="138"/>
        <v>1</v>
      </c>
      <c r="AU190" s="10">
        <f t="shared" si="114"/>
        <v>0</v>
      </c>
      <c r="AV190" s="10">
        <f t="shared" si="115"/>
        <v>0</v>
      </c>
      <c r="AW190" s="10">
        <f t="shared" si="116"/>
        <v>0</v>
      </c>
      <c r="AX190" s="10">
        <f t="shared" si="117"/>
        <v>0</v>
      </c>
      <c r="AY190" s="10">
        <f t="shared" si="139"/>
        <v>0</v>
      </c>
      <c r="AZ190" s="19">
        <f>IFERROR(IF($E190="REC",INDEX(A_Type_Volume!$B:$B,MATCH($D190,A_Type_Volume!$A:$A,0),1),IF($E190="VAM",INDEX(C_Type_Volume!$B:$B,MATCH($D190,C_Type_Volume!$A:$A,0),1),"X")),"")</f>
        <v>0</v>
      </c>
      <c r="BA190" s="19">
        <f>IFERROR(IF($E190="REC",INDEX(A_Type_Volume!$C:$C,MATCH($D190,A_Type_Volume!$A:$A,0),1),IF($E190="VAM",INDEX(C_Type_Volume!$C:$C,MATCH($D190,C_Type_Volume!$A:$A,0),1),"X")),"")</f>
        <v>0</v>
      </c>
      <c r="BB190" s="19">
        <f>IFERROR(IF($E190="REC",INDEX(A_Type_Volume!$D:$D,MATCH($D190,A_Type_Volume!$A:$A,0),1),IF($E190="VAM",INDEX(C_Type_Volume!$D:$D,MATCH($D190,C_Type_Volume!$A:$A,0),1),"X")),"")</f>
        <v>0</v>
      </c>
      <c r="BC190" s="19">
        <f>IFERROR(IF($E190="REC",INDEX(A_Type_Volume!$E:$E,MATCH($D190,A_Type_Volume!$A:$A,0),1),IF($E190="VAM",INDEX(C_Type_Volume!$E:$E,MATCH($D190,C_Type_Volume!$A:$A,0),1),"X")),"")</f>
        <v>0</v>
      </c>
      <c r="BD190" s="19">
        <f>IFERROR(IF($E190="REC",INDEX(A_Type_Volume!$F:$F,MATCH($D190,A_Type_Volume!$A:$A,0),1),IF($E190="VAM",INDEX(C_Type_Volume!$F:$F,MATCH($D190,C_Type_Volume!$A:$A,0),1),"X")),"")</f>
        <v>0</v>
      </c>
      <c r="BE190" s="19">
        <f>IFERROR(IF($E190="REC",INDEX(A_Type_Volume!$G:$G,MATCH($D190,A_Type_Volume!$A:$A,0),1),IF($E190="VAM",INDEX(C_Type_Volume!$G:$G,MATCH($D190,C_Type_Volume!$A:$A,0),1),"X")),"")</f>
        <v>0</v>
      </c>
      <c r="BF190" s="19">
        <f>IFERROR(IF($E190="REC",INDEX(A_Type_Volume!$H:$H,MATCH($D190,A_Type_Volume!$A:$A,0),1),IF($E190="VAM",INDEX(C_Type_Volume!$H:$H,MATCH($D190,C_Type_Volume!$A:$A,0),1),"X")),"")</f>
        <v>0</v>
      </c>
      <c r="BG190" s="19">
        <f>IFERROR(IF($E190="REC",INDEX(A_Type_Volume!$I:$I,MATCH($D190,A_Type_Volume!$A:$A,0),1),IF($E190="VAM",INDEX(C_Type_Volume!$I:$I,MATCH($D190,C_Type_Volume!$A:$A,0),1),"X")),"")</f>
        <v>0</v>
      </c>
      <c r="BH190" s="19">
        <f>IFERROR(IF($E190="REC",INDEX(A_Type_Volume!$J:$J,MATCH($D190,A_Type_Volume!$A:$A,0),1),IF($E190="VAM",INDEX(C_Type_Volume!$J:$J,MATCH($D190,C_Type_Volume!$A:$A,0),1),"X")),"")</f>
        <v>0</v>
      </c>
      <c r="BI190" s="19">
        <f>IFERROR(IF($E190="REC",INDEX(A_Type_Volume!$K:$K,MATCH($D190,A_Type_Volume!$A:$A,0),1),IF($E190="VAM",INDEX(C_Type_Volume!$K:$K,MATCH($D190,C_Type_Volume!$A:$A,0),1),"X")),"")</f>
        <v>0</v>
      </c>
      <c r="BJ190" s="19">
        <f>IFERROR(IF($E190="REC",INDEX(A_Type_Volume!$L:$L,MATCH($D190,A_Type_Volume!$A:$A,0),1),IF($E190="VAM",INDEX(C_Type_Volume!$L:$L,MATCH($D190,C_Type_Volume!$A:$A,0),1),"X")),"")</f>
        <v>0</v>
      </c>
      <c r="BK190" s="19">
        <f>IFERROR(IF($E190="REC",INDEX(A_Type_Volume!M:M,MATCH($D190,A_Type_Volume!$A:$A,0),1),IF($E190="VAM",INDEX(C_Type_Volume!M:M,MATCH($D190,C_Type_Volume!$A:$A,0),1),"X")),"")</f>
        <v>0</v>
      </c>
      <c r="BL190" s="38">
        <f>SUM(Table1[[#This Row],[Jan_AVF]:[Dec_AVF]])</f>
        <v>0</v>
      </c>
      <c r="BM190" s="16">
        <f t="shared" si="140"/>
        <v>0</v>
      </c>
      <c r="BN190" s="16">
        <f t="shared" si="141"/>
        <v>0</v>
      </c>
      <c r="BO190" s="16">
        <f t="shared" si="142"/>
        <v>0</v>
      </c>
      <c r="BP190" s="16">
        <f t="shared" si="143"/>
        <v>0</v>
      </c>
      <c r="BQ190" s="16">
        <f t="shared" si="144"/>
        <v>0</v>
      </c>
      <c r="BR190" s="16">
        <f t="shared" si="145"/>
        <v>0</v>
      </c>
      <c r="BS190" s="16">
        <f t="shared" si="146"/>
        <v>0</v>
      </c>
      <c r="BT190" s="16">
        <f t="shared" si="147"/>
        <v>0</v>
      </c>
      <c r="BU190" s="16">
        <f t="shared" si="148"/>
        <v>0</v>
      </c>
      <c r="BV190" s="16">
        <f t="shared" si="149"/>
        <v>0</v>
      </c>
      <c r="BW190" s="16">
        <f t="shared" si="150"/>
        <v>0</v>
      </c>
      <c r="BX190" s="16">
        <f t="shared" si="151"/>
        <v>0</v>
      </c>
      <c r="BY190" s="10">
        <f t="shared" si="118"/>
        <v>0</v>
      </c>
      <c r="BZ190" s="10">
        <f t="shared" si="119"/>
        <v>0</v>
      </c>
      <c r="CA190" s="10">
        <f t="shared" si="120"/>
        <v>0</v>
      </c>
      <c r="CB190" s="10">
        <f t="shared" si="121"/>
        <v>0</v>
      </c>
      <c r="CC190" s="10">
        <f>IFERROR(Table1[[#This Row],[Labor
Saving]]*Table1[[#This Row],[Annual Volume]],"")</f>
        <v>0</v>
      </c>
      <c r="CD190" s="10">
        <f>IFERROR(Table1[[#This Row],[Annual Volume]]*Table1[[#This Row],[Yield
Saving]],"")</f>
        <v>0</v>
      </c>
      <c r="CE190" s="10">
        <f>IFERROR(Table1[[#This Row],[Annual Volume]]*Table1[[#This Row],[Material
Saving]],"")</f>
        <v>0</v>
      </c>
      <c r="CF190" s="10">
        <f>IFERROR(Table1[[#This Row],[OH
Saving]]*Table1[[#This Row],[Annual Volume]],"")</f>
        <v>0</v>
      </c>
      <c r="CG190" s="10">
        <f>SUM(Table1[[#This Row],[Labor_ASV]:[OH_ASV]])</f>
        <v>0</v>
      </c>
    </row>
    <row r="191" spans="1:85" x14ac:dyDescent="0.3">
      <c r="A191" t="str">
        <f>Table1[[#This Row],[Project Name]]&amp;Table1[[#This Row],[Part Number]]</f>
        <v>TiW Eching Time ReductionR21</v>
      </c>
      <c r="B191" t="str">
        <f>IFERROR(Table1[[#This Row],[Project Number]]&amp;Table1[[#This Row],[Part Number]],"")</f>
        <v>AME25-076R21</v>
      </c>
      <c r="C191" s="22" t="s">
        <v>123</v>
      </c>
      <c r="D191" s="24" t="s">
        <v>259</v>
      </c>
      <c r="E191" s="25" t="s">
        <v>58</v>
      </c>
      <c r="F191" s="6">
        <f>INDEX(Proj_Reg!G:G,MATCH($C191,Proj_Reg!$B:$B,0),1)</f>
        <v>46327</v>
      </c>
      <c r="G191" s="6">
        <f>INDEX(Proj_Reg!H:H,MATCH($C191,Proj_Reg!$B:$B,0),1)</f>
        <v>46661</v>
      </c>
      <c r="H191" s="6" t="str">
        <f>IF(INDEX(Proj_Reg!C:C,MATCH($C191,Proj_Reg!$B:$B,0),1)=0,"",INDEX(Proj_Reg!C:C,MATCH($C191,Proj_Reg!$B:$B,0),1))</f>
        <v>Wet Etching</v>
      </c>
      <c r="I191" s="6" t="str">
        <f>IF(INDEX(Proj_Reg!D:D,MATCH($C191,Proj_Reg!$B:$B,0),1)=0,"",INDEX(Proj_Reg!D:D,MATCH($C191,Proj_Reg!$B:$B,0),1))</f>
        <v>XWP</v>
      </c>
      <c r="J191" s="6" t="str">
        <f>INDEX(Proj_Reg!E:E,MATCH($C191,Proj_Reg!$B:$B,0),1)</f>
        <v>TiW Eching Time Reduction</v>
      </c>
      <c r="K191" s="21">
        <v>5.7946666666666658E-3</v>
      </c>
      <c r="L191" s="21">
        <v>2.6206276920042737E-3</v>
      </c>
      <c r="M191" s="21">
        <v>0</v>
      </c>
      <c r="N191" s="21">
        <v>0</v>
      </c>
      <c r="O191" s="11">
        <f>SUM(Table1[[#This Row],[Labor
Saving]:[OH
Saving]])</f>
        <v>8.4152943586709404E-3</v>
      </c>
      <c r="Q191" s="40">
        <f t="shared" si="102"/>
        <v>0</v>
      </c>
      <c r="R191" s="40">
        <f t="shared" si="103"/>
        <v>0</v>
      </c>
      <c r="S191" s="40">
        <f t="shared" si="104"/>
        <v>0</v>
      </c>
      <c r="T191" s="40">
        <f t="shared" si="105"/>
        <v>0</v>
      </c>
      <c r="U191" s="40">
        <f t="shared" si="106"/>
        <v>0</v>
      </c>
      <c r="V191" s="40">
        <f t="shared" si="107"/>
        <v>0</v>
      </c>
      <c r="W191" s="40">
        <f t="shared" si="108"/>
        <v>0</v>
      </c>
      <c r="X191" s="40">
        <f t="shared" si="109"/>
        <v>0</v>
      </c>
      <c r="Y191" s="40">
        <f t="shared" si="110"/>
        <v>0</v>
      </c>
      <c r="Z191" s="40">
        <f t="shared" si="111"/>
        <v>0</v>
      </c>
      <c r="AA191" s="40">
        <f t="shared" si="112"/>
        <v>182291.69999999998</v>
      </c>
      <c r="AB191" s="40">
        <f t="shared" si="113"/>
        <v>238939</v>
      </c>
      <c r="AC191" s="37">
        <f>SUM(Table1[[#This Row],[Jan]:[Dec]])</f>
        <v>421230.69999999995</v>
      </c>
      <c r="AD191" s="15">
        <f t="shared" si="122"/>
        <v>0</v>
      </c>
      <c r="AE191" s="15">
        <f t="shared" si="123"/>
        <v>0</v>
      </c>
      <c r="AF191" s="15">
        <f t="shared" si="124"/>
        <v>0</v>
      </c>
      <c r="AG191" s="15">
        <f t="shared" si="125"/>
        <v>0</v>
      </c>
      <c r="AH191" s="15">
        <f t="shared" si="126"/>
        <v>0</v>
      </c>
      <c r="AI191" s="15">
        <f t="shared" si="127"/>
        <v>0</v>
      </c>
      <c r="AJ191" s="15">
        <f t="shared" si="128"/>
        <v>0</v>
      </c>
      <c r="AK191" s="15">
        <f t="shared" si="129"/>
        <v>0</v>
      </c>
      <c r="AL191" s="15">
        <f t="shared" si="130"/>
        <v>0</v>
      </c>
      <c r="AM191" s="15">
        <f t="shared" si="131"/>
        <v>0</v>
      </c>
      <c r="AN191" s="15">
        <f t="shared" si="132"/>
        <v>1534.0383146425354</v>
      </c>
      <c r="AO191" s="15">
        <f t="shared" si="133"/>
        <v>2010.7420187664759</v>
      </c>
      <c r="AP191" s="10">
        <f t="shared" si="134"/>
        <v>0</v>
      </c>
      <c r="AQ191" s="10">
        <f t="shared" si="135"/>
        <v>0</v>
      </c>
      <c r="AR191" s="10">
        <f t="shared" si="136"/>
        <v>0</v>
      </c>
      <c r="AS191" s="10">
        <f t="shared" si="137"/>
        <v>3544.7803334090113</v>
      </c>
      <c r="AT191" s="10" t="b">
        <f t="shared" si="138"/>
        <v>1</v>
      </c>
      <c r="AU191" s="10">
        <f t="shared" si="114"/>
        <v>2440.8914962666659</v>
      </c>
      <c r="AV191" s="10">
        <f t="shared" si="115"/>
        <v>1103.8888371423445</v>
      </c>
      <c r="AW191" s="10">
        <f t="shared" si="116"/>
        <v>0</v>
      </c>
      <c r="AX191" s="10">
        <f t="shared" si="117"/>
        <v>0</v>
      </c>
      <c r="AY191" s="10">
        <f t="shared" si="139"/>
        <v>3544.7803334090104</v>
      </c>
      <c r="AZ191" s="19">
        <f>IFERROR(IF($E191="REC",INDEX(A_Type_Volume!$B:$B,MATCH($D191,A_Type_Volume!$A:$A,0),1),IF($E191="VAM",INDEX(C_Type_Volume!$B:$B,MATCH($D191,C_Type_Volume!$A:$A,0),1),"X")),"")</f>
        <v>432229</v>
      </c>
      <c r="BA191" s="19">
        <f>IFERROR(IF($E191="REC",INDEX(A_Type_Volume!$C:$C,MATCH($D191,A_Type_Volume!$A:$A,0),1),IF($E191="VAM",INDEX(C_Type_Volume!$C:$C,MATCH($D191,C_Type_Volume!$A:$A,0),1),"X")),"")</f>
        <v>537886</v>
      </c>
      <c r="BB191" s="19">
        <f>IFERROR(IF($E191="REC",INDEX(A_Type_Volume!$D:$D,MATCH($D191,A_Type_Volume!$A:$A,0),1),IF($E191="VAM",INDEX(C_Type_Volume!$D:$D,MATCH($D191,C_Type_Volume!$A:$A,0),1),"X")),"")</f>
        <v>519202</v>
      </c>
      <c r="BC191" s="19">
        <f>IFERROR(IF($E191="REC",INDEX(A_Type_Volume!$E:$E,MATCH($D191,A_Type_Volume!$A:$A,0),1),IF($E191="VAM",INDEX(C_Type_Volume!$E:$E,MATCH($D191,C_Type_Volume!$A:$A,0),1),"X")),"")</f>
        <v>287507</v>
      </c>
      <c r="BD191" s="19">
        <f>IFERROR(IF($E191="REC",INDEX(A_Type_Volume!$F:$F,MATCH($D191,A_Type_Volume!$A:$A,0),1),IF($E191="VAM",INDEX(C_Type_Volume!$F:$F,MATCH($D191,C_Type_Volume!$A:$A,0),1),"X")),"")</f>
        <v>478075</v>
      </c>
      <c r="BE191" s="19">
        <f>IFERROR(IF($E191="REC",INDEX(A_Type_Volume!$G:$G,MATCH($D191,A_Type_Volume!$A:$A,0),1),IF($E191="VAM",INDEX(C_Type_Volume!$G:$G,MATCH($D191,C_Type_Volume!$A:$A,0),1),"X")),"")</f>
        <v>778030</v>
      </c>
      <c r="BF191" s="19">
        <f>IFERROR(IF($E191="REC",INDEX(A_Type_Volume!$H:$H,MATCH($D191,A_Type_Volume!$A:$A,0),1),IF($E191="VAM",INDEX(C_Type_Volume!$H:$H,MATCH($D191,C_Type_Volume!$A:$A,0),1),"X")),"")</f>
        <v>515118</v>
      </c>
      <c r="BG191" s="19">
        <f>IFERROR(IF($E191="REC",INDEX(A_Type_Volume!$I:$I,MATCH($D191,A_Type_Volume!$A:$A,0),1),IF($E191="VAM",INDEX(C_Type_Volume!$I:$I,MATCH($D191,C_Type_Volume!$A:$A,0),1),"X")),"")</f>
        <v>581456</v>
      </c>
      <c r="BH191" s="19">
        <f>IFERROR(IF($E191="REC",INDEX(A_Type_Volume!$J:$J,MATCH($D191,A_Type_Volume!$A:$A,0),1),IF($E191="VAM",INDEX(C_Type_Volume!$J:$J,MATCH($D191,C_Type_Volume!$A:$A,0),1),"X")),"")</f>
        <v>499550</v>
      </c>
      <c r="BI191" s="19">
        <f>IFERROR(IF($E191="REC",INDEX(A_Type_Volume!$K:$K,MATCH($D191,A_Type_Volume!$A:$A,0),1),IF($E191="VAM",INDEX(C_Type_Volume!$K:$K,MATCH($D191,C_Type_Volume!$A:$A,0),1),"X")),"")</f>
        <v>452946</v>
      </c>
      <c r="BJ191" s="19">
        <f>IFERROR(IF($E191="REC",INDEX(A_Type_Volume!$L:$L,MATCH($D191,A_Type_Volume!$A:$A,0),1),IF($E191="VAM",INDEX(C_Type_Volume!$L:$L,MATCH($D191,C_Type_Volume!$A:$A,0),1),"X")),"")</f>
        <v>607639</v>
      </c>
      <c r="BK191" s="19">
        <f>IFERROR(IF($E191="REC",INDEX(A_Type_Volume!M:M,MATCH($D191,A_Type_Volume!$A:$A,0),1),IF($E191="VAM",INDEX(C_Type_Volume!M:M,MATCH($D191,C_Type_Volume!$A:$A,0),1),"X")),"")</f>
        <v>238939</v>
      </c>
      <c r="BL191" s="38">
        <f>SUM(Table1[[#This Row],[Jan_AVF]:[Dec_AVF]])</f>
        <v>5928577</v>
      </c>
      <c r="BM191" s="16">
        <f t="shared" si="140"/>
        <v>3637.3342653539821</v>
      </c>
      <c r="BN191" s="16">
        <f t="shared" si="141"/>
        <v>4526.4690214080774</v>
      </c>
      <c r="BO191" s="16">
        <f t="shared" si="142"/>
        <v>4369.2376616106694</v>
      </c>
      <c r="BP191" s="16">
        <f t="shared" si="143"/>
        <v>2419.4560351784062</v>
      </c>
      <c r="BQ191" s="16">
        <f t="shared" si="144"/>
        <v>4023.1418505216097</v>
      </c>
      <c r="BR191" s="16">
        <f t="shared" si="145"/>
        <v>6547.3514698767522</v>
      </c>
      <c r="BS191" s="16">
        <f t="shared" si="146"/>
        <v>4334.8695994498576</v>
      </c>
      <c r="BT191" s="16">
        <f t="shared" si="147"/>
        <v>4893.1233966153704</v>
      </c>
      <c r="BU191" s="16">
        <f t="shared" si="148"/>
        <v>4203.8602968740679</v>
      </c>
      <c r="BV191" s="16">
        <f t="shared" si="149"/>
        <v>3811.6739185825677</v>
      </c>
      <c r="BW191" s="16">
        <f t="shared" si="150"/>
        <v>5113.4610488084518</v>
      </c>
      <c r="BX191" s="16">
        <f t="shared" si="151"/>
        <v>2010.7420187664759</v>
      </c>
      <c r="BY191" s="10">
        <f t="shared" si="118"/>
        <v>12533.040948372729</v>
      </c>
      <c r="BZ191" s="10">
        <f t="shared" si="119"/>
        <v>12989.949355576768</v>
      </c>
      <c r="CA191" s="10">
        <f t="shared" si="120"/>
        <v>13431.853292939297</v>
      </c>
      <c r="CB191" s="10">
        <f t="shared" si="121"/>
        <v>10935.876986157495</v>
      </c>
      <c r="CC191" s="10">
        <f>IFERROR(Table1[[#This Row],[Labor
Saving]]*Table1[[#This Row],[Annual Volume]],"")</f>
        <v>34354.127522666662</v>
      </c>
      <c r="CD191" s="10">
        <f>IFERROR(Table1[[#This Row],[Annual Volume]]*Table1[[#This Row],[Yield
Saving]],"")</f>
        <v>15536.593060379621</v>
      </c>
      <c r="CE191" s="10">
        <f>IFERROR(Table1[[#This Row],[Annual Volume]]*Table1[[#This Row],[Material
Saving]],"")</f>
        <v>0</v>
      </c>
      <c r="CF191" s="10">
        <f>IFERROR(Table1[[#This Row],[OH
Saving]]*Table1[[#This Row],[Annual Volume]],"")</f>
        <v>0</v>
      </c>
      <c r="CG191" s="10">
        <f>SUM(Table1[[#This Row],[Labor_ASV]:[OH_ASV]])</f>
        <v>49890.720583046284</v>
      </c>
    </row>
    <row r="192" spans="1:85" x14ac:dyDescent="0.3">
      <c r="A192" t="str">
        <f>Table1[[#This Row],[Project Name]]&amp;Table1[[#This Row],[Part Number]]</f>
        <v>NiCr Eching Time ReductionR78</v>
      </c>
      <c r="B192" t="str">
        <f>IFERROR(Table1[[#This Row],[Project Number]]&amp;Table1[[#This Row],[Part Number]],"")</f>
        <v>AME25-077R78</v>
      </c>
      <c r="C192" s="22" t="s">
        <v>124</v>
      </c>
      <c r="D192" s="24" t="s">
        <v>316</v>
      </c>
      <c r="E192" s="25" t="s">
        <v>58</v>
      </c>
      <c r="F192" s="6">
        <f>INDEX(Proj_Reg!G:G,MATCH($C192,Proj_Reg!$B:$B,0),1)</f>
        <v>46357</v>
      </c>
      <c r="G192" s="6">
        <f>INDEX(Proj_Reg!H:H,MATCH($C192,Proj_Reg!$B:$B,0),1)</f>
        <v>46692</v>
      </c>
      <c r="H192" s="6" t="str">
        <f>IF(INDEX(Proj_Reg!C:C,MATCH($C192,Proj_Reg!$B:$B,0),1)=0,"",INDEX(Proj_Reg!C:C,MATCH($C192,Proj_Reg!$B:$B,0),1))</f>
        <v>Wet Etching</v>
      </c>
      <c r="I192" s="6" t="str">
        <f>IF(INDEX(Proj_Reg!D:D,MATCH($C192,Proj_Reg!$B:$B,0),1)=0,"",INDEX(Proj_Reg!D:D,MATCH($C192,Proj_Reg!$B:$B,0),1))</f>
        <v>XWP</v>
      </c>
      <c r="J192" s="6" t="str">
        <f>INDEX(Proj_Reg!E:E,MATCH($C192,Proj_Reg!$B:$B,0),1)</f>
        <v>NiCr Eching Time Reduction</v>
      </c>
      <c r="K192" s="21">
        <v>5.7946666666666658E-3</v>
      </c>
      <c r="L192" s="21">
        <v>2.6206276920042737E-3</v>
      </c>
      <c r="M192" s="21">
        <v>0</v>
      </c>
      <c r="N192" s="21">
        <v>0</v>
      </c>
      <c r="O192" s="11">
        <f>SUM(Table1[[#This Row],[Labor
Saving]:[OH
Saving]])</f>
        <v>8.4152943586709404E-3</v>
      </c>
      <c r="Q192" s="40">
        <f t="shared" si="102"/>
        <v>0</v>
      </c>
      <c r="R192" s="40">
        <f t="shared" si="103"/>
        <v>0</v>
      </c>
      <c r="S192" s="40">
        <f t="shared" si="104"/>
        <v>0</v>
      </c>
      <c r="T192" s="40">
        <f t="shared" si="105"/>
        <v>0</v>
      </c>
      <c r="U192" s="40">
        <f t="shared" si="106"/>
        <v>0</v>
      </c>
      <c r="V192" s="40">
        <f t="shared" si="107"/>
        <v>0</v>
      </c>
      <c r="W192" s="40">
        <f t="shared" si="108"/>
        <v>0</v>
      </c>
      <c r="X192" s="40">
        <f t="shared" si="109"/>
        <v>0</v>
      </c>
      <c r="Y192" s="40">
        <f t="shared" si="110"/>
        <v>0</v>
      </c>
      <c r="Z192" s="40">
        <f t="shared" si="111"/>
        <v>0</v>
      </c>
      <c r="AA192" s="40">
        <f t="shared" si="112"/>
        <v>0</v>
      </c>
      <c r="AB192" s="40">
        <f t="shared" si="113"/>
        <v>8310.2999999999993</v>
      </c>
      <c r="AC192" s="37">
        <f>SUM(Table1[[#This Row],[Jan]:[Dec]])</f>
        <v>8310.2999999999993</v>
      </c>
      <c r="AD192" s="15">
        <f t="shared" si="122"/>
        <v>0</v>
      </c>
      <c r="AE192" s="15">
        <f t="shared" si="123"/>
        <v>0</v>
      </c>
      <c r="AF192" s="15">
        <f t="shared" si="124"/>
        <v>0</v>
      </c>
      <c r="AG192" s="15">
        <f t="shared" si="125"/>
        <v>0</v>
      </c>
      <c r="AH192" s="15">
        <f t="shared" si="126"/>
        <v>0</v>
      </c>
      <c r="AI192" s="15">
        <f t="shared" si="127"/>
        <v>0</v>
      </c>
      <c r="AJ192" s="15">
        <f t="shared" si="128"/>
        <v>0</v>
      </c>
      <c r="AK192" s="15">
        <f t="shared" si="129"/>
        <v>0</v>
      </c>
      <c r="AL192" s="15">
        <f t="shared" si="130"/>
        <v>0</v>
      </c>
      <c r="AM192" s="15">
        <f t="shared" si="131"/>
        <v>0</v>
      </c>
      <c r="AN192" s="15">
        <f t="shared" si="132"/>
        <v>0</v>
      </c>
      <c r="AO192" s="15">
        <f t="shared" si="133"/>
        <v>69.933620708863117</v>
      </c>
      <c r="AP192" s="10">
        <f t="shared" si="134"/>
        <v>0</v>
      </c>
      <c r="AQ192" s="10">
        <f t="shared" si="135"/>
        <v>0</v>
      </c>
      <c r="AR192" s="10">
        <f t="shared" si="136"/>
        <v>0</v>
      </c>
      <c r="AS192" s="10">
        <f t="shared" si="137"/>
        <v>69.933620708863117</v>
      </c>
      <c r="AT192" s="10" t="b">
        <f t="shared" si="138"/>
        <v>1</v>
      </c>
      <c r="AU192" s="10">
        <f t="shared" si="114"/>
        <v>48.155418399999988</v>
      </c>
      <c r="AV192" s="10">
        <f t="shared" si="115"/>
        <v>21.778202308863115</v>
      </c>
      <c r="AW192" s="10">
        <f t="shared" si="116"/>
        <v>0</v>
      </c>
      <c r="AX192" s="10">
        <f t="shared" si="117"/>
        <v>0</v>
      </c>
      <c r="AY192" s="10">
        <f t="shared" si="139"/>
        <v>69.933620708863103</v>
      </c>
      <c r="AZ192" s="19">
        <f>IFERROR(IF($E192="REC",INDEX(A_Type_Volume!$B:$B,MATCH($D192,A_Type_Volume!$A:$A,0),1),IF($E192="VAM",INDEX(C_Type_Volume!$B:$B,MATCH($D192,C_Type_Volume!$A:$A,0),1),"X")),"")</f>
        <v>188378</v>
      </c>
      <c r="BA192" s="19">
        <f>IFERROR(IF($E192="REC",INDEX(A_Type_Volume!$C:$C,MATCH($D192,A_Type_Volume!$A:$A,0),1),IF($E192="VAM",INDEX(C_Type_Volume!$C:$C,MATCH($D192,C_Type_Volume!$A:$A,0),1),"X")),"")</f>
        <v>141628</v>
      </c>
      <c r="BB192" s="19">
        <f>IFERROR(IF($E192="REC",INDEX(A_Type_Volume!$D:$D,MATCH($D192,A_Type_Volume!$A:$A,0),1),IF($E192="VAM",INDEX(C_Type_Volume!$D:$D,MATCH($D192,C_Type_Volume!$A:$A,0),1),"X")),"")</f>
        <v>170437</v>
      </c>
      <c r="BC192" s="19">
        <f>IFERROR(IF($E192="REC",INDEX(A_Type_Volume!$E:$E,MATCH($D192,A_Type_Volume!$A:$A,0),1),IF($E192="VAM",INDEX(C_Type_Volume!$E:$E,MATCH($D192,C_Type_Volume!$A:$A,0),1),"X")),"")</f>
        <v>57288</v>
      </c>
      <c r="BD192" s="19">
        <f>IFERROR(IF($E192="REC",INDEX(A_Type_Volume!$F:$F,MATCH($D192,A_Type_Volume!$A:$A,0),1),IF($E192="VAM",INDEX(C_Type_Volume!$F:$F,MATCH($D192,C_Type_Volume!$A:$A,0),1),"X")),"")</f>
        <v>84228</v>
      </c>
      <c r="BE192" s="19">
        <f>IFERROR(IF($E192="REC",INDEX(A_Type_Volume!$G:$G,MATCH($D192,A_Type_Volume!$A:$A,0),1),IF($E192="VAM",INDEX(C_Type_Volume!$G:$G,MATCH($D192,C_Type_Volume!$A:$A,0),1),"X")),"")</f>
        <v>100952</v>
      </c>
      <c r="BF192" s="19">
        <f>IFERROR(IF($E192="REC",INDEX(A_Type_Volume!$H:$H,MATCH($D192,A_Type_Volume!$A:$A,0),1),IF($E192="VAM",INDEX(C_Type_Volume!$H:$H,MATCH($D192,C_Type_Volume!$A:$A,0),1),"X")),"")</f>
        <v>45861</v>
      </c>
      <c r="BG192" s="19">
        <f>IFERROR(IF($E192="REC",INDEX(A_Type_Volume!$I:$I,MATCH($D192,A_Type_Volume!$A:$A,0),1),IF($E192="VAM",INDEX(C_Type_Volume!$I:$I,MATCH($D192,C_Type_Volume!$A:$A,0),1),"X")),"")</f>
        <v>36456</v>
      </c>
      <c r="BH192" s="19">
        <f>IFERROR(IF($E192="REC",INDEX(A_Type_Volume!$J:$J,MATCH($D192,A_Type_Volume!$A:$A,0),1),IF($E192="VAM",INDEX(C_Type_Volume!$J:$J,MATCH($D192,C_Type_Volume!$A:$A,0),1),"X")),"")</f>
        <v>38574</v>
      </c>
      <c r="BI192" s="19">
        <f>IFERROR(IF($E192="REC",INDEX(A_Type_Volume!$K:$K,MATCH($D192,A_Type_Volume!$A:$A,0),1),IF($E192="VAM",INDEX(C_Type_Volume!$K:$K,MATCH($D192,C_Type_Volume!$A:$A,0),1),"X")),"")</f>
        <v>33728</v>
      </c>
      <c r="BJ192" s="19">
        <f>IFERROR(IF($E192="REC",INDEX(A_Type_Volume!$L:$L,MATCH($D192,A_Type_Volume!$A:$A,0),1),IF($E192="VAM",INDEX(C_Type_Volume!$L:$L,MATCH($D192,C_Type_Volume!$A:$A,0),1),"X")),"")</f>
        <v>34999</v>
      </c>
      <c r="BK192" s="19">
        <f>IFERROR(IF($E192="REC",INDEX(A_Type_Volume!M:M,MATCH($D192,A_Type_Volume!$A:$A,0),1),IF($E192="VAM",INDEX(C_Type_Volume!M:M,MATCH($D192,C_Type_Volume!$A:$A,0),1),"X")),"")</f>
        <v>27701</v>
      </c>
      <c r="BL192" s="38">
        <f>SUM(Table1[[#This Row],[Jan_AVF]:[Dec_AVF]])</f>
        <v>960230</v>
      </c>
      <c r="BM192" s="16">
        <f t="shared" si="140"/>
        <v>1585.2563206977145</v>
      </c>
      <c r="BN192" s="16">
        <f t="shared" si="141"/>
        <v>1191.841309429848</v>
      </c>
      <c r="BO192" s="16">
        <f t="shared" si="142"/>
        <v>1434.277524608799</v>
      </c>
      <c r="BP192" s="16">
        <f t="shared" si="143"/>
        <v>482.09538321954085</v>
      </c>
      <c r="BQ192" s="16">
        <f t="shared" si="144"/>
        <v>708.803413242136</v>
      </c>
      <c r="BR192" s="16">
        <f t="shared" si="145"/>
        <v>849.54079609654877</v>
      </c>
      <c r="BS192" s="16">
        <f t="shared" si="146"/>
        <v>385.93381458300797</v>
      </c>
      <c r="BT192" s="16">
        <f t="shared" si="147"/>
        <v>306.78797113970779</v>
      </c>
      <c r="BU192" s="16">
        <f t="shared" si="148"/>
        <v>324.61156459137288</v>
      </c>
      <c r="BV192" s="16">
        <f t="shared" si="149"/>
        <v>283.83104812925347</v>
      </c>
      <c r="BW192" s="16">
        <f t="shared" si="150"/>
        <v>294.52688725912424</v>
      </c>
      <c r="BX192" s="16">
        <f t="shared" si="151"/>
        <v>233.11206902954373</v>
      </c>
      <c r="BY192" s="10">
        <f t="shared" si="118"/>
        <v>4211.3751547363609</v>
      </c>
      <c r="BZ192" s="10">
        <f t="shared" si="119"/>
        <v>2040.4395925582255</v>
      </c>
      <c r="CA192" s="10">
        <f t="shared" si="120"/>
        <v>1017.3333503140886</v>
      </c>
      <c r="CB192" s="10">
        <f t="shared" si="121"/>
        <v>811.47000441792136</v>
      </c>
      <c r="CC192" s="10">
        <f>IFERROR(Table1[[#This Row],[Labor
Saving]]*Table1[[#This Row],[Annual Volume]],"")</f>
        <v>5564.2127733333327</v>
      </c>
      <c r="CD192" s="10">
        <f>IFERROR(Table1[[#This Row],[Annual Volume]]*Table1[[#This Row],[Yield
Saving]],"")</f>
        <v>2516.4053286932635</v>
      </c>
      <c r="CE192" s="10">
        <f>IFERROR(Table1[[#This Row],[Annual Volume]]*Table1[[#This Row],[Material
Saving]],"")</f>
        <v>0</v>
      </c>
      <c r="CF192" s="10">
        <f>IFERROR(Table1[[#This Row],[OH
Saving]]*Table1[[#This Row],[Annual Volume]],"")</f>
        <v>0</v>
      </c>
      <c r="CG192" s="10">
        <f>SUM(Table1[[#This Row],[Labor_ASV]:[OH_ASV]])</f>
        <v>8080.6181020265958</v>
      </c>
    </row>
    <row r="193" spans="1:85" x14ac:dyDescent="0.3">
      <c r="A193" t="str">
        <f>Table1[[#This Row],[Project Name]]&amp;Table1[[#This Row],[Part Number]]</f>
        <v>Ti Eching Time ReductionR79</v>
      </c>
      <c r="B193" t="str">
        <f>IFERROR(Table1[[#This Row],[Project Number]]&amp;Table1[[#This Row],[Part Number]],"")</f>
        <v>AME25-078R79</v>
      </c>
      <c r="C193" s="22" t="s">
        <v>125</v>
      </c>
      <c r="D193" s="24" t="s">
        <v>317</v>
      </c>
      <c r="E193" s="25" t="s">
        <v>58</v>
      </c>
      <c r="F193" s="6">
        <f>INDEX(Proj_Reg!G:G,MATCH($C193,Proj_Reg!$B:$B,0),1)</f>
        <v>46388</v>
      </c>
      <c r="G193" s="6">
        <f>INDEX(Proj_Reg!H:H,MATCH($C193,Proj_Reg!$B:$B,0),1)</f>
        <v>46722</v>
      </c>
      <c r="H193" s="6" t="str">
        <f>IF(INDEX(Proj_Reg!C:C,MATCH($C193,Proj_Reg!$B:$B,0),1)=0,"",INDEX(Proj_Reg!C:C,MATCH($C193,Proj_Reg!$B:$B,0),1))</f>
        <v>Wet Etching</v>
      </c>
      <c r="I193" s="6" t="str">
        <f>IF(INDEX(Proj_Reg!D:D,MATCH($C193,Proj_Reg!$B:$B,0),1)=0,"",INDEX(Proj_Reg!D:D,MATCH($C193,Proj_Reg!$B:$B,0),1))</f>
        <v>XWP</v>
      </c>
      <c r="J193" s="6" t="str">
        <f>INDEX(Proj_Reg!E:E,MATCH($C193,Proj_Reg!$B:$B,0),1)</f>
        <v>Ti Eching Time Reduction</v>
      </c>
      <c r="K193" s="21">
        <v>5.7946666666666658E-3</v>
      </c>
      <c r="L193" s="21">
        <v>2.6206276920042737E-3</v>
      </c>
      <c r="M193" s="21">
        <v>0</v>
      </c>
      <c r="N193" s="21">
        <v>0</v>
      </c>
      <c r="O193" s="11">
        <f>SUM(Table1[[#This Row],[Labor
Saving]:[OH
Saving]])</f>
        <v>8.4152943586709404E-3</v>
      </c>
      <c r="Q193" s="40">
        <f t="shared" ref="Q193:Q256" si="152">IFERROR(IF($F193=Q$1,0.3,IF(AND(Q$1&gt;$F193,Q$1&lt;=$G193),100%,0))*AZ193,"")</f>
        <v>0</v>
      </c>
      <c r="R193" s="40">
        <f t="shared" ref="R193:R256" si="153">IFERROR(IF($F193=R$1,0.3,IF(AND(R$1&gt;$F193,R$1&lt;=$G193),100%,0))*BA193,"")</f>
        <v>0</v>
      </c>
      <c r="S193" s="40">
        <f t="shared" ref="S193:S256" si="154">IFERROR(IF($F193=S$1,0.3,IF(AND(S$1&gt;$F193,S$1&lt;=$G193),100%,0))*BB193,"")</f>
        <v>0</v>
      </c>
      <c r="T193" s="40">
        <f t="shared" ref="T193:T256" si="155">IFERROR(IF($F193=T$1,0.3,IF(AND(T$1&gt;$F193,T$1&lt;=$G193),100%,0))*BC193,"")</f>
        <v>0</v>
      </c>
      <c r="U193" s="40">
        <f t="shared" ref="U193:U256" si="156">IFERROR(IF($F193=U$1,0.3,IF(AND(U$1&gt;$F193,U$1&lt;=$G193),100%,0))*BD193,"")</f>
        <v>0</v>
      </c>
      <c r="V193" s="40">
        <f t="shared" ref="V193:V256" si="157">IFERROR(IF($F193=V$1,0.3,IF(AND(V$1&gt;$F193,V$1&lt;=$G193),100%,0))*BE193,"")</f>
        <v>0</v>
      </c>
      <c r="W193" s="40">
        <f t="shared" ref="W193:W256" si="158">IFERROR(IF($F193=W$1,0.3,IF(AND(W$1&gt;$F193,W$1&lt;=$G193),100%,0))*BF193,"")</f>
        <v>0</v>
      </c>
      <c r="X193" s="40">
        <f t="shared" ref="X193:X256" si="159">IFERROR(IF($F193=X$1,0.3,IF(AND(X$1&gt;$F193,X$1&lt;=$G193),100%,0))*BG193,"")</f>
        <v>0</v>
      </c>
      <c r="Y193" s="40">
        <f t="shared" ref="Y193:Y256" si="160">IFERROR(IF($F193=Y$1,0.7,IF(AND(Y$1&gt;$F193,Y$1&lt;=$G193),100%,0))*BH193,"")</f>
        <v>0</v>
      </c>
      <c r="Z193" s="40">
        <f t="shared" ref="Z193:Z256" si="161">IFERROR(IF($F193=Z$1,0.3,IF(AND(Z$1&gt;$F193,Z$1&lt;=$G193),100%,0))*BI193,"")</f>
        <v>0</v>
      </c>
      <c r="AA193" s="40">
        <f t="shared" ref="AA193:AA256" si="162">IFERROR(IF($F193=AA$1,0.3,IF(AND(AA$1&gt;$F193,AA$1&lt;=$G193),100%,0))*BJ193,"")</f>
        <v>0</v>
      </c>
      <c r="AB193" s="40">
        <f t="shared" ref="AB193:AB256" si="163">IFERROR(IF($F193=AB$1,0.3,IF(AND(AB$1&gt;$F193,AB$1&lt;=$G193),100%,0))*BK193,"")</f>
        <v>0</v>
      </c>
      <c r="AC193" s="37">
        <f>SUM(Table1[[#This Row],[Jan]:[Dec]])</f>
        <v>0</v>
      </c>
      <c r="AD193" s="15">
        <f t="shared" si="122"/>
        <v>0</v>
      </c>
      <c r="AE193" s="15">
        <f t="shared" si="123"/>
        <v>0</v>
      </c>
      <c r="AF193" s="15">
        <f t="shared" si="124"/>
        <v>0</v>
      </c>
      <c r="AG193" s="15">
        <f t="shared" si="125"/>
        <v>0</v>
      </c>
      <c r="AH193" s="15">
        <f t="shared" si="126"/>
        <v>0</v>
      </c>
      <c r="AI193" s="15">
        <f t="shared" si="127"/>
        <v>0</v>
      </c>
      <c r="AJ193" s="15">
        <f t="shared" si="128"/>
        <v>0</v>
      </c>
      <c r="AK193" s="15">
        <f t="shared" si="129"/>
        <v>0</v>
      </c>
      <c r="AL193" s="15">
        <f t="shared" si="130"/>
        <v>0</v>
      </c>
      <c r="AM193" s="15">
        <f t="shared" si="131"/>
        <v>0</v>
      </c>
      <c r="AN193" s="15">
        <f t="shared" si="132"/>
        <v>0</v>
      </c>
      <c r="AO193" s="15">
        <f t="shared" si="133"/>
        <v>0</v>
      </c>
      <c r="AP193" s="10">
        <f t="shared" si="134"/>
        <v>0</v>
      </c>
      <c r="AQ193" s="10">
        <f t="shared" si="135"/>
        <v>0</v>
      </c>
      <c r="AR193" s="10">
        <f t="shared" si="136"/>
        <v>0</v>
      </c>
      <c r="AS193" s="10">
        <f t="shared" si="137"/>
        <v>0</v>
      </c>
      <c r="AT193" s="10" t="b">
        <f t="shared" si="138"/>
        <v>1</v>
      </c>
      <c r="AU193" s="10">
        <f t="shared" ref="AU193:AU256" si="164">IFERROR(K193*SUM($Q193:$AB193),"")</f>
        <v>0</v>
      </c>
      <c r="AV193" s="10">
        <f t="shared" ref="AV193:AV256" si="165">IFERROR(L193*SUM($Q193:$AB193),"")</f>
        <v>0</v>
      </c>
      <c r="AW193" s="10">
        <f t="shared" ref="AW193:AW256" si="166">IFERROR(M193*SUM($Q193:$AB193),"")</f>
        <v>0</v>
      </c>
      <c r="AX193" s="10">
        <f t="shared" ref="AX193:AX256" si="167">IFERROR(N193*SUM($Q193:$AB193),"")</f>
        <v>0</v>
      </c>
      <c r="AY193" s="10">
        <f t="shared" si="139"/>
        <v>0</v>
      </c>
      <c r="AZ193" s="19">
        <f>IFERROR(IF($E193="REC",INDEX(A_Type_Volume!$B:$B,MATCH($D193,A_Type_Volume!$A:$A,0),1),IF($E193="VAM",INDEX(C_Type_Volume!$B:$B,MATCH($D193,C_Type_Volume!$A:$A,0),1),"X")),"")</f>
        <v>3810172</v>
      </c>
      <c r="BA193" s="19">
        <f>IFERROR(IF($E193="REC",INDEX(A_Type_Volume!$C:$C,MATCH($D193,A_Type_Volume!$A:$A,0),1),IF($E193="VAM",INDEX(C_Type_Volume!$C:$C,MATCH($D193,C_Type_Volume!$A:$A,0),1),"X")),"")</f>
        <v>4040503</v>
      </c>
      <c r="BB193" s="19">
        <f>IFERROR(IF($E193="REC",INDEX(A_Type_Volume!$D:$D,MATCH($D193,A_Type_Volume!$A:$A,0),1),IF($E193="VAM",INDEX(C_Type_Volume!$D:$D,MATCH($D193,C_Type_Volume!$A:$A,0),1),"X")),"")</f>
        <v>3893243</v>
      </c>
      <c r="BC193" s="19">
        <f>IFERROR(IF($E193="REC",INDEX(A_Type_Volume!$E:$E,MATCH($D193,A_Type_Volume!$A:$A,0),1),IF($E193="VAM",INDEX(C_Type_Volume!$E:$E,MATCH($D193,C_Type_Volume!$A:$A,0),1),"X")),"")</f>
        <v>3481523</v>
      </c>
      <c r="BD193" s="19">
        <f>IFERROR(IF($E193="REC",INDEX(A_Type_Volume!$F:$F,MATCH($D193,A_Type_Volume!$A:$A,0),1),IF($E193="VAM",INDEX(C_Type_Volume!$F:$F,MATCH($D193,C_Type_Volume!$A:$A,0),1),"X")),"")</f>
        <v>4808932</v>
      </c>
      <c r="BE193" s="19">
        <f>IFERROR(IF($E193="REC",INDEX(A_Type_Volume!$G:$G,MATCH($D193,A_Type_Volume!$A:$A,0),1),IF($E193="VAM",INDEX(C_Type_Volume!$G:$G,MATCH($D193,C_Type_Volume!$A:$A,0),1),"X")),"")</f>
        <v>4583176</v>
      </c>
      <c r="BF193" s="19">
        <f>IFERROR(IF($E193="REC",INDEX(A_Type_Volume!$H:$H,MATCH($D193,A_Type_Volume!$A:$A,0),1),IF($E193="VAM",INDEX(C_Type_Volume!$H:$H,MATCH($D193,C_Type_Volume!$A:$A,0),1),"X")),"")</f>
        <v>5748041</v>
      </c>
      <c r="BG193" s="19">
        <f>IFERROR(IF($E193="REC",INDEX(A_Type_Volume!$I:$I,MATCH($D193,A_Type_Volume!$A:$A,0),1),IF($E193="VAM",INDEX(C_Type_Volume!$I:$I,MATCH($D193,C_Type_Volume!$A:$A,0),1),"X")),"")</f>
        <v>3708414</v>
      </c>
      <c r="BH193" s="19">
        <f>IFERROR(IF($E193="REC",INDEX(A_Type_Volume!$J:$J,MATCH($D193,A_Type_Volume!$A:$A,0),1),IF($E193="VAM",INDEX(C_Type_Volume!$J:$J,MATCH($D193,C_Type_Volume!$A:$A,0),1),"X")),"")</f>
        <v>4475969</v>
      </c>
      <c r="BI193" s="19">
        <f>IFERROR(IF($E193="REC",INDEX(A_Type_Volume!$K:$K,MATCH($D193,A_Type_Volume!$A:$A,0),1),IF($E193="VAM",INDEX(C_Type_Volume!$K:$K,MATCH($D193,C_Type_Volume!$A:$A,0),1),"X")),"")</f>
        <v>4463502</v>
      </c>
      <c r="BJ193" s="19">
        <f>IFERROR(IF($E193="REC",INDEX(A_Type_Volume!$L:$L,MATCH($D193,A_Type_Volume!$A:$A,0),1),IF($E193="VAM",INDEX(C_Type_Volume!$L:$L,MATCH($D193,C_Type_Volume!$A:$A,0),1),"X")),"")</f>
        <v>3662570</v>
      </c>
      <c r="BK193" s="19">
        <f>IFERROR(IF($E193="REC",INDEX(A_Type_Volume!M:M,MATCH($D193,A_Type_Volume!$A:$A,0),1),IF($E193="VAM",INDEX(C_Type_Volume!M:M,MATCH($D193,C_Type_Volume!$A:$A,0),1),"X")),"")</f>
        <v>3300021</v>
      </c>
      <c r="BL193" s="38">
        <f>SUM(Table1[[#This Row],[Jan_AVF]:[Dec_AVF]])</f>
        <v>49976066</v>
      </c>
      <c r="BM193" s="16">
        <f t="shared" si="140"/>
        <v>32063.718937165973</v>
      </c>
      <c r="BN193" s="16">
        <f t="shared" si="141"/>
        <v>34002.022102093011</v>
      </c>
      <c r="BO193" s="16">
        <f t="shared" si="142"/>
        <v>32762.785854835129</v>
      </c>
      <c r="BP193" s="16">
        <f t="shared" si="143"/>
        <v>29298.040861483129</v>
      </c>
      <c r="BQ193" s="16">
        <f t="shared" si="144"/>
        <v>40468.578330832162</v>
      </c>
      <c r="BR193" s="16">
        <f t="shared" si="145"/>
        <v>38568.775137596043</v>
      </c>
      <c r="BS193" s="16">
        <f t="shared" si="146"/>
        <v>48371.45700070927</v>
      </c>
      <c r="BT193" s="16">
        <f t="shared" si="147"/>
        <v>31207.395413816335</v>
      </c>
      <c r="BU193" s="16">
        <f t="shared" si="148"/>
        <v>37666.596675286011</v>
      </c>
      <c r="BV193" s="16">
        <f t="shared" si="149"/>
        <v>37561.683200516462</v>
      </c>
      <c r="BW193" s="16">
        <f t="shared" si="150"/>
        <v>30821.604659237426</v>
      </c>
      <c r="BX193" s="16">
        <f t="shared" si="151"/>
        <v>27770.648104795637</v>
      </c>
      <c r="BY193" s="10">
        <f t="shared" ref="BY193:BY256" si="168">IFERROR(SUM(BM193:BO193),"")</f>
        <v>98828.526894094102</v>
      </c>
      <c r="BZ193" s="10">
        <f t="shared" ref="BZ193:BZ256" si="169">IFERROR(SUM(BP193:BR193),"")</f>
        <v>108335.39432991133</v>
      </c>
      <c r="CA193" s="10">
        <f t="shared" ref="CA193:CA256" si="170">IFERROR(SUM(BS193:BU193),"")</f>
        <v>117245.44908981162</v>
      </c>
      <c r="CB193" s="10">
        <f t="shared" ref="CB193:CB256" si="171">IFERROR(SUM(BV193:BX193),"")</f>
        <v>96153.935964549513</v>
      </c>
      <c r="CC193" s="10">
        <f>IFERROR(Table1[[#This Row],[Labor
Saving]]*Table1[[#This Row],[Annual Volume]],"")</f>
        <v>289594.64378133329</v>
      </c>
      <c r="CD193" s="10">
        <f>IFERROR(Table1[[#This Row],[Annual Volume]]*Table1[[#This Row],[Yield
Saving]],"")</f>
        <v>130968.66249703325</v>
      </c>
      <c r="CE193" s="10">
        <f>IFERROR(Table1[[#This Row],[Annual Volume]]*Table1[[#This Row],[Material
Saving]],"")</f>
        <v>0</v>
      </c>
      <c r="CF193" s="10">
        <f>IFERROR(Table1[[#This Row],[OH
Saving]]*Table1[[#This Row],[Annual Volume]],"")</f>
        <v>0</v>
      </c>
      <c r="CG193" s="10">
        <f>SUM(Table1[[#This Row],[Labor_ASV]:[OH_ASV]])</f>
        <v>420563.30627836654</v>
      </c>
    </row>
    <row r="194" spans="1:85" x14ac:dyDescent="0.3">
      <c r="A194" t="str">
        <f>Table1[[#This Row],[Project Name]]&amp;Table1[[#This Row],[Part Number]]</f>
        <v>Pt Eching Time ReductionR184</v>
      </c>
      <c r="B194" t="str">
        <f>IFERROR(Table1[[#This Row],[Project Number]]&amp;Table1[[#This Row],[Part Number]],"")</f>
        <v>AME25-079R184</v>
      </c>
      <c r="C194" s="22" t="s">
        <v>126</v>
      </c>
      <c r="D194" s="24" t="s">
        <v>422</v>
      </c>
      <c r="E194" s="25" t="s">
        <v>58</v>
      </c>
      <c r="F194" s="6">
        <f>INDEX(Proj_Reg!G:G,MATCH($C194,Proj_Reg!$B:$B,0),1)</f>
        <v>46296</v>
      </c>
      <c r="G194" s="6">
        <f>INDEX(Proj_Reg!H:H,MATCH($C194,Proj_Reg!$B:$B,0),1)</f>
        <v>46631</v>
      </c>
      <c r="H194" s="6" t="str">
        <f>IF(INDEX(Proj_Reg!C:C,MATCH($C194,Proj_Reg!$B:$B,0),1)=0,"",INDEX(Proj_Reg!C:C,MATCH($C194,Proj_Reg!$B:$B,0),1))</f>
        <v>Wet Etching</v>
      </c>
      <c r="I194" s="6" t="str">
        <f>IF(INDEX(Proj_Reg!D:D,MATCH($C194,Proj_Reg!$B:$B,0),1)=0,"",INDEX(Proj_Reg!D:D,MATCH($C194,Proj_Reg!$B:$B,0),1))</f>
        <v>XWP</v>
      </c>
      <c r="J194" s="6" t="str">
        <f>INDEX(Proj_Reg!E:E,MATCH($C194,Proj_Reg!$B:$B,0),1)</f>
        <v>Pt Eching Time Reduction</v>
      </c>
      <c r="K194" s="21">
        <v>3.2190476190476196E-3</v>
      </c>
      <c r="L194" s="21">
        <v>2.6206276920042737E-3</v>
      </c>
      <c r="M194" s="21">
        <v>0</v>
      </c>
      <c r="N194" s="21">
        <v>0</v>
      </c>
      <c r="O194" s="11">
        <f>SUM(Table1[[#This Row],[Labor
Saving]:[OH
Saving]])</f>
        <v>5.8396753110518933E-3</v>
      </c>
      <c r="Q194" s="40">
        <f t="shared" si="152"/>
        <v>0</v>
      </c>
      <c r="R194" s="40">
        <f t="shared" si="153"/>
        <v>0</v>
      </c>
      <c r="S194" s="40">
        <f t="shared" si="154"/>
        <v>0</v>
      </c>
      <c r="T194" s="40">
        <f t="shared" si="155"/>
        <v>0</v>
      </c>
      <c r="U194" s="40">
        <f t="shared" si="156"/>
        <v>0</v>
      </c>
      <c r="V194" s="40">
        <f t="shared" si="157"/>
        <v>0</v>
      </c>
      <c r="W194" s="40">
        <f t="shared" si="158"/>
        <v>0</v>
      </c>
      <c r="X194" s="40">
        <f t="shared" si="159"/>
        <v>0</v>
      </c>
      <c r="Y194" s="40">
        <f t="shared" si="160"/>
        <v>0</v>
      </c>
      <c r="Z194" s="40">
        <f t="shared" si="161"/>
        <v>0</v>
      </c>
      <c r="AA194" s="40">
        <f t="shared" si="162"/>
        <v>0</v>
      </c>
      <c r="AB194" s="40">
        <f t="shared" si="163"/>
        <v>0</v>
      </c>
      <c r="AC194" s="37">
        <f>SUM(Table1[[#This Row],[Jan]:[Dec]])</f>
        <v>0</v>
      </c>
      <c r="AD194" s="15">
        <f t="shared" ref="AD194:AD257" si="172">IFERROR($O194*Q194,"")</f>
        <v>0</v>
      </c>
      <c r="AE194" s="15">
        <f t="shared" ref="AE194:AE257" si="173">IFERROR($O194*R194,"")</f>
        <v>0</v>
      </c>
      <c r="AF194" s="15">
        <f t="shared" ref="AF194:AF257" si="174">IFERROR($O194*S194,"")</f>
        <v>0</v>
      </c>
      <c r="AG194" s="15">
        <f t="shared" ref="AG194:AG257" si="175">IFERROR($O194*T194,"")</f>
        <v>0</v>
      </c>
      <c r="AH194" s="15">
        <f t="shared" ref="AH194:AH257" si="176">IFERROR($O194*U194,"")</f>
        <v>0</v>
      </c>
      <c r="AI194" s="15">
        <f t="shared" ref="AI194:AI257" si="177">IFERROR($O194*V194,"")</f>
        <v>0</v>
      </c>
      <c r="AJ194" s="15">
        <f t="shared" ref="AJ194:AJ257" si="178">IFERROR($O194*W194,"")</f>
        <v>0</v>
      </c>
      <c r="AK194" s="15">
        <f t="shared" ref="AK194:AK257" si="179">IFERROR($O194*X194,"")</f>
        <v>0</v>
      </c>
      <c r="AL194" s="15">
        <f t="shared" ref="AL194:AL257" si="180">IFERROR($O194*Y194,"")</f>
        <v>0</v>
      </c>
      <c r="AM194" s="15">
        <f t="shared" ref="AM194:AM257" si="181">IFERROR($O194*Z194,"")</f>
        <v>0</v>
      </c>
      <c r="AN194" s="15">
        <f t="shared" ref="AN194:AN257" si="182">IFERROR($O194*AA194,"")</f>
        <v>0</v>
      </c>
      <c r="AO194" s="15">
        <f t="shared" ref="AO194:AO257" si="183">IFERROR($O194*AB194,"")</f>
        <v>0</v>
      </c>
      <c r="AP194" s="10">
        <f t="shared" ref="AP194:AP257" si="184">SUM(AD194:AF194)</f>
        <v>0</v>
      </c>
      <c r="AQ194" s="10">
        <f t="shared" ref="AQ194:AQ257" si="185">SUM(AG194:AI194)</f>
        <v>0</v>
      </c>
      <c r="AR194" s="10">
        <f t="shared" ref="AR194:AR257" si="186">SUM(AJ194:AL194)</f>
        <v>0</v>
      </c>
      <c r="AS194" s="10">
        <f t="shared" ref="AS194:AS257" si="187">SUM(AM194:AO194)</f>
        <v>0</v>
      </c>
      <c r="AT194" s="10" t="b">
        <f t="shared" ref="AT194:AT257" si="188">SUM(AD194:AO194)=SUM(AP194:AS194)</f>
        <v>1</v>
      </c>
      <c r="AU194" s="10">
        <f t="shared" si="164"/>
        <v>0</v>
      </c>
      <c r="AV194" s="10">
        <f t="shared" si="165"/>
        <v>0</v>
      </c>
      <c r="AW194" s="10">
        <f t="shared" si="166"/>
        <v>0</v>
      </c>
      <c r="AX194" s="10">
        <f t="shared" si="167"/>
        <v>0</v>
      </c>
      <c r="AY194" s="10">
        <f t="shared" ref="AY194:AY257" si="189">SUM(AU194:AX194)</f>
        <v>0</v>
      </c>
      <c r="AZ194" s="19">
        <f>IFERROR(IF($E194="REC",INDEX(A_Type_Volume!$B:$B,MATCH($D194,A_Type_Volume!$A:$A,0),1),IF($E194="VAM",INDEX(C_Type_Volume!$B:$B,MATCH($D194,C_Type_Volume!$A:$A,0),1),"X")),"")</f>
        <v>0</v>
      </c>
      <c r="BA194" s="19">
        <f>IFERROR(IF($E194="REC",INDEX(A_Type_Volume!$C:$C,MATCH($D194,A_Type_Volume!$A:$A,0),1),IF($E194="VAM",INDEX(C_Type_Volume!$C:$C,MATCH($D194,C_Type_Volume!$A:$A,0),1),"X")),"")</f>
        <v>0</v>
      </c>
      <c r="BB194" s="19">
        <f>IFERROR(IF($E194="REC",INDEX(A_Type_Volume!$D:$D,MATCH($D194,A_Type_Volume!$A:$A,0),1),IF($E194="VAM",INDEX(C_Type_Volume!$D:$D,MATCH($D194,C_Type_Volume!$A:$A,0),1),"X")),"")</f>
        <v>0</v>
      </c>
      <c r="BC194" s="19">
        <f>IFERROR(IF($E194="REC",INDEX(A_Type_Volume!$E:$E,MATCH($D194,A_Type_Volume!$A:$A,0),1),IF($E194="VAM",INDEX(C_Type_Volume!$E:$E,MATCH($D194,C_Type_Volume!$A:$A,0),1),"X")),"")</f>
        <v>0</v>
      </c>
      <c r="BD194" s="19">
        <f>IFERROR(IF($E194="REC",INDEX(A_Type_Volume!$F:$F,MATCH($D194,A_Type_Volume!$A:$A,0),1),IF($E194="VAM",INDEX(C_Type_Volume!$F:$F,MATCH($D194,C_Type_Volume!$A:$A,0),1),"X")),"")</f>
        <v>0</v>
      </c>
      <c r="BE194" s="19">
        <f>IFERROR(IF($E194="REC",INDEX(A_Type_Volume!$G:$G,MATCH($D194,A_Type_Volume!$A:$A,0),1),IF($E194="VAM",INDEX(C_Type_Volume!$G:$G,MATCH($D194,C_Type_Volume!$A:$A,0),1),"X")),"")</f>
        <v>0</v>
      </c>
      <c r="BF194" s="19">
        <f>IFERROR(IF($E194="REC",INDEX(A_Type_Volume!$H:$H,MATCH($D194,A_Type_Volume!$A:$A,0),1),IF($E194="VAM",INDEX(C_Type_Volume!$H:$H,MATCH($D194,C_Type_Volume!$A:$A,0),1),"X")),"")</f>
        <v>0</v>
      </c>
      <c r="BG194" s="19">
        <f>IFERROR(IF($E194="REC",INDEX(A_Type_Volume!$I:$I,MATCH($D194,A_Type_Volume!$A:$A,0),1),IF($E194="VAM",INDEX(C_Type_Volume!$I:$I,MATCH($D194,C_Type_Volume!$A:$A,0),1),"X")),"")</f>
        <v>0</v>
      </c>
      <c r="BH194" s="19">
        <f>IFERROR(IF($E194="REC",INDEX(A_Type_Volume!$J:$J,MATCH($D194,A_Type_Volume!$A:$A,0),1),IF($E194="VAM",INDEX(C_Type_Volume!$J:$J,MATCH($D194,C_Type_Volume!$A:$A,0),1),"X")),"")</f>
        <v>0</v>
      </c>
      <c r="BI194" s="19">
        <f>IFERROR(IF($E194="REC",INDEX(A_Type_Volume!$K:$K,MATCH($D194,A_Type_Volume!$A:$A,0),1),IF($E194="VAM",INDEX(C_Type_Volume!$K:$K,MATCH($D194,C_Type_Volume!$A:$A,0),1),"X")),"")</f>
        <v>0</v>
      </c>
      <c r="BJ194" s="19">
        <f>IFERROR(IF($E194="REC",INDEX(A_Type_Volume!$L:$L,MATCH($D194,A_Type_Volume!$A:$A,0),1),IF($E194="VAM",INDEX(C_Type_Volume!$L:$L,MATCH($D194,C_Type_Volume!$A:$A,0),1),"X")),"")</f>
        <v>0</v>
      </c>
      <c r="BK194" s="19">
        <f>IFERROR(IF($E194="REC",INDEX(A_Type_Volume!M:M,MATCH($D194,A_Type_Volume!$A:$A,0),1),IF($E194="VAM",INDEX(C_Type_Volume!M:M,MATCH($D194,C_Type_Volume!$A:$A,0),1),"X")),"")</f>
        <v>0</v>
      </c>
      <c r="BL194" s="38">
        <f>SUM(Table1[[#This Row],[Jan_AVF]:[Dec_AVF]])</f>
        <v>0</v>
      </c>
      <c r="BM194" s="16">
        <f t="shared" ref="BM194:BM257" si="190">AZ194*$O194</f>
        <v>0</v>
      </c>
      <c r="BN194" s="16">
        <f t="shared" ref="BN194:BN257" si="191">BA194*$O194</f>
        <v>0</v>
      </c>
      <c r="BO194" s="16">
        <f t="shared" ref="BO194:BO257" si="192">BB194*$O194</f>
        <v>0</v>
      </c>
      <c r="BP194" s="16">
        <f t="shared" ref="BP194:BP257" si="193">BC194*$O194</f>
        <v>0</v>
      </c>
      <c r="BQ194" s="16">
        <f t="shared" ref="BQ194:BQ257" si="194">BD194*$O194</f>
        <v>0</v>
      </c>
      <c r="BR194" s="16">
        <f t="shared" ref="BR194:BR257" si="195">BE194*$O194</f>
        <v>0</v>
      </c>
      <c r="BS194" s="16">
        <f t="shared" ref="BS194:BS257" si="196">BF194*$O194</f>
        <v>0</v>
      </c>
      <c r="BT194" s="16">
        <f t="shared" ref="BT194:BT257" si="197">BG194*$O194</f>
        <v>0</v>
      </c>
      <c r="BU194" s="16">
        <f t="shared" ref="BU194:BU257" si="198">BH194*$O194</f>
        <v>0</v>
      </c>
      <c r="BV194" s="16">
        <f t="shared" ref="BV194:BV257" si="199">BI194*$O194</f>
        <v>0</v>
      </c>
      <c r="BW194" s="16">
        <f t="shared" ref="BW194:BW257" si="200">BJ194*$O194</f>
        <v>0</v>
      </c>
      <c r="BX194" s="16">
        <f t="shared" ref="BX194:BX257" si="201">BK194*$O194</f>
        <v>0</v>
      </c>
      <c r="BY194" s="10">
        <f t="shared" si="168"/>
        <v>0</v>
      </c>
      <c r="BZ194" s="10">
        <f t="shared" si="169"/>
        <v>0</v>
      </c>
      <c r="CA194" s="10">
        <f t="shared" si="170"/>
        <v>0</v>
      </c>
      <c r="CB194" s="10">
        <f t="shared" si="171"/>
        <v>0</v>
      </c>
      <c r="CC194" s="10">
        <f>IFERROR(Table1[[#This Row],[Labor
Saving]]*Table1[[#This Row],[Annual Volume]],"")</f>
        <v>0</v>
      </c>
      <c r="CD194" s="10">
        <f>IFERROR(Table1[[#This Row],[Annual Volume]]*Table1[[#This Row],[Yield
Saving]],"")</f>
        <v>0</v>
      </c>
      <c r="CE194" s="10">
        <f>IFERROR(Table1[[#This Row],[Annual Volume]]*Table1[[#This Row],[Material
Saving]],"")</f>
        <v>0</v>
      </c>
      <c r="CF194" s="10">
        <f>IFERROR(Table1[[#This Row],[OH
Saving]]*Table1[[#This Row],[Annual Volume]],"")</f>
        <v>0</v>
      </c>
      <c r="CG194" s="10">
        <f>SUM(Table1[[#This Row],[Labor_ASV]:[OH_ASV]])</f>
        <v>0</v>
      </c>
    </row>
    <row r="195" spans="1:85" x14ac:dyDescent="0.3">
      <c r="A195" t="str">
        <f>Table1[[#This Row],[Project Name]]&amp;Table1[[#This Row],[Part Number]]</f>
        <v>Plasma Etching AuR21</v>
      </c>
      <c r="B195" t="str">
        <f>IFERROR(Table1[[#This Row],[Project Number]]&amp;Table1[[#This Row],[Part Number]],"")</f>
        <v>AME25-080R21</v>
      </c>
      <c r="C195" s="22" t="s">
        <v>127</v>
      </c>
      <c r="D195" s="24" t="s">
        <v>259</v>
      </c>
      <c r="E195" s="25" t="s">
        <v>58</v>
      </c>
      <c r="F195" s="6">
        <f>INDEX(Proj_Reg!G:G,MATCH($C195,Proj_Reg!$B:$B,0),1)</f>
        <v>46235</v>
      </c>
      <c r="G195" s="6">
        <f>INDEX(Proj_Reg!H:H,MATCH($C195,Proj_Reg!$B:$B,0),1)</f>
        <v>46569</v>
      </c>
      <c r="H195" s="6" t="str">
        <f>IF(INDEX(Proj_Reg!C:C,MATCH($C195,Proj_Reg!$B:$B,0),1)=0,"",INDEX(Proj_Reg!C:C,MATCH($C195,Proj_Reg!$B:$B,0),1))</f>
        <v>Wet Etching</v>
      </c>
      <c r="I195" s="6" t="str">
        <f>IF(INDEX(Proj_Reg!D:D,MATCH($C195,Proj_Reg!$B:$B,0),1)=0,"",INDEX(Proj_Reg!D:D,MATCH($C195,Proj_Reg!$B:$B,0),1))</f>
        <v>XWP</v>
      </c>
      <c r="J195" s="6" t="str">
        <f>INDEX(Proj_Reg!E:E,MATCH($C195,Proj_Reg!$B:$B,0),1)</f>
        <v>Plasma Etching Au</v>
      </c>
      <c r="K195" s="21">
        <v>1.9334399999999998E-3</v>
      </c>
      <c r="L195" s="21">
        <v>0</v>
      </c>
      <c r="M195" s="21">
        <v>0</v>
      </c>
      <c r="N195" s="21">
        <v>0</v>
      </c>
      <c r="O195" s="11">
        <f>SUM(Table1[[#This Row],[Labor
Saving]:[OH
Saving]])</f>
        <v>1.9334399999999998E-3</v>
      </c>
      <c r="Q195" s="40">
        <f t="shared" si="152"/>
        <v>0</v>
      </c>
      <c r="R195" s="40">
        <f t="shared" si="153"/>
        <v>0</v>
      </c>
      <c r="S195" s="40">
        <f t="shared" si="154"/>
        <v>0</v>
      </c>
      <c r="T195" s="40">
        <f t="shared" si="155"/>
        <v>0</v>
      </c>
      <c r="U195" s="40">
        <f t="shared" si="156"/>
        <v>0</v>
      </c>
      <c r="V195" s="40">
        <f t="shared" si="157"/>
        <v>0</v>
      </c>
      <c r="W195" s="40">
        <f t="shared" si="158"/>
        <v>0</v>
      </c>
      <c r="X195" s="40">
        <f t="shared" si="159"/>
        <v>174436.8</v>
      </c>
      <c r="Y195" s="40">
        <f t="shared" si="160"/>
        <v>499550</v>
      </c>
      <c r="Z195" s="40">
        <f t="shared" si="161"/>
        <v>452946</v>
      </c>
      <c r="AA195" s="40">
        <f t="shared" si="162"/>
        <v>607639</v>
      </c>
      <c r="AB195" s="40">
        <f t="shared" si="163"/>
        <v>238939</v>
      </c>
      <c r="AC195" s="37">
        <f>SUM(Table1[[#This Row],[Jan]:[Dec]])</f>
        <v>1973510.8</v>
      </c>
      <c r="AD195" s="15">
        <f t="shared" si="172"/>
        <v>0</v>
      </c>
      <c r="AE195" s="15">
        <f t="shared" si="173"/>
        <v>0</v>
      </c>
      <c r="AF195" s="15">
        <f t="shared" si="174"/>
        <v>0</v>
      </c>
      <c r="AG195" s="15">
        <f t="shared" si="175"/>
        <v>0</v>
      </c>
      <c r="AH195" s="15">
        <f t="shared" si="176"/>
        <v>0</v>
      </c>
      <c r="AI195" s="15">
        <f t="shared" si="177"/>
        <v>0</v>
      </c>
      <c r="AJ195" s="15">
        <f t="shared" si="178"/>
        <v>0</v>
      </c>
      <c r="AK195" s="15">
        <f t="shared" si="179"/>
        <v>337.26308659199992</v>
      </c>
      <c r="AL195" s="15">
        <f t="shared" si="180"/>
        <v>965.84995199999992</v>
      </c>
      <c r="AM195" s="15">
        <f t="shared" si="181"/>
        <v>875.74391423999987</v>
      </c>
      <c r="AN195" s="15">
        <f t="shared" si="182"/>
        <v>1174.83354816</v>
      </c>
      <c r="AO195" s="15">
        <f t="shared" si="183"/>
        <v>461.97422015999996</v>
      </c>
      <c r="AP195" s="10">
        <f t="shared" si="184"/>
        <v>0</v>
      </c>
      <c r="AQ195" s="10">
        <f t="shared" si="185"/>
        <v>0</v>
      </c>
      <c r="AR195" s="10">
        <f t="shared" si="186"/>
        <v>1303.1130385919998</v>
      </c>
      <c r="AS195" s="10">
        <f t="shared" si="187"/>
        <v>2512.5516825599998</v>
      </c>
      <c r="AT195" s="10" t="b">
        <f t="shared" si="188"/>
        <v>1</v>
      </c>
      <c r="AU195" s="10">
        <f t="shared" si="164"/>
        <v>3815.6647211519999</v>
      </c>
      <c r="AV195" s="10">
        <f t="shared" si="165"/>
        <v>0</v>
      </c>
      <c r="AW195" s="10">
        <f t="shared" si="166"/>
        <v>0</v>
      </c>
      <c r="AX195" s="10">
        <f t="shared" si="167"/>
        <v>0</v>
      </c>
      <c r="AY195" s="10">
        <f t="shared" si="189"/>
        <v>3815.6647211519999</v>
      </c>
      <c r="AZ195" s="19">
        <f>IFERROR(IF($E195="REC",INDEX(A_Type_Volume!$B:$B,MATCH($D195,A_Type_Volume!$A:$A,0),1),IF($E195="VAM",INDEX(C_Type_Volume!$B:$B,MATCH($D195,C_Type_Volume!$A:$A,0),1),"X")),"")</f>
        <v>432229</v>
      </c>
      <c r="BA195" s="19">
        <f>IFERROR(IF($E195="REC",INDEX(A_Type_Volume!$C:$C,MATCH($D195,A_Type_Volume!$A:$A,0),1),IF($E195="VAM",INDEX(C_Type_Volume!$C:$C,MATCH($D195,C_Type_Volume!$A:$A,0),1),"X")),"")</f>
        <v>537886</v>
      </c>
      <c r="BB195" s="19">
        <f>IFERROR(IF($E195="REC",INDEX(A_Type_Volume!$D:$D,MATCH($D195,A_Type_Volume!$A:$A,0),1),IF($E195="VAM",INDEX(C_Type_Volume!$D:$D,MATCH($D195,C_Type_Volume!$A:$A,0),1),"X")),"")</f>
        <v>519202</v>
      </c>
      <c r="BC195" s="19">
        <f>IFERROR(IF($E195="REC",INDEX(A_Type_Volume!$E:$E,MATCH($D195,A_Type_Volume!$A:$A,0),1),IF($E195="VAM",INDEX(C_Type_Volume!$E:$E,MATCH($D195,C_Type_Volume!$A:$A,0),1),"X")),"")</f>
        <v>287507</v>
      </c>
      <c r="BD195" s="19">
        <f>IFERROR(IF($E195="REC",INDEX(A_Type_Volume!$F:$F,MATCH($D195,A_Type_Volume!$A:$A,0),1),IF($E195="VAM",INDEX(C_Type_Volume!$F:$F,MATCH($D195,C_Type_Volume!$A:$A,0),1),"X")),"")</f>
        <v>478075</v>
      </c>
      <c r="BE195" s="19">
        <f>IFERROR(IF($E195="REC",INDEX(A_Type_Volume!$G:$G,MATCH($D195,A_Type_Volume!$A:$A,0),1),IF($E195="VAM",INDEX(C_Type_Volume!$G:$G,MATCH($D195,C_Type_Volume!$A:$A,0),1),"X")),"")</f>
        <v>778030</v>
      </c>
      <c r="BF195" s="19">
        <f>IFERROR(IF($E195="REC",INDEX(A_Type_Volume!$H:$H,MATCH($D195,A_Type_Volume!$A:$A,0),1),IF($E195="VAM",INDEX(C_Type_Volume!$H:$H,MATCH($D195,C_Type_Volume!$A:$A,0),1),"X")),"")</f>
        <v>515118</v>
      </c>
      <c r="BG195" s="19">
        <f>IFERROR(IF($E195="REC",INDEX(A_Type_Volume!$I:$I,MATCH($D195,A_Type_Volume!$A:$A,0),1),IF($E195="VAM",INDEX(C_Type_Volume!$I:$I,MATCH($D195,C_Type_Volume!$A:$A,0),1),"X")),"")</f>
        <v>581456</v>
      </c>
      <c r="BH195" s="19">
        <f>IFERROR(IF($E195="REC",INDEX(A_Type_Volume!$J:$J,MATCH($D195,A_Type_Volume!$A:$A,0),1),IF($E195="VAM",INDEX(C_Type_Volume!$J:$J,MATCH($D195,C_Type_Volume!$A:$A,0),1),"X")),"")</f>
        <v>499550</v>
      </c>
      <c r="BI195" s="19">
        <f>IFERROR(IF($E195="REC",INDEX(A_Type_Volume!$K:$K,MATCH($D195,A_Type_Volume!$A:$A,0),1),IF($E195="VAM",INDEX(C_Type_Volume!$K:$K,MATCH($D195,C_Type_Volume!$A:$A,0),1),"X")),"")</f>
        <v>452946</v>
      </c>
      <c r="BJ195" s="19">
        <f>IFERROR(IF($E195="REC",INDEX(A_Type_Volume!$L:$L,MATCH($D195,A_Type_Volume!$A:$A,0),1),IF($E195="VAM",INDEX(C_Type_Volume!$L:$L,MATCH($D195,C_Type_Volume!$A:$A,0),1),"X")),"")</f>
        <v>607639</v>
      </c>
      <c r="BK195" s="19">
        <f>IFERROR(IF($E195="REC",INDEX(A_Type_Volume!M:M,MATCH($D195,A_Type_Volume!$A:$A,0),1),IF($E195="VAM",INDEX(C_Type_Volume!M:M,MATCH($D195,C_Type_Volume!$A:$A,0),1),"X")),"")</f>
        <v>238939</v>
      </c>
      <c r="BL195" s="38">
        <f>SUM(Table1[[#This Row],[Jan_AVF]:[Dec_AVF]])</f>
        <v>5928577</v>
      </c>
      <c r="BM195" s="16">
        <f t="shared" si="190"/>
        <v>835.68883775999996</v>
      </c>
      <c r="BN195" s="16">
        <f t="shared" si="191"/>
        <v>1039.9703078399998</v>
      </c>
      <c r="BO195" s="16">
        <f t="shared" si="192"/>
        <v>1003.8459148799999</v>
      </c>
      <c r="BP195" s="16">
        <f t="shared" si="193"/>
        <v>555.87753407999992</v>
      </c>
      <c r="BQ195" s="16">
        <f t="shared" si="194"/>
        <v>924.32932799999992</v>
      </c>
      <c r="BR195" s="16">
        <f t="shared" si="195"/>
        <v>1504.2743231999998</v>
      </c>
      <c r="BS195" s="16">
        <f t="shared" si="196"/>
        <v>995.94974591999994</v>
      </c>
      <c r="BT195" s="16">
        <f t="shared" si="197"/>
        <v>1124.2102886399998</v>
      </c>
      <c r="BU195" s="16">
        <f t="shared" si="198"/>
        <v>965.84995199999992</v>
      </c>
      <c r="BV195" s="16">
        <f t="shared" si="199"/>
        <v>875.74391423999987</v>
      </c>
      <c r="BW195" s="16">
        <f t="shared" si="200"/>
        <v>1174.83354816</v>
      </c>
      <c r="BX195" s="16">
        <f t="shared" si="201"/>
        <v>461.97422015999996</v>
      </c>
      <c r="BY195" s="10">
        <f t="shared" si="168"/>
        <v>2879.5050604799994</v>
      </c>
      <c r="BZ195" s="10">
        <f t="shared" si="169"/>
        <v>2984.4811852799994</v>
      </c>
      <c r="CA195" s="10">
        <f t="shared" si="170"/>
        <v>3086.00998656</v>
      </c>
      <c r="CB195" s="10">
        <f t="shared" si="171"/>
        <v>2512.5516825599998</v>
      </c>
      <c r="CC195" s="10">
        <f>IFERROR(Table1[[#This Row],[Labor
Saving]]*Table1[[#This Row],[Annual Volume]],"")</f>
        <v>11462.547914879999</v>
      </c>
      <c r="CD195" s="10">
        <f>IFERROR(Table1[[#This Row],[Annual Volume]]*Table1[[#This Row],[Yield
Saving]],"")</f>
        <v>0</v>
      </c>
      <c r="CE195" s="10">
        <f>IFERROR(Table1[[#This Row],[Annual Volume]]*Table1[[#This Row],[Material
Saving]],"")</f>
        <v>0</v>
      </c>
      <c r="CF195" s="10">
        <f>IFERROR(Table1[[#This Row],[OH
Saving]]*Table1[[#This Row],[Annual Volume]],"")</f>
        <v>0</v>
      </c>
      <c r="CG195" s="10">
        <f>SUM(Table1[[#This Row],[Labor_ASV]:[OH_ASV]])</f>
        <v>11462.547914879999</v>
      </c>
    </row>
    <row r="196" spans="1:85" x14ac:dyDescent="0.3">
      <c r="A196" t="str">
        <f>Table1[[#This Row],[Project Name]]&amp;Table1[[#This Row],[Part Number]]</f>
        <v>Plasma Dry Etching TiWR78</v>
      </c>
      <c r="B196" t="str">
        <f>IFERROR(Table1[[#This Row],[Project Number]]&amp;Table1[[#This Row],[Part Number]],"")</f>
        <v>AME25-081R78</v>
      </c>
      <c r="C196" s="22" t="s">
        <v>128</v>
      </c>
      <c r="D196" s="24" t="s">
        <v>316</v>
      </c>
      <c r="E196" s="25" t="s">
        <v>58</v>
      </c>
      <c r="F196" s="6">
        <f>INDEX(Proj_Reg!G:G,MATCH($C196,Proj_Reg!$B:$B,0),1)</f>
        <v>46296</v>
      </c>
      <c r="G196" s="6">
        <f>INDEX(Proj_Reg!H:H,MATCH($C196,Proj_Reg!$B:$B,0),1)</f>
        <v>46631</v>
      </c>
      <c r="H196" s="6" t="str">
        <f>IF(INDEX(Proj_Reg!C:C,MATCH($C196,Proj_Reg!$B:$B,0),1)=0,"",INDEX(Proj_Reg!C:C,MATCH($C196,Proj_Reg!$B:$B,0),1))</f>
        <v>Wet Etching</v>
      </c>
      <c r="I196" s="6" t="str">
        <f>IF(INDEX(Proj_Reg!D:D,MATCH($C196,Proj_Reg!$B:$B,0),1)=0,"",INDEX(Proj_Reg!D:D,MATCH($C196,Proj_Reg!$B:$B,0),1))</f>
        <v>XWP</v>
      </c>
      <c r="J196" s="6" t="str">
        <f>INDEX(Proj_Reg!E:E,MATCH($C196,Proj_Reg!$B:$B,0),1)</f>
        <v>Plasma Dry Etching TiW</v>
      </c>
      <c r="K196" s="21">
        <v>1.9334399999999998E-3</v>
      </c>
      <c r="L196" s="21">
        <v>0</v>
      </c>
      <c r="M196" s="21">
        <v>0</v>
      </c>
      <c r="N196" s="21">
        <v>0</v>
      </c>
      <c r="O196" s="11">
        <f>SUM(Table1[[#This Row],[Labor
Saving]:[OH
Saving]])</f>
        <v>1.9334399999999998E-3</v>
      </c>
      <c r="Q196" s="40">
        <f t="shared" si="152"/>
        <v>0</v>
      </c>
      <c r="R196" s="40">
        <f t="shared" si="153"/>
        <v>0</v>
      </c>
      <c r="S196" s="40">
        <f t="shared" si="154"/>
        <v>0</v>
      </c>
      <c r="T196" s="40">
        <f t="shared" si="155"/>
        <v>0</v>
      </c>
      <c r="U196" s="40">
        <f t="shared" si="156"/>
        <v>0</v>
      </c>
      <c r="V196" s="40">
        <f t="shared" si="157"/>
        <v>0</v>
      </c>
      <c r="W196" s="40">
        <f t="shared" si="158"/>
        <v>0</v>
      </c>
      <c r="X196" s="40">
        <f t="shared" si="159"/>
        <v>0</v>
      </c>
      <c r="Y196" s="40">
        <f t="shared" si="160"/>
        <v>0</v>
      </c>
      <c r="Z196" s="40">
        <f t="shared" si="161"/>
        <v>10118.4</v>
      </c>
      <c r="AA196" s="40">
        <f t="shared" si="162"/>
        <v>34999</v>
      </c>
      <c r="AB196" s="40">
        <f t="shared" si="163"/>
        <v>27701</v>
      </c>
      <c r="AC196" s="37">
        <f>SUM(Table1[[#This Row],[Jan]:[Dec]])</f>
        <v>72818.399999999994</v>
      </c>
      <c r="AD196" s="15">
        <f t="shared" si="172"/>
        <v>0</v>
      </c>
      <c r="AE196" s="15">
        <f t="shared" si="173"/>
        <v>0</v>
      </c>
      <c r="AF196" s="15">
        <f t="shared" si="174"/>
        <v>0</v>
      </c>
      <c r="AG196" s="15">
        <f t="shared" si="175"/>
        <v>0</v>
      </c>
      <c r="AH196" s="15">
        <f t="shared" si="176"/>
        <v>0</v>
      </c>
      <c r="AI196" s="15">
        <f t="shared" si="177"/>
        <v>0</v>
      </c>
      <c r="AJ196" s="15">
        <f t="shared" si="178"/>
        <v>0</v>
      </c>
      <c r="AK196" s="15">
        <f t="shared" si="179"/>
        <v>0</v>
      </c>
      <c r="AL196" s="15">
        <f t="shared" si="180"/>
        <v>0</v>
      </c>
      <c r="AM196" s="15">
        <f t="shared" si="181"/>
        <v>19.563319295999996</v>
      </c>
      <c r="AN196" s="15">
        <f t="shared" si="182"/>
        <v>67.668466559999999</v>
      </c>
      <c r="AO196" s="15">
        <f t="shared" si="183"/>
        <v>53.558221439999997</v>
      </c>
      <c r="AP196" s="10">
        <f t="shared" si="184"/>
        <v>0</v>
      </c>
      <c r="AQ196" s="10">
        <f t="shared" si="185"/>
        <v>0</v>
      </c>
      <c r="AR196" s="10">
        <f t="shared" si="186"/>
        <v>0</v>
      </c>
      <c r="AS196" s="10">
        <f t="shared" si="187"/>
        <v>140.790007296</v>
      </c>
      <c r="AT196" s="10" t="b">
        <f t="shared" si="188"/>
        <v>1</v>
      </c>
      <c r="AU196" s="10">
        <f t="shared" si="164"/>
        <v>140.79000729599997</v>
      </c>
      <c r="AV196" s="10">
        <f t="shared" si="165"/>
        <v>0</v>
      </c>
      <c r="AW196" s="10">
        <f t="shared" si="166"/>
        <v>0</v>
      </c>
      <c r="AX196" s="10">
        <f t="shared" si="167"/>
        <v>0</v>
      </c>
      <c r="AY196" s="10">
        <f t="shared" si="189"/>
        <v>140.79000729599997</v>
      </c>
      <c r="AZ196" s="19">
        <f>IFERROR(IF($E196="REC",INDEX(A_Type_Volume!$B:$B,MATCH($D196,A_Type_Volume!$A:$A,0),1),IF($E196="VAM",INDEX(C_Type_Volume!$B:$B,MATCH($D196,C_Type_Volume!$A:$A,0),1),"X")),"")</f>
        <v>188378</v>
      </c>
      <c r="BA196" s="19">
        <f>IFERROR(IF($E196="REC",INDEX(A_Type_Volume!$C:$C,MATCH($D196,A_Type_Volume!$A:$A,0),1),IF($E196="VAM",INDEX(C_Type_Volume!$C:$C,MATCH($D196,C_Type_Volume!$A:$A,0),1),"X")),"")</f>
        <v>141628</v>
      </c>
      <c r="BB196" s="19">
        <f>IFERROR(IF($E196="REC",INDEX(A_Type_Volume!$D:$D,MATCH($D196,A_Type_Volume!$A:$A,0),1),IF($E196="VAM",INDEX(C_Type_Volume!$D:$D,MATCH($D196,C_Type_Volume!$A:$A,0),1),"X")),"")</f>
        <v>170437</v>
      </c>
      <c r="BC196" s="19">
        <f>IFERROR(IF($E196="REC",INDEX(A_Type_Volume!$E:$E,MATCH($D196,A_Type_Volume!$A:$A,0),1),IF($E196="VAM",INDEX(C_Type_Volume!$E:$E,MATCH($D196,C_Type_Volume!$A:$A,0),1),"X")),"")</f>
        <v>57288</v>
      </c>
      <c r="BD196" s="19">
        <f>IFERROR(IF($E196="REC",INDEX(A_Type_Volume!$F:$F,MATCH($D196,A_Type_Volume!$A:$A,0),1),IF($E196="VAM",INDEX(C_Type_Volume!$F:$F,MATCH($D196,C_Type_Volume!$A:$A,0),1),"X")),"")</f>
        <v>84228</v>
      </c>
      <c r="BE196" s="19">
        <f>IFERROR(IF($E196="REC",INDEX(A_Type_Volume!$G:$G,MATCH($D196,A_Type_Volume!$A:$A,0),1),IF($E196="VAM",INDEX(C_Type_Volume!$G:$G,MATCH($D196,C_Type_Volume!$A:$A,0),1),"X")),"")</f>
        <v>100952</v>
      </c>
      <c r="BF196" s="19">
        <f>IFERROR(IF($E196="REC",INDEX(A_Type_Volume!$H:$H,MATCH($D196,A_Type_Volume!$A:$A,0),1),IF($E196="VAM",INDEX(C_Type_Volume!$H:$H,MATCH($D196,C_Type_Volume!$A:$A,0),1),"X")),"")</f>
        <v>45861</v>
      </c>
      <c r="BG196" s="19">
        <f>IFERROR(IF($E196="REC",INDEX(A_Type_Volume!$I:$I,MATCH($D196,A_Type_Volume!$A:$A,0),1),IF($E196="VAM",INDEX(C_Type_Volume!$I:$I,MATCH($D196,C_Type_Volume!$A:$A,0),1),"X")),"")</f>
        <v>36456</v>
      </c>
      <c r="BH196" s="19">
        <f>IFERROR(IF($E196="REC",INDEX(A_Type_Volume!$J:$J,MATCH($D196,A_Type_Volume!$A:$A,0),1),IF($E196="VAM",INDEX(C_Type_Volume!$J:$J,MATCH($D196,C_Type_Volume!$A:$A,0),1),"X")),"")</f>
        <v>38574</v>
      </c>
      <c r="BI196" s="19">
        <f>IFERROR(IF($E196="REC",INDEX(A_Type_Volume!$K:$K,MATCH($D196,A_Type_Volume!$A:$A,0),1),IF($E196="VAM",INDEX(C_Type_Volume!$K:$K,MATCH($D196,C_Type_Volume!$A:$A,0),1),"X")),"")</f>
        <v>33728</v>
      </c>
      <c r="BJ196" s="19">
        <f>IFERROR(IF($E196="REC",INDEX(A_Type_Volume!$L:$L,MATCH($D196,A_Type_Volume!$A:$A,0),1),IF($E196="VAM",INDEX(C_Type_Volume!$L:$L,MATCH($D196,C_Type_Volume!$A:$A,0),1),"X")),"")</f>
        <v>34999</v>
      </c>
      <c r="BK196" s="19">
        <f>IFERROR(IF($E196="REC",INDEX(A_Type_Volume!M:M,MATCH($D196,A_Type_Volume!$A:$A,0),1),IF($E196="VAM",INDEX(C_Type_Volume!M:M,MATCH($D196,C_Type_Volume!$A:$A,0),1),"X")),"")</f>
        <v>27701</v>
      </c>
      <c r="BL196" s="38">
        <f>SUM(Table1[[#This Row],[Jan_AVF]:[Dec_AVF]])</f>
        <v>960230</v>
      </c>
      <c r="BM196" s="16">
        <f t="shared" si="190"/>
        <v>364.21756031999996</v>
      </c>
      <c r="BN196" s="16">
        <f t="shared" si="191"/>
        <v>273.82924032</v>
      </c>
      <c r="BO196" s="16">
        <f t="shared" si="192"/>
        <v>329.52971327999995</v>
      </c>
      <c r="BP196" s="16">
        <f t="shared" si="193"/>
        <v>110.76291071999999</v>
      </c>
      <c r="BQ196" s="16">
        <f t="shared" si="194"/>
        <v>162.84978432</v>
      </c>
      <c r="BR196" s="16">
        <f t="shared" si="195"/>
        <v>195.18463487999998</v>
      </c>
      <c r="BS196" s="16">
        <f t="shared" si="196"/>
        <v>88.669491839999992</v>
      </c>
      <c r="BT196" s="16">
        <f t="shared" si="197"/>
        <v>70.48548864</v>
      </c>
      <c r="BU196" s="16">
        <f t="shared" si="198"/>
        <v>74.580514559999997</v>
      </c>
      <c r="BV196" s="16">
        <f t="shared" si="199"/>
        <v>65.211064319999991</v>
      </c>
      <c r="BW196" s="16">
        <f t="shared" si="200"/>
        <v>67.668466559999999</v>
      </c>
      <c r="BX196" s="16">
        <f t="shared" si="201"/>
        <v>53.558221439999997</v>
      </c>
      <c r="BY196" s="10">
        <f t="shared" si="168"/>
        <v>967.5765139199998</v>
      </c>
      <c r="BZ196" s="10">
        <f t="shared" si="169"/>
        <v>468.79732991999998</v>
      </c>
      <c r="CA196" s="10">
        <f t="shared" si="170"/>
        <v>233.73549503999999</v>
      </c>
      <c r="CB196" s="10">
        <f t="shared" si="171"/>
        <v>186.43775232000002</v>
      </c>
      <c r="CC196" s="10">
        <f>IFERROR(Table1[[#This Row],[Labor
Saving]]*Table1[[#This Row],[Annual Volume]],"")</f>
        <v>1856.5470911999998</v>
      </c>
      <c r="CD196" s="10">
        <f>IFERROR(Table1[[#This Row],[Annual Volume]]*Table1[[#This Row],[Yield
Saving]],"")</f>
        <v>0</v>
      </c>
      <c r="CE196" s="10">
        <f>IFERROR(Table1[[#This Row],[Annual Volume]]*Table1[[#This Row],[Material
Saving]],"")</f>
        <v>0</v>
      </c>
      <c r="CF196" s="10">
        <f>IFERROR(Table1[[#This Row],[OH
Saving]]*Table1[[#This Row],[Annual Volume]],"")</f>
        <v>0</v>
      </c>
      <c r="CG196" s="10">
        <f>SUM(Table1[[#This Row],[Labor_ASV]:[OH_ASV]])</f>
        <v>1856.5470911999998</v>
      </c>
    </row>
    <row r="197" spans="1:85" x14ac:dyDescent="0.3">
      <c r="A197" t="str">
        <f>Table1[[#This Row],[Project Name]]&amp;Table1[[#This Row],[Part Number]]</f>
        <v>Plasma Dry Etching PtR79</v>
      </c>
      <c r="B197" t="str">
        <f>IFERROR(Table1[[#This Row],[Project Number]]&amp;Table1[[#This Row],[Part Number]],"")</f>
        <v>AME25-082R79</v>
      </c>
      <c r="C197" s="22" t="s">
        <v>129</v>
      </c>
      <c r="D197" s="24" t="s">
        <v>317</v>
      </c>
      <c r="E197" s="25" t="s">
        <v>58</v>
      </c>
      <c r="F197" s="6">
        <f>INDEX(Proj_Reg!G:G,MATCH($C197,Proj_Reg!$B:$B,0),1)</f>
        <v>46327</v>
      </c>
      <c r="G197" s="6">
        <f>INDEX(Proj_Reg!H:H,MATCH($C197,Proj_Reg!$B:$B,0),1)</f>
        <v>46661</v>
      </c>
      <c r="H197" s="6" t="str">
        <f>IF(INDEX(Proj_Reg!C:C,MATCH($C197,Proj_Reg!$B:$B,0),1)=0,"",INDEX(Proj_Reg!C:C,MATCH($C197,Proj_Reg!$B:$B,0),1))</f>
        <v>Wet Etching</v>
      </c>
      <c r="I197" s="6" t="str">
        <f>IF(INDEX(Proj_Reg!D:D,MATCH($C197,Proj_Reg!$B:$B,0),1)=0,"",INDEX(Proj_Reg!D:D,MATCH($C197,Proj_Reg!$B:$B,0),1))</f>
        <v>XWP</v>
      </c>
      <c r="J197" s="6" t="str">
        <f>INDEX(Proj_Reg!E:E,MATCH($C197,Proj_Reg!$B:$B,0),1)</f>
        <v>Plasma Dry Etching Pt</v>
      </c>
      <c r="K197" s="21">
        <v>1.9334399999999998E-3</v>
      </c>
      <c r="L197" s="21">
        <v>0</v>
      </c>
      <c r="M197" s="21">
        <v>0</v>
      </c>
      <c r="N197" s="21">
        <v>0</v>
      </c>
      <c r="O197" s="11">
        <f>SUM(Table1[[#This Row],[Labor
Saving]:[OH
Saving]])</f>
        <v>1.9334399999999998E-3</v>
      </c>
      <c r="Q197" s="40">
        <f t="shared" si="152"/>
        <v>0</v>
      </c>
      <c r="R197" s="40">
        <f t="shared" si="153"/>
        <v>0</v>
      </c>
      <c r="S197" s="40">
        <f t="shared" si="154"/>
        <v>0</v>
      </c>
      <c r="T197" s="40">
        <f t="shared" si="155"/>
        <v>0</v>
      </c>
      <c r="U197" s="40">
        <f t="shared" si="156"/>
        <v>0</v>
      </c>
      <c r="V197" s="40">
        <f t="shared" si="157"/>
        <v>0</v>
      </c>
      <c r="W197" s="40">
        <f t="shared" si="158"/>
        <v>0</v>
      </c>
      <c r="X197" s="40">
        <f t="shared" si="159"/>
        <v>0</v>
      </c>
      <c r="Y197" s="40">
        <f t="shared" si="160"/>
        <v>0</v>
      </c>
      <c r="Z197" s="40">
        <f t="shared" si="161"/>
        <v>0</v>
      </c>
      <c r="AA197" s="40">
        <f t="shared" si="162"/>
        <v>1098771</v>
      </c>
      <c r="AB197" s="40">
        <f t="shared" si="163"/>
        <v>3300021</v>
      </c>
      <c r="AC197" s="37">
        <f>SUM(Table1[[#This Row],[Jan]:[Dec]])</f>
        <v>4398792</v>
      </c>
      <c r="AD197" s="15">
        <f t="shared" si="172"/>
        <v>0</v>
      </c>
      <c r="AE197" s="15">
        <f t="shared" si="173"/>
        <v>0</v>
      </c>
      <c r="AF197" s="15">
        <f t="shared" si="174"/>
        <v>0</v>
      </c>
      <c r="AG197" s="15">
        <f t="shared" si="175"/>
        <v>0</v>
      </c>
      <c r="AH197" s="15">
        <f t="shared" si="176"/>
        <v>0</v>
      </c>
      <c r="AI197" s="15">
        <f t="shared" si="177"/>
        <v>0</v>
      </c>
      <c r="AJ197" s="15">
        <f t="shared" si="178"/>
        <v>0</v>
      </c>
      <c r="AK197" s="15">
        <f t="shared" si="179"/>
        <v>0</v>
      </c>
      <c r="AL197" s="15">
        <f t="shared" si="180"/>
        <v>0</v>
      </c>
      <c r="AM197" s="15">
        <f t="shared" si="181"/>
        <v>0</v>
      </c>
      <c r="AN197" s="15">
        <f t="shared" si="182"/>
        <v>2124.4078022399999</v>
      </c>
      <c r="AO197" s="15">
        <f t="shared" si="183"/>
        <v>6380.3926022399992</v>
      </c>
      <c r="AP197" s="10">
        <f t="shared" si="184"/>
        <v>0</v>
      </c>
      <c r="AQ197" s="10">
        <f t="shared" si="185"/>
        <v>0</v>
      </c>
      <c r="AR197" s="10">
        <f t="shared" si="186"/>
        <v>0</v>
      </c>
      <c r="AS197" s="10">
        <f t="shared" si="187"/>
        <v>8504.80040448</v>
      </c>
      <c r="AT197" s="10" t="b">
        <f t="shared" si="188"/>
        <v>1</v>
      </c>
      <c r="AU197" s="10">
        <f t="shared" si="164"/>
        <v>8504.80040448</v>
      </c>
      <c r="AV197" s="10">
        <f t="shared" si="165"/>
        <v>0</v>
      </c>
      <c r="AW197" s="10">
        <f t="shared" si="166"/>
        <v>0</v>
      </c>
      <c r="AX197" s="10">
        <f t="shared" si="167"/>
        <v>0</v>
      </c>
      <c r="AY197" s="10">
        <f t="shared" si="189"/>
        <v>8504.80040448</v>
      </c>
      <c r="AZ197" s="19">
        <f>IFERROR(IF($E197="REC",INDEX(A_Type_Volume!$B:$B,MATCH($D197,A_Type_Volume!$A:$A,0),1),IF($E197="VAM",INDEX(C_Type_Volume!$B:$B,MATCH($D197,C_Type_Volume!$A:$A,0),1),"X")),"")</f>
        <v>3810172</v>
      </c>
      <c r="BA197" s="19">
        <f>IFERROR(IF($E197="REC",INDEX(A_Type_Volume!$C:$C,MATCH($D197,A_Type_Volume!$A:$A,0),1),IF($E197="VAM",INDEX(C_Type_Volume!$C:$C,MATCH($D197,C_Type_Volume!$A:$A,0),1),"X")),"")</f>
        <v>4040503</v>
      </c>
      <c r="BB197" s="19">
        <f>IFERROR(IF($E197="REC",INDEX(A_Type_Volume!$D:$D,MATCH($D197,A_Type_Volume!$A:$A,0),1),IF($E197="VAM",INDEX(C_Type_Volume!$D:$D,MATCH($D197,C_Type_Volume!$A:$A,0),1),"X")),"")</f>
        <v>3893243</v>
      </c>
      <c r="BC197" s="19">
        <f>IFERROR(IF($E197="REC",INDEX(A_Type_Volume!$E:$E,MATCH($D197,A_Type_Volume!$A:$A,0),1),IF($E197="VAM",INDEX(C_Type_Volume!$E:$E,MATCH($D197,C_Type_Volume!$A:$A,0),1),"X")),"")</f>
        <v>3481523</v>
      </c>
      <c r="BD197" s="19">
        <f>IFERROR(IF($E197="REC",INDEX(A_Type_Volume!$F:$F,MATCH($D197,A_Type_Volume!$A:$A,0),1),IF($E197="VAM",INDEX(C_Type_Volume!$F:$F,MATCH($D197,C_Type_Volume!$A:$A,0),1),"X")),"")</f>
        <v>4808932</v>
      </c>
      <c r="BE197" s="19">
        <f>IFERROR(IF($E197="REC",INDEX(A_Type_Volume!$G:$G,MATCH($D197,A_Type_Volume!$A:$A,0),1),IF($E197="VAM",INDEX(C_Type_Volume!$G:$G,MATCH($D197,C_Type_Volume!$A:$A,0),1),"X")),"")</f>
        <v>4583176</v>
      </c>
      <c r="BF197" s="19">
        <f>IFERROR(IF($E197="REC",INDEX(A_Type_Volume!$H:$H,MATCH($D197,A_Type_Volume!$A:$A,0),1),IF($E197="VAM",INDEX(C_Type_Volume!$H:$H,MATCH($D197,C_Type_Volume!$A:$A,0),1),"X")),"")</f>
        <v>5748041</v>
      </c>
      <c r="BG197" s="19">
        <f>IFERROR(IF($E197="REC",INDEX(A_Type_Volume!$I:$I,MATCH($D197,A_Type_Volume!$A:$A,0),1),IF($E197="VAM",INDEX(C_Type_Volume!$I:$I,MATCH($D197,C_Type_Volume!$A:$A,0),1),"X")),"")</f>
        <v>3708414</v>
      </c>
      <c r="BH197" s="19">
        <f>IFERROR(IF($E197="REC",INDEX(A_Type_Volume!$J:$J,MATCH($D197,A_Type_Volume!$A:$A,0),1),IF($E197="VAM",INDEX(C_Type_Volume!$J:$J,MATCH($D197,C_Type_Volume!$A:$A,0),1),"X")),"")</f>
        <v>4475969</v>
      </c>
      <c r="BI197" s="19">
        <f>IFERROR(IF($E197="REC",INDEX(A_Type_Volume!$K:$K,MATCH($D197,A_Type_Volume!$A:$A,0),1),IF($E197="VAM",INDEX(C_Type_Volume!$K:$K,MATCH($D197,C_Type_Volume!$A:$A,0),1),"X")),"")</f>
        <v>4463502</v>
      </c>
      <c r="BJ197" s="19">
        <f>IFERROR(IF($E197="REC",INDEX(A_Type_Volume!$L:$L,MATCH($D197,A_Type_Volume!$A:$A,0),1),IF($E197="VAM",INDEX(C_Type_Volume!$L:$L,MATCH($D197,C_Type_Volume!$A:$A,0),1),"X")),"")</f>
        <v>3662570</v>
      </c>
      <c r="BK197" s="19">
        <f>IFERROR(IF($E197="REC",INDEX(A_Type_Volume!M:M,MATCH($D197,A_Type_Volume!$A:$A,0),1),IF($E197="VAM",INDEX(C_Type_Volume!M:M,MATCH($D197,C_Type_Volume!$A:$A,0),1),"X")),"")</f>
        <v>3300021</v>
      </c>
      <c r="BL197" s="38">
        <f>SUM(Table1[[#This Row],[Jan_AVF]:[Dec_AVF]])</f>
        <v>49976066</v>
      </c>
      <c r="BM197" s="16">
        <f t="shared" si="190"/>
        <v>7366.7389516799994</v>
      </c>
      <c r="BN197" s="16">
        <f t="shared" si="191"/>
        <v>7812.0701203199997</v>
      </c>
      <c r="BO197" s="16">
        <f t="shared" si="192"/>
        <v>7527.3517459199993</v>
      </c>
      <c r="BP197" s="16">
        <f t="shared" si="193"/>
        <v>6731.3158291199998</v>
      </c>
      <c r="BQ197" s="16">
        <f t="shared" si="194"/>
        <v>9297.781486079999</v>
      </c>
      <c r="BR197" s="16">
        <f t="shared" si="195"/>
        <v>8861.2958054399987</v>
      </c>
      <c r="BS197" s="16">
        <f t="shared" si="196"/>
        <v>11113.492391039999</v>
      </c>
      <c r="BT197" s="16">
        <f t="shared" si="197"/>
        <v>7169.9959641599989</v>
      </c>
      <c r="BU197" s="16">
        <f t="shared" si="198"/>
        <v>8654.017503359999</v>
      </c>
      <c r="BV197" s="16">
        <f t="shared" si="199"/>
        <v>8629.9133068799983</v>
      </c>
      <c r="BW197" s="16">
        <f t="shared" si="200"/>
        <v>7081.3593407999997</v>
      </c>
      <c r="BX197" s="16">
        <f t="shared" si="201"/>
        <v>6380.3926022399992</v>
      </c>
      <c r="BY197" s="10">
        <f t="shared" si="168"/>
        <v>22706.160817919997</v>
      </c>
      <c r="BZ197" s="10">
        <f t="shared" si="169"/>
        <v>24890.393120639998</v>
      </c>
      <c r="CA197" s="10">
        <f t="shared" si="170"/>
        <v>26937.505858559998</v>
      </c>
      <c r="CB197" s="10">
        <f t="shared" si="171"/>
        <v>22091.665249919999</v>
      </c>
      <c r="CC197" s="10">
        <f>IFERROR(Table1[[#This Row],[Labor
Saving]]*Table1[[#This Row],[Annual Volume]],"")</f>
        <v>96625.725047039989</v>
      </c>
      <c r="CD197" s="10">
        <f>IFERROR(Table1[[#This Row],[Annual Volume]]*Table1[[#This Row],[Yield
Saving]],"")</f>
        <v>0</v>
      </c>
      <c r="CE197" s="10">
        <f>IFERROR(Table1[[#This Row],[Annual Volume]]*Table1[[#This Row],[Material
Saving]],"")</f>
        <v>0</v>
      </c>
      <c r="CF197" s="10">
        <f>IFERROR(Table1[[#This Row],[OH
Saving]]*Table1[[#This Row],[Annual Volume]],"")</f>
        <v>0</v>
      </c>
      <c r="CG197" s="10">
        <f>SUM(Table1[[#This Row],[Labor_ASV]:[OH_ASV]])</f>
        <v>96625.725047039989</v>
      </c>
    </row>
    <row r="198" spans="1:85" x14ac:dyDescent="0.3">
      <c r="A198" t="str">
        <f>Table1[[#This Row],[Project Name]]&amp;Table1[[#This Row],[Part Number]]</f>
        <v>New Etching Chemical Nitric AcidR92</v>
      </c>
      <c r="B198" t="str">
        <f>IFERROR(Table1[[#This Row],[Project Number]]&amp;Table1[[#This Row],[Part Number]],"")</f>
        <v>AME25-071R92</v>
      </c>
      <c r="C198" s="22" t="s">
        <v>118</v>
      </c>
      <c r="D198" s="24" t="s">
        <v>330</v>
      </c>
      <c r="E198" s="25" t="s">
        <v>58</v>
      </c>
      <c r="F198" s="6">
        <f>INDEX(Proj_Reg!G:G,MATCH($C198,Proj_Reg!$B:$B,0),1)</f>
        <v>46204</v>
      </c>
      <c r="G198" s="6">
        <f>INDEX(Proj_Reg!H:H,MATCH($C198,Proj_Reg!$B:$B,0),1)</f>
        <v>46539</v>
      </c>
      <c r="H198" s="6" t="str">
        <f>IF(INDEX(Proj_Reg!C:C,MATCH($C198,Proj_Reg!$B:$B,0),1)=0,"",INDEX(Proj_Reg!C:C,MATCH($C198,Proj_Reg!$B:$B,0),1))</f>
        <v>Wet Etching</v>
      </c>
      <c r="I198" s="6" t="str">
        <f>IF(INDEX(Proj_Reg!D:D,MATCH($C198,Proj_Reg!$B:$B,0),1)=0,"",INDEX(Proj_Reg!D:D,MATCH($C198,Proj_Reg!$B:$B,0),1))</f>
        <v>XWP</v>
      </c>
      <c r="J198" s="6" t="str">
        <f>INDEX(Proj_Reg!E:E,MATCH($C198,Proj_Reg!$B:$B,0),1)</f>
        <v>New Etching Chemical Nitric Acid</v>
      </c>
      <c r="K198" s="21">
        <v>1.9334399999999998E-3</v>
      </c>
      <c r="L198" s="21">
        <v>0</v>
      </c>
      <c r="M198" s="21">
        <v>0</v>
      </c>
      <c r="N198" s="21">
        <v>0</v>
      </c>
      <c r="O198" s="11">
        <f>SUM(Table1[[#This Row],[Labor
Saving]:[OH
Saving]])</f>
        <v>1.9334399999999998E-3</v>
      </c>
      <c r="Q198" s="40">
        <f t="shared" si="152"/>
        <v>0</v>
      </c>
      <c r="R198" s="40">
        <f t="shared" si="153"/>
        <v>0</v>
      </c>
      <c r="S198" s="40">
        <f t="shared" si="154"/>
        <v>0</v>
      </c>
      <c r="T198" s="40">
        <f t="shared" si="155"/>
        <v>0</v>
      </c>
      <c r="U198" s="40">
        <f t="shared" si="156"/>
        <v>0</v>
      </c>
      <c r="V198" s="40">
        <f t="shared" si="157"/>
        <v>0</v>
      </c>
      <c r="W198" s="40">
        <f t="shared" si="158"/>
        <v>22343.7</v>
      </c>
      <c r="X198" s="40">
        <f t="shared" si="159"/>
        <v>58273</v>
      </c>
      <c r="Y198" s="40">
        <f t="shared" si="160"/>
        <v>67997</v>
      </c>
      <c r="Z198" s="40">
        <f t="shared" si="161"/>
        <v>85542</v>
      </c>
      <c r="AA198" s="40">
        <f t="shared" si="162"/>
        <v>75465</v>
      </c>
      <c r="AB198" s="40">
        <f t="shared" si="163"/>
        <v>84571</v>
      </c>
      <c r="AC198" s="37">
        <f>SUM(Table1[[#This Row],[Jan]:[Dec]])</f>
        <v>394191.7</v>
      </c>
      <c r="AD198" s="15">
        <f t="shared" si="172"/>
        <v>0</v>
      </c>
      <c r="AE198" s="15">
        <f t="shared" si="173"/>
        <v>0</v>
      </c>
      <c r="AF198" s="15">
        <f t="shared" si="174"/>
        <v>0</v>
      </c>
      <c r="AG198" s="15">
        <f t="shared" si="175"/>
        <v>0</v>
      </c>
      <c r="AH198" s="15">
        <f t="shared" si="176"/>
        <v>0</v>
      </c>
      <c r="AI198" s="15">
        <f t="shared" si="177"/>
        <v>0</v>
      </c>
      <c r="AJ198" s="15">
        <f t="shared" si="178"/>
        <v>43.200203328000001</v>
      </c>
      <c r="AK198" s="15">
        <f t="shared" si="179"/>
        <v>112.66734911999998</v>
      </c>
      <c r="AL198" s="15">
        <f t="shared" si="180"/>
        <v>131.46811968</v>
      </c>
      <c r="AM198" s="15">
        <f t="shared" si="181"/>
        <v>165.39032447999998</v>
      </c>
      <c r="AN198" s="15">
        <f t="shared" si="182"/>
        <v>145.90704959999999</v>
      </c>
      <c r="AO198" s="15">
        <f t="shared" si="183"/>
        <v>163.51295423999997</v>
      </c>
      <c r="AP198" s="10">
        <f t="shared" si="184"/>
        <v>0</v>
      </c>
      <c r="AQ198" s="10">
        <f t="shared" si="185"/>
        <v>0</v>
      </c>
      <c r="AR198" s="10">
        <f t="shared" si="186"/>
        <v>287.33567212799994</v>
      </c>
      <c r="AS198" s="10">
        <f t="shared" si="187"/>
        <v>474.81032831999994</v>
      </c>
      <c r="AT198" s="10" t="b">
        <f t="shared" si="188"/>
        <v>1</v>
      </c>
      <c r="AU198" s="10">
        <f t="shared" si="164"/>
        <v>762.146000448</v>
      </c>
      <c r="AV198" s="10">
        <f t="shared" si="165"/>
        <v>0</v>
      </c>
      <c r="AW198" s="10">
        <f t="shared" si="166"/>
        <v>0</v>
      </c>
      <c r="AX198" s="10">
        <f t="shared" si="167"/>
        <v>0</v>
      </c>
      <c r="AY198" s="10">
        <f t="shared" si="189"/>
        <v>762.146000448</v>
      </c>
      <c r="AZ198" s="19">
        <f>IFERROR(IF($E198="REC",INDEX(A_Type_Volume!$B:$B,MATCH($D198,A_Type_Volume!$A:$A,0),1),IF($E198="VAM",INDEX(C_Type_Volume!$B:$B,MATCH($D198,C_Type_Volume!$A:$A,0),1),"X")),"")</f>
        <v>48500</v>
      </c>
      <c r="BA198" s="19">
        <f>IFERROR(IF($E198="REC",INDEX(A_Type_Volume!$C:$C,MATCH($D198,A_Type_Volume!$A:$A,0),1),IF($E198="VAM",INDEX(C_Type_Volume!$C:$C,MATCH($D198,C_Type_Volume!$A:$A,0),1),"X")),"")</f>
        <v>80821</v>
      </c>
      <c r="BB198" s="19">
        <f>IFERROR(IF($E198="REC",INDEX(A_Type_Volume!$D:$D,MATCH($D198,A_Type_Volume!$A:$A,0),1),IF($E198="VAM",INDEX(C_Type_Volume!$D:$D,MATCH($D198,C_Type_Volume!$A:$A,0),1),"X")),"")</f>
        <v>90035</v>
      </c>
      <c r="BC198" s="19">
        <f>IFERROR(IF($E198="REC",INDEX(A_Type_Volume!$E:$E,MATCH($D198,A_Type_Volume!$A:$A,0),1),IF($E198="VAM",INDEX(C_Type_Volume!$E:$E,MATCH($D198,C_Type_Volume!$A:$A,0),1),"X")),"")</f>
        <v>74480</v>
      </c>
      <c r="BD198" s="19">
        <f>IFERROR(IF($E198="REC",INDEX(A_Type_Volume!$F:$F,MATCH($D198,A_Type_Volume!$A:$A,0),1),IF($E198="VAM",INDEX(C_Type_Volume!$F:$F,MATCH($D198,C_Type_Volume!$A:$A,0),1),"X")),"")</f>
        <v>78343</v>
      </c>
      <c r="BE198" s="19">
        <f>IFERROR(IF($E198="REC",INDEX(A_Type_Volume!$G:$G,MATCH($D198,A_Type_Volume!$A:$A,0),1),IF($E198="VAM",INDEX(C_Type_Volume!$G:$G,MATCH($D198,C_Type_Volume!$A:$A,0),1),"X")),"")</f>
        <v>72933</v>
      </c>
      <c r="BF198" s="19">
        <f>IFERROR(IF($E198="REC",INDEX(A_Type_Volume!$H:$H,MATCH($D198,A_Type_Volume!$A:$A,0),1),IF($E198="VAM",INDEX(C_Type_Volume!$H:$H,MATCH($D198,C_Type_Volume!$A:$A,0),1),"X")),"")</f>
        <v>74479</v>
      </c>
      <c r="BG198" s="19">
        <f>IFERROR(IF($E198="REC",INDEX(A_Type_Volume!$I:$I,MATCH($D198,A_Type_Volume!$A:$A,0),1),IF($E198="VAM",INDEX(C_Type_Volume!$I:$I,MATCH($D198,C_Type_Volume!$A:$A,0),1),"X")),"")</f>
        <v>58273</v>
      </c>
      <c r="BH198" s="19">
        <f>IFERROR(IF($E198="REC",INDEX(A_Type_Volume!$J:$J,MATCH($D198,A_Type_Volume!$A:$A,0),1),IF($E198="VAM",INDEX(C_Type_Volume!$J:$J,MATCH($D198,C_Type_Volume!$A:$A,0),1),"X")),"")</f>
        <v>67997</v>
      </c>
      <c r="BI198" s="19">
        <f>IFERROR(IF($E198="REC",INDEX(A_Type_Volume!$K:$K,MATCH($D198,A_Type_Volume!$A:$A,0),1),IF($E198="VAM",INDEX(C_Type_Volume!$K:$K,MATCH($D198,C_Type_Volume!$A:$A,0),1),"X")),"")</f>
        <v>85542</v>
      </c>
      <c r="BJ198" s="19">
        <f>IFERROR(IF($E198="REC",INDEX(A_Type_Volume!$L:$L,MATCH($D198,A_Type_Volume!$A:$A,0),1),IF($E198="VAM",INDEX(C_Type_Volume!$L:$L,MATCH($D198,C_Type_Volume!$A:$A,0),1),"X")),"")</f>
        <v>75465</v>
      </c>
      <c r="BK198" s="19">
        <f>IFERROR(IF($E198="REC",INDEX(A_Type_Volume!M:M,MATCH($D198,A_Type_Volume!$A:$A,0),1),IF($E198="VAM",INDEX(C_Type_Volume!M:M,MATCH($D198,C_Type_Volume!$A:$A,0),1),"X")),"")</f>
        <v>84571</v>
      </c>
      <c r="BL198" s="38">
        <f>SUM(Table1[[#This Row],[Jan_AVF]:[Dec_AVF]])</f>
        <v>891439</v>
      </c>
      <c r="BM198" s="16">
        <f t="shared" si="190"/>
        <v>93.771839999999997</v>
      </c>
      <c r="BN198" s="16">
        <f t="shared" si="191"/>
        <v>156.26255423999999</v>
      </c>
      <c r="BO198" s="16">
        <f t="shared" si="192"/>
        <v>174.07727039999997</v>
      </c>
      <c r="BP198" s="16">
        <f t="shared" si="193"/>
        <v>144.00261119999999</v>
      </c>
      <c r="BQ198" s="16">
        <f t="shared" si="194"/>
        <v>151.47148991999998</v>
      </c>
      <c r="BR198" s="16">
        <f t="shared" si="195"/>
        <v>141.01157952</v>
      </c>
      <c r="BS198" s="16">
        <f t="shared" si="196"/>
        <v>144.00067775999997</v>
      </c>
      <c r="BT198" s="16">
        <f t="shared" si="197"/>
        <v>112.66734911999998</v>
      </c>
      <c r="BU198" s="16">
        <f t="shared" si="198"/>
        <v>131.46811968</v>
      </c>
      <c r="BV198" s="16">
        <f t="shared" si="199"/>
        <v>165.39032447999998</v>
      </c>
      <c r="BW198" s="16">
        <f t="shared" si="200"/>
        <v>145.90704959999999</v>
      </c>
      <c r="BX198" s="16">
        <f t="shared" si="201"/>
        <v>163.51295423999997</v>
      </c>
      <c r="BY198" s="10">
        <f t="shared" si="168"/>
        <v>424.11166463999996</v>
      </c>
      <c r="BZ198" s="10">
        <f t="shared" si="169"/>
        <v>436.48568064</v>
      </c>
      <c r="CA198" s="10">
        <f t="shared" si="170"/>
        <v>388.13614655999993</v>
      </c>
      <c r="CB198" s="10">
        <f t="shared" si="171"/>
        <v>474.81032831999994</v>
      </c>
      <c r="CC198" s="10">
        <f>IFERROR(Table1[[#This Row],[Labor
Saving]]*Table1[[#This Row],[Annual Volume]],"")</f>
        <v>1723.5438201599998</v>
      </c>
      <c r="CD198" s="10">
        <f>IFERROR(Table1[[#This Row],[Annual Volume]]*Table1[[#This Row],[Yield
Saving]],"")</f>
        <v>0</v>
      </c>
      <c r="CE198" s="10">
        <f>IFERROR(Table1[[#This Row],[Annual Volume]]*Table1[[#This Row],[Material
Saving]],"")</f>
        <v>0</v>
      </c>
      <c r="CF198" s="10">
        <f>IFERROR(Table1[[#This Row],[OH
Saving]]*Table1[[#This Row],[Annual Volume]],"")</f>
        <v>0</v>
      </c>
      <c r="CG198" s="10">
        <f>SUM(Table1[[#This Row],[Labor_ASV]:[OH_ASV]])</f>
        <v>1723.5438201599998</v>
      </c>
    </row>
    <row r="199" spans="1:85" x14ac:dyDescent="0.3">
      <c r="A199" t="str">
        <f>Table1[[#This Row],[Project Name]]&amp;Table1[[#This Row],[Part Number]]</f>
        <v>New Etching Chemical Nitric AcidR192</v>
      </c>
      <c r="B199" t="str">
        <f>IFERROR(Table1[[#This Row],[Project Number]]&amp;Table1[[#This Row],[Part Number]],"")</f>
        <v>AME25-071R192</v>
      </c>
      <c r="C199" s="22" t="s">
        <v>118</v>
      </c>
      <c r="D199" s="24" t="s">
        <v>430</v>
      </c>
      <c r="E199" s="25" t="s">
        <v>58</v>
      </c>
      <c r="F199" s="6">
        <f>INDEX(Proj_Reg!G:G,MATCH($C199,Proj_Reg!$B:$B,0),1)</f>
        <v>46204</v>
      </c>
      <c r="G199" s="6">
        <f>INDEX(Proj_Reg!H:H,MATCH($C199,Proj_Reg!$B:$B,0),1)</f>
        <v>46539</v>
      </c>
      <c r="H199" s="6" t="str">
        <f>IF(INDEX(Proj_Reg!C:C,MATCH($C199,Proj_Reg!$B:$B,0),1)=0,"",INDEX(Proj_Reg!C:C,MATCH($C199,Proj_Reg!$B:$B,0),1))</f>
        <v>Wet Etching</v>
      </c>
      <c r="I199" s="6" t="str">
        <f>IF(INDEX(Proj_Reg!D:D,MATCH($C199,Proj_Reg!$B:$B,0),1)=0,"",INDEX(Proj_Reg!D:D,MATCH($C199,Proj_Reg!$B:$B,0),1))</f>
        <v>XWP</v>
      </c>
      <c r="J199" s="6" t="str">
        <f>INDEX(Proj_Reg!E:E,MATCH($C199,Proj_Reg!$B:$B,0),1)</f>
        <v>New Etching Chemical Nitric Acid</v>
      </c>
      <c r="K199" s="21">
        <v>1.6649663994818234E-3</v>
      </c>
      <c r="L199" s="21">
        <v>1.5525010702578723E-2</v>
      </c>
      <c r="M199" s="21">
        <v>0</v>
      </c>
      <c r="N199" s="21">
        <v>0</v>
      </c>
      <c r="O199" s="11">
        <f>SUM(Table1[[#This Row],[Labor
Saving]:[OH
Saving]])</f>
        <v>1.7189977102060546E-2</v>
      </c>
      <c r="Q199" s="40">
        <f t="shared" si="152"/>
        <v>0</v>
      </c>
      <c r="R199" s="40">
        <f t="shared" si="153"/>
        <v>0</v>
      </c>
      <c r="S199" s="40">
        <f t="shared" si="154"/>
        <v>0</v>
      </c>
      <c r="T199" s="40">
        <f t="shared" si="155"/>
        <v>0</v>
      </c>
      <c r="U199" s="40">
        <f t="shared" si="156"/>
        <v>0</v>
      </c>
      <c r="V199" s="40">
        <f t="shared" si="157"/>
        <v>0</v>
      </c>
      <c r="W199" s="40">
        <f t="shared" si="158"/>
        <v>0</v>
      </c>
      <c r="X199" s="40">
        <f t="shared" si="159"/>
        <v>0</v>
      </c>
      <c r="Y199" s="40">
        <f t="shared" si="160"/>
        <v>0</v>
      </c>
      <c r="Z199" s="40">
        <f t="shared" si="161"/>
        <v>0</v>
      </c>
      <c r="AA199" s="40">
        <f t="shared" si="162"/>
        <v>0</v>
      </c>
      <c r="AB199" s="40">
        <f t="shared" si="163"/>
        <v>0</v>
      </c>
      <c r="AC199" s="37">
        <f>SUM(Table1[[#This Row],[Jan]:[Dec]])</f>
        <v>0</v>
      </c>
      <c r="AD199" s="15">
        <f t="shared" si="172"/>
        <v>0</v>
      </c>
      <c r="AE199" s="15">
        <f t="shared" si="173"/>
        <v>0</v>
      </c>
      <c r="AF199" s="15">
        <f t="shared" si="174"/>
        <v>0</v>
      </c>
      <c r="AG199" s="15">
        <f t="shared" si="175"/>
        <v>0</v>
      </c>
      <c r="AH199" s="15">
        <f t="shared" si="176"/>
        <v>0</v>
      </c>
      <c r="AI199" s="15">
        <f t="shared" si="177"/>
        <v>0</v>
      </c>
      <c r="AJ199" s="15">
        <f t="shared" si="178"/>
        <v>0</v>
      </c>
      <c r="AK199" s="15">
        <f t="shared" si="179"/>
        <v>0</v>
      </c>
      <c r="AL199" s="15">
        <f t="shared" si="180"/>
        <v>0</v>
      </c>
      <c r="AM199" s="15">
        <f t="shared" si="181"/>
        <v>0</v>
      </c>
      <c r="AN199" s="15">
        <f t="shared" si="182"/>
        <v>0</v>
      </c>
      <c r="AO199" s="15">
        <f t="shared" si="183"/>
        <v>0</v>
      </c>
      <c r="AP199" s="10">
        <f t="shared" si="184"/>
        <v>0</v>
      </c>
      <c r="AQ199" s="10">
        <f t="shared" si="185"/>
        <v>0</v>
      </c>
      <c r="AR199" s="10">
        <f t="shared" si="186"/>
        <v>0</v>
      </c>
      <c r="AS199" s="10">
        <f t="shared" si="187"/>
        <v>0</v>
      </c>
      <c r="AT199" s="10" t="b">
        <f t="shared" si="188"/>
        <v>1</v>
      </c>
      <c r="AU199" s="10">
        <f t="shared" si="164"/>
        <v>0</v>
      </c>
      <c r="AV199" s="10">
        <f t="shared" si="165"/>
        <v>0</v>
      </c>
      <c r="AW199" s="10">
        <f t="shared" si="166"/>
        <v>0</v>
      </c>
      <c r="AX199" s="10">
        <f t="shared" si="167"/>
        <v>0</v>
      </c>
      <c r="AY199" s="10">
        <f t="shared" si="189"/>
        <v>0</v>
      </c>
      <c r="AZ199" s="19">
        <f>IFERROR(IF($E199="REC",INDEX(A_Type_Volume!$B:$B,MATCH($D199,A_Type_Volume!$A:$A,0),1),IF($E199="VAM",INDEX(C_Type_Volume!$B:$B,MATCH($D199,C_Type_Volume!$A:$A,0),1),"X")),"")</f>
        <v>0</v>
      </c>
      <c r="BA199" s="19">
        <f>IFERROR(IF($E199="REC",INDEX(A_Type_Volume!$C:$C,MATCH($D199,A_Type_Volume!$A:$A,0),1),IF($E199="VAM",INDEX(C_Type_Volume!$C:$C,MATCH($D199,C_Type_Volume!$A:$A,0),1),"X")),"")</f>
        <v>0</v>
      </c>
      <c r="BB199" s="19">
        <f>IFERROR(IF($E199="REC",INDEX(A_Type_Volume!$D:$D,MATCH($D199,A_Type_Volume!$A:$A,0),1),IF($E199="VAM",INDEX(C_Type_Volume!$D:$D,MATCH($D199,C_Type_Volume!$A:$A,0),1),"X")),"")</f>
        <v>0</v>
      </c>
      <c r="BC199" s="19">
        <f>IFERROR(IF($E199="REC",INDEX(A_Type_Volume!$E:$E,MATCH($D199,A_Type_Volume!$A:$A,0),1),IF($E199="VAM",INDEX(C_Type_Volume!$E:$E,MATCH($D199,C_Type_Volume!$A:$A,0),1),"X")),"")</f>
        <v>0</v>
      </c>
      <c r="BD199" s="19">
        <f>IFERROR(IF($E199="REC",INDEX(A_Type_Volume!$F:$F,MATCH($D199,A_Type_Volume!$A:$A,0),1),IF($E199="VAM",INDEX(C_Type_Volume!$F:$F,MATCH($D199,C_Type_Volume!$A:$A,0),1),"X")),"")</f>
        <v>0</v>
      </c>
      <c r="BE199" s="19">
        <f>IFERROR(IF($E199="REC",INDEX(A_Type_Volume!$G:$G,MATCH($D199,A_Type_Volume!$A:$A,0),1),IF($E199="VAM",INDEX(C_Type_Volume!$G:$G,MATCH($D199,C_Type_Volume!$A:$A,0),1),"X")),"")</f>
        <v>0</v>
      </c>
      <c r="BF199" s="19">
        <f>IFERROR(IF($E199="REC",INDEX(A_Type_Volume!$H:$H,MATCH($D199,A_Type_Volume!$A:$A,0),1),IF($E199="VAM",INDEX(C_Type_Volume!$H:$H,MATCH($D199,C_Type_Volume!$A:$A,0),1),"X")),"")</f>
        <v>0</v>
      </c>
      <c r="BG199" s="19">
        <f>IFERROR(IF($E199="REC",INDEX(A_Type_Volume!$I:$I,MATCH($D199,A_Type_Volume!$A:$A,0),1),IF($E199="VAM",INDEX(C_Type_Volume!$I:$I,MATCH($D199,C_Type_Volume!$A:$A,0),1),"X")),"")</f>
        <v>0</v>
      </c>
      <c r="BH199" s="19">
        <f>IFERROR(IF($E199="REC",INDEX(A_Type_Volume!$J:$J,MATCH($D199,A_Type_Volume!$A:$A,0),1),IF($E199="VAM",INDEX(C_Type_Volume!$J:$J,MATCH($D199,C_Type_Volume!$A:$A,0),1),"X")),"")</f>
        <v>0</v>
      </c>
      <c r="BI199" s="19">
        <f>IFERROR(IF($E199="REC",INDEX(A_Type_Volume!$K:$K,MATCH($D199,A_Type_Volume!$A:$A,0),1),IF($E199="VAM",INDEX(C_Type_Volume!$K:$K,MATCH($D199,C_Type_Volume!$A:$A,0),1),"X")),"")</f>
        <v>0</v>
      </c>
      <c r="BJ199" s="19">
        <f>IFERROR(IF($E199="REC",INDEX(A_Type_Volume!$L:$L,MATCH($D199,A_Type_Volume!$A:$A,0),1),IF($E199="VAM",INDEX(C_Type_Volume!$L:$L,MATCH($D199,C_Type_Volume!$A:$A,0),1),"X")),"")</f>
        <v>0</v>
      </c>
      <c r="BK199" s="19">
        <f>IFERROR(IF($E199="REC",INDEX(A_Type_Volume!M:M,MATCH($D199,A_Type_Volume!$A:$A,0),1),IF($E199="VAM",INDEX(C_Type_Volume!M:M,MATCH($D199,C_Type_Volume!$A:$A,0),1),"X")),"")</f>
        <v>0</v>
      </c>
      <c r="BL199" s="38">
        <f>SUM(Table1[[#This Row],[Jan_AVF]:[Dec_AVF]])</f>
        <v>0</v>
      </c>
      <c r="BM199" s="16">
        <f t="shared" si="190"/>
        <v>0</v>
      </c>
      <c r="BN199" s="16">
        <f t="shared" si="191"/>
        <v>0</v>
      </c>
      <c r="BO199" s="16">
        <f t="shared" si="192"/>
        <v>0</v>
      </c>
      <c r="BP199" s="16">
        <f t="shared" si="193"/>
        <v>0</v>
      </c>
      <c r="BQ199" s="16">
        <f t="shared" si="194"/>
        <v>0</v>
      </c>
      <c r="BR199" s="16">
        <f t="shared" si="195"/>
        <v>0</v>
      </c>
      <c r="BS199" s="16">
        <f t="shared" si="196"/>
        <v>0</v>
      </c>
      <c r="BT199" s="16">
        <f t="shared" si="197"/>
        <v>0</v>
      </c>
      <c r="BU199" s="16">
        <f t="shared" si="198"/>
        <v>0</v>
      </c>
      <c r="BV199" s="16">
        <f t="shared" si="199"/>
        <v>0</v>
      </c>
      <c r="BW199" s="16">
        <f t="shared" si="200"/>
        <v>0</v>
      </c>
      <c r="BX199" s="16">
        <f t="shared" si="201"/>
        <v>0</v>
      </c>
      <c r="BY199" s="10">
        <f t="shared" si="168"/>
        <v>0</v>
      </c>
      <c r="BZ199" s="10">
        <f t="shared" si="169"/>
        <v>0</v>
      </c>
      <c r="CA199" s="10">
        <f t="shared" si="170"/>
        <v>0</v>
      </c>
      <c r="CB199" s="10">
        <f t="shared" si="171"/>
        <v>0</v>
      </c>
      <c r="CC199" s="10">
        <f>IFERROR(Table1[[#This Row],[Labor
Saving]]*Table1[[#This Row],[Annual Volume]],"")</f>
        <v>0</v>
      </c>
      <c r="CD199" s="10">
        <f>IFERROR(Table1[[#This Row],[Annual Volume]]*Table1[[#This Row],[Yield
Saving]],"")</f>
        <v>0</v>
      </c>
      <c r="CE199" s="10">
        <f>IFERROR(Table1[[#This Row],[Annual Volume]]*Table1[[#This Row],[Material
Saving]],"")</f>
        <v>0</v>
      </c>
      <c r="CF199" s="10">
        <f>IFERROR(Table1[[#This Row],[OH
Saving]]*Table1[[#This Row],[Annual Volume]],"")</f>
        <v>0</v>
      </c>
      <c r="CG199" s="10">
        <f>SUM(Table1[[#This Row],[Labor_ASV]:[OH_ASV]])</f>
        <v>0</v>
      </c>
    </row>
    <row r="200" spans="1:85" x14ac:dyDescent="0.3">
      <c r="A200" t="str">
        <f>Table1[[#This Row],[Project Name]]&amp;Table1[[#This Row],[Part Number]]</f>
        <v>New Etching Chemical Nitric AcidR193</v>
      </c>
      <c r="B200" t="str">
        <f>IFERROR(Table1[[#This Row],[Project Number]]&amp;Table1[[#This Row],[Part Number]],"")</f>
        <v>AME25-071R193</v>
      </c>
      <c r="C200" s="22" t="s">
        <v>118</v>
      </c>
      <c r="D200" s="24" t="s">
        <v>431</v>
      </c>
      <c r="E200" s="25" t="s">
        <v>58</v>
      </c>
      <c r="F200" s="6">
        <f>INDEX(Proj_Reg!G:G,MATCH($C200,Proj_Reg!$B:$B,0),1)</f>
        <v>46204</v>
      </c>
      <c r="G200" s="6">
        <f>INDEX(Proj_Reg!H:H,MATCH($C200,Proj_Reg!$B:$B,0),1)</f>
        <v>46539</v>
      </c>
      <c r="H200" s="6" t="str">
        <f>IF(INDEX(Proj_Reg!C:C,MATCH($C200,Proj_Reg!$B:$B,0),1)=0,"",INDEX(Proj_Reg!C:C,MATCH($C200,Proj_Reg!$B:$B,0),1))</f>
        <v>Wet Etching</v>
      </c>
      <c r="I200" s="6" t="str">
        <f>IF(INDEX(Proj_Reg!D:D,MATCH($C200,Proj_Reg!$B:$B,0),1)=0,"",INDEX(Proj_Reg!D:D,MATCH($C200,Proj_Reg!$B:$B,0),1))</f>
        <v>XWP</v>
      </c>
      <c r="J200" s="6" t="str">
        <f>INDEX(Proj_Reg!E:E,MATCH($C200,Proj_Reg!$B:$B,0),1)</f>
        <v>New Etching Chemical Nitric Acid</v>
      </c>
      <c r="K200" s="21">
        <v>1.6649663994818234E-3</v>
      </c>
      <c r="L200" s="21">
        <v>1.5525010702578723E-2</v>
      </c>
      <c r="M200" s="21">
        <v>0</v>
      </c>
      <c r="N200" s="21">
        <v>0</v>
      </c>
      <c r="O200" s="11">
        <f>SUM(Table1[[#This Row],[Labor
Saving]:[OH
Saving]])</f>
        <v>1.7189977102060546E-2</v>
      </c>
      <c r="Q200" s="40">
        <f t="shared" si="152"/>
        <v>0</v>
      </c>
      <c r="R200" s="40">
        <f t="shared" si="153"/>
        <v>0</v>
      </c>
      <c r="S200" s="40">
        <f t="shared" si="154"/>
        <v>0</v>
      </c>
      <c r="T200" s="40">
        <f t="shared" si="155"/>
        <v>0</v>
      </c>
      <c r="U200" s="40">
        <f t="shared" si="156"/>
        <v>0</v>
      </c>
      <c r="V200" s="40">
        <f t="shared" si="157"/>
        <v>0</v>
      </c>
      <c r="W200" s="40">
        <f t="shared" si="158"/>
        <v>0</v>
      </c>
      <c r="X200" s="40">
        <f t="shared" si="159"/>
        <v>0</v>
      </c>
      <c r="Y200" s="40">
        <f t="shared" si="160"/>
        <v>0</v>
      </c>
      <c r="Z200" s="40">
        <f t="shared" si="161"/>
        <v>0</v>
      </c>
      <c r="AA200" s="40">
        <f t="shared" si="162"/>
        <v>0</v>
      </c>
      <c r="AB200" s="40">
        <f t="shared" si="163"/>
        <v>0</v>
      </c>
      <c r="AC200" s="37">
        <f>SUM(Table1[[#This Row],[Jan]:[Dec]])</f>
        <v>0</v>
      </c>
      <c r="AD200" s="15">
        <f t="shared" si="172"/>
        <v>0</v>
      </c>
      <c r="AE200" s="15">
        <f t="shared" si="173"/>
        <v>0</v>
      </c>
      <c r="AF200" s="15">
        <f t="shared" si="174"/>
        <v>0</v>
      </c>
      <c r="AG200" s="15">
        <f t="shared" si="175"/>
        <v>0</v>
      </c>
      <c r="AH200" s="15">
        <f t="shared" si="176"/>
        <v>0</v>
      </c>
      <c r="AI200" s="15">
        <f t="shared" si="177"/>
        <v>0</v>
      </c>
      <c r="AJ200" s="15">
        <f t="shared" si="178"/>
        <v>0</v>
      </c>
      <c r="AK200" s="15">
        <f t="shared" si="179"/>
        <v>0</v>
      </c>
      <c r="AL200" s="15">
        <f t="shared" si="180"/>
        <v>0</v>
      </c>
      <c r="AM200" s="15">
        <f t="shared" si="181"/>
        <v>0</v>
      </c>
      <c r="AN200" s="15">
        <f t="shared" si="182"/>
        <v>0</v>
      </c>
      <c r="AO200" s="15">
        <f t="shared" si="183"/>
        <v>0</v>
      </c>
      <c r="AP200" s="10">
        <f t="shared" si="184"/>
        <v>0</v>
      </c>
      <c r="AQ200" s="10">
        <f t="shared" si="185"/>
        <v>0</v>
      </c>
      <c r="AR200" s="10">
        <f t="shared" si="186"/>
        <v>0</v>
      </c>
      <c r="AS200" s="10">
        <f t="shared" si="187"/>
        <v>0</v>
      </c>
      <c r="AT200" s="10" t="b">
        <f t="shared" si="188"/>
        <v>1</v>
      </c>
      <c r="AU200" s="10">
        <f t="shared" si="164"/>
        <v>0</v>
      </c>
      <c r="AV200" s="10">
        <f t="shared" si="165"/>
        <v>0</v>
      </c>
      <c r="AW200" s="10">
        <f t="shared" si="166"/>
        <v>0</v>
      </c>
      <c r="AX200" s="10">
        <f t="shared" si="167"/>
        <v>0</v>
      </c>
      <c r="AY200" s="10">
        <f t="shared" si="189"/>
        <v>0</v>
      </c>
      <c r="AZ200" s="19">
        <f>IFERROR(IF($E200="REC",INDEX(A_Type_Volume!$B:$B,MATCH($D200,A_Type_Volume!$A:$A,0),1),IF($E200="VAM",INDEX(C_Type_Volume!$B:$B,MATCH($D200,C_Type_Volume!$A:$A,0),1),"X")),"")</f>
        <v>0</v>
      </c>
      <c r="BA200" s="19">
        <f>IFERROR(IF($E200="REC",INDEX(A_Type_Volume!$C:$C,MATCH($D200,A_Type_Volume!$A:$A,0),1),IF($E200="VAM",INDEX(C_Type_Volume!$C:$C,MATCH($D200,C_Type_Volume!$A:$A,0),1),"X")),"")</f>
        <v>0</v>
      </c>
      <c r="BB200" s="19">
        <f>IFERROR(IF($E200="REC",INDEX(A_Type_Volume!$D:$D,MATCH($D200,A_Type_Volume!$A:$A,0),1),IF($E200="VAM",INDEX(C_Type_Volume!$D:$D,MATCH($D200,C_Type_Volume!$A:$A,0),1),"X")),"")</f>
        <v>0</v>
      </c>
      <c r="BC200" s="19">
        <f>IFERROR(IF($E200="REC",INDEX(A_Type_Volume!$E:$E,MATCH($D200,A_Type_Volume!$A:$A,0),1),IF($E200="VAM",INDEX(C_Type_Volume!$E:$E,MATCH($D200,C_Type_Volume!$A:$A,0),1),"X")),"")</f>
        <v>0</v>
      </c>
      <c r="BD200" s="19">
        <f>IFERROR(IF($E200="REC",INDEX(A_Type_Volume!$F:$F,MATCH($D200,A_Type_Volume!$A:$A,0),1),IF($E200="VAM",INDEX(C_Type_Volume!$F:$F,MATCH($D200,C_Type_Volume!$A:$A,0),1),"X")),"")</f>
        <v>0</v>
      </c>
      <c r="BE200" s="19">
        <f>IFERROR(IF($E200="REC",INDEX(A_Type_Volume!$G:$G,MATCH($D200,A_Type_Volume!$A:$A,0),1),IF($E200="VAM",INDEX(C_Type_Volume!$G:$G,MATCH($D200,C_Type_Volume!$A:$A,0),1),"X")),"")</f>
        <v>0</v>
      </c>
      <c r="BF200" s="19">
        <f>IFERROR(IF($E200="REC",INDEX(A_Type_Volume!$H:$H,MATCH($D200,A_Type_Volume!$A:$A,0),1),IF($E200="VAM",INDEX(C_Type_Volume!$H:$H,MATCH($D200,C_Type_Volume!$A:$A,0),1),"X")),"")</f>
        <v>0</v>
      </c>
      <c r="BG200" s="19">
        <f>IFERROR(IF($E200="REC",INDEX(A_Type_Volume!$I:$I,MATCH($D200,A_Type_Volume!$A:$A,0),1),IF($E200="VAM",INDEX(C_Type_Volume!$I:$I,MATCH($D200,C_Type_Volume!$A:$A,0),1),"X")),"")</f>
        <v>0</v>
      </c>
      <c r="BH200" s="19">
        <f>IFERROR(IF($E200="REC",INDEX(A_Type_Volume!$J:$J,MATCH($D200,A_Type_Volume!$A:$A,0),1),IF($E200="VAM",INDEX(C_Type_Volume!$J:$J,MATCH($D200,C_Type_Volume!$A:$A,0),1),"X")),"")</f>
        <v>0</v>
      </c>
      <c r="BI200" s="19">
        <f>IFERROR(IF($E200="REC",INDEX(A_Type_Volume!$K:$K,MATCH($D200,A_Type_Volume!$A:$A,0),1),IF($E200="VAM",INDEX(C_Type_Volume!$K:$K,MATCH($D200,C_Type_Volume!$A:$A,0),1),"X")),"")</f>
        <v>0</v>
      </c>
      <c r="BJ200" s="19">
        <f>IFERROR(IF($E200="REC",INDEX(A_Type_Volume!$L:$L,MATCH($D200,A_Type_Volume!$A:$A,0),1),IF($E200="VAM",INDEX(C_Type_Volume!$L:$L,MATCH($D200,C_Type_Volume!$A:$A,0),1),"X")),"")</f>
        <v>0</v>
      </c>
      <c r="BK200" s="19">
        <f>IFERROR(IF($E200="REC",INDEX(A_Type_Volume!M:M,MATCH($D200,A_Type_Volume!$A:$A,0),1),IF($E200="VAM",INDEX(C_Type_Volume!M:M,MATCH($D200,C_Type_Volume!$A:$A,0),1),"X")),"")</f>
        <v>0</v>
      </c>
      <c r="BL200" s="38">
        <f>SUM(Table1[[#This Row],[Jan_AVF]:[Dec_AVF]])</f>
        <v>0</v>
      </c>
      <c r="BM200" s="16">
        <f t="shared" si="190"/>
        <v>0</v>
      </c>
      <c r="BN200" s="16">
        <f t="shared" si="191"/>
        <v>0</v>
      </c>
      <c r="BO200" s="16">
        <f t="shared" si="192"/>
        <v>0</v>
      </c>
      <c r="BP200" s="16">
        <f t="shared" si="193"/>
        <v>0</v>
      </c>
      <c r="BQ200" s="16">
        <f t="shared" si="194"/>
        <v>0</v>
      </c>
      <c r="BR200" s="16">
        <f t="shared" si="195"/>
        <v>0</v>
      </c>
      <c r="BS200" s="16">
        <f t="shared" si="196"/>
        <v>0</v>
      </c>
      <c r="BT200" s="16">
        <f t="shared" si="197"/>
        <v>0</v>
      </c>
      <c r="BU200" s="16">
        <f t="shared" si="198"/>
        <v>0</v>
      </c>
      <c r="BV200" s="16">
        <f t="shared" si="199"/>
        <v>0</v>
      </c>
      <c r="BW200" s="16">
        <f t="shared" si="200"/>
        <v>0</v>
      </c>
      <c r="BX200" s="16">
        <f t="shared" si="201"/>
        <v>0</v>
      </c>
      <c r="BY200" s="10">
        <f t="shared" si="168"/>
        <v>0</v>
      </c>
      <c r="BZ200" s="10">
        <f t="shared" si="169"/>
        <v>0</v>
      </c>
      <c r="CA200" s="10">
        <f t="shared" si="170"/>
        <v>0</v>
      </c>
      <c r="CB200" s="10">
        <f t="shared" si="171"/>
        <v>0</v>
      </c>
      <c r="CC200" s="10">
        <f>IFERROR(Table1[[#This Row],[Labor
Saving]]*Table1[[#This Row],[Annual Volume]],"")</f>
        <v>0</v>
      </c>
      <c r="CD200" s="10">
        <f>IFERROR(Table1[[#This Row],[Annual Volume]]*Table1[[#This Row],[Yield
Saving]],"")</f>
        <v>0</v>
      </c>
      <c r="CE200" s="10">
        <f>IFERROR(Table1[[#This Row],[Annual Volume]]*Table1[[#This Row],[Material
Saving]],"")</f>
        <v>0</v>
      </c>
      <c r="CF200" s="10">
        <f>IFERROR(Table1[[#This Row],[OH
Saving]]*Table1[[#This Row],[Annual Volume]],"")</f>
        <v>0</v>
      </c>
      <c r="CG200" s="10">
        <f>SUM(Table1[[#This Row],[Labor_ASV]:[OH_ASV]])</f>
        <v>0</v>
      </c>
    </row>
    <row r="201" spans="1:85" x14ac:dyDescent="0.3">
      <c r="A201" t="str">
        <f>Table1[[#This Row],[Project Name]]&amp;Table1[[#This Row],[Part Number]]</f>
        <v>New Etching Chemical Hydroflauric AcidV3</v>
      </c>
      <c r="B201" t="str">
        <f>IFERROR(Table1[[#This Row],[Project Number]]&amp;Table1[[#This Row],[Part Number]],"")</f>
        <v>AME25-068V3</v>
      </c>
      <c r="C201" s="22" t="s">
        <v>115</v>
      </c>
      <c r="D201" s="24" t="s">
        <v>215</v>
      </c>
      <c r="E201" s="25" t="s">
        <v>60</v>
      </c>
      <c r="F201" s="6">
        <f>INDEX(Proj_Reg!G:G,MATCH($C201,Proj_Reg!$B:$B,0),1)</f>
        <v>46266</v>
      </c>
      <c r="G201" s="6">
        <f>INDEX(Proj_Reg!H:H,MATCH($C201,Proj_Reg!$B:$B,0),1)</f>
        <v>46600</v>
      </c>
      <c r="H201" s="6" t="str">
        <f>IF(INDEX(Proj_Reg!C:C,MATCH($C201,Proj_Reg!$B:$B,0),1)=0,"",INDEX(Proj_Reg!C:C,MATCH($C201,Proj_Reg!$B:$B,0),1))</f>
        <v>Wet Etching</v>
      </c>
      <c r="I201" s="6" t="str">
        <f>IF(INDEX(Proj_Reg!D:D,MATCH($C201,Proj_Reg!$B:$B,0),1)=0,"",INDEX(Proj_Reg!D:D,MATCH($C201,Proj_Reg!$B:$B,0),1))</f>
        <v>XWP</v>
      </c>
      <c r="J201" s="6" t="str">
        <f>INDEX(Proj_Reg!E:E,MATCH($C201,Proj_Reg!$B:$B,0),1)</f>
        <v>New Etching Chemical Hydroflauric Acid</v>
      </c>
      <c r="K201" s="14">
        <v>1.6649663994818234E-3</v>
      </c>
      <c r="L201" s="21">
        <v>1.5525010702578723E-2</v>
      </c>
      <c r="M201" s="21">
        <v>0</v>
      </c>
      <c r="N201" s="21">
        <v>0</v>
      </c>
      <c r="O201" s="11">
        <f>SUM(Table1[[#This Row],[Labor
Saving]:[OH
Saving]])</f>
        <v>1.7189977102060546E-2</v>
      </c>
      <c r="Q201" s="40">
        <f t="shared" si="152"/>
        <v>0</v>
      </c>
      <c r="R201" s="40">
        <f t="shared" si="153"/>
        <v>0</v>
      </c>
      <c r="S201" s="40">
        <f t="shared" si="154"/>
        <v>0</v>
      </c>
      <c r="T201" s="40">
        <f t="shared" si="155"/>
        <v>0</v>
      </c>
      <c r="U201" s="40">
        <f t="shared" si="156"/>
        <v>0</v>
      </c>
      <c r="V201" s="40">
        <f t="shared" si="157"/>
        <v>0</v>
      </c>
      <c r="W201" s="40">
        <f t="shared" si="158"/>
        <v>0</v>
      </c>
      <c r="X201" s="40">
        <f t="shared" si="159"/>
        <v>0</v>
      </c>
      <c r="Y201" s="40">
        <f t="shared" si="160"/>
        <v>591763.19999999995</v>
      </c>
      <c r="Z201" s="40">
        <f t="shared" si="161"/>
        <v>879191</v>
      </c>
      <c r="AA201" s="40">
        <f t="shared" si="162"/>
        <v>811677</v>
      </c>
      <c r="AB201" s="40">
        <f t="shared" si="163"/>
        <v>568675</v>
      </c>
      <c r="AC201" s="37">
        <f>SUM(Table1[[#This Row],[Jan]:[Dec]])</f>
        <v>2851306.2</v>
      </c>
      <c r="AD201" s="15">
        <f t="shared" si="172"/>
        <v>0</v>
      </c>
      <c r="AE201" s="15">
        <f t="shared" si="173"/>
        <v>0</v>
      </c>
      <c r="AF201" s="15">
        <f t="shared" si="174"/>
        <v>0</v>
      </c>
      <c r="AG201" s="15">
        <f t="shared" si="175"/>
        <v>0</v>
      </c>
      <c r="AH201" s="15">
        <f t="shared" si="176"/>
        <v>0</v>
      </c>
      <c r="AI201" s="15">
        <f t="shared" si="177"/>
        <v>0</v>
      </c>
      <c r="AJ201" s="15">
        <f t="shared" si="178"/>
        <v>0</v>
      </c>
      <c r="AK201" s="15">
        <f t="shared" si="179"/>
        <v>0</v>
      </c>
      <c r="AL201" s="15">
        <f t="shared" si="180"/>
        <v>10172.395857842075</v>
      </c>
      <c r="AM201" s="15">
        <f t="shared" si="181"/>
        <v>15113.273158337714</v>
      </c>
      <c r="AN201" s="15">
        <f t="shared" si="182"/>
        <v>13952.709044269199</v>
      </c>
      <c r="AO201" s="15">
        <f t="shared" si="183"/>
        <v>9775.5102285142802</v>
      </c>
      <c r="AP201" s="10">
        <f t="shared" si="184"/>
        <v>0</v>
      </c>
      <c r="AQ201" s="10">
        <f t="shared" si="185"/>
        <v>0</v>
      </c>
      <c r="AR201" s="10">
        <f t="shared" si="186"/>
        <v>10172.395857842075</v>
      </c>
      <c r="AS201" s="10">
        <f t="shared" si="187"/>
        <v>38841.492431121194</v>
      </c>
      <c r="AT201" s="10" t="b">
        <f t="shared" si="188"/>
        <v>1</v>
      </c>
      <c r="AU201" s="10">
        <f t="shared" si="164"/>
        <v>4747.3290176341998</v>
      </c>
      <c r="AV201" s="10">
        <f t="shared" si="165"/>
        <v>44266.559271329075</v>
      </c>
      <c r="AW201" s="10">
        <f t="shared" si="166"/>
        <v>0</v>
      </c>
      <c r="AX201" s="10">
        <f t="shared" si="167"/>
        <v>0</v>
      </c>
      <c r="AY201" s="10">
        <f t="shared" si="189"/>
        <v>49013.888288963273</v>
      </c>
      <c r="AZ201" s="19">
        <f>IFERROR(IF($E201="REC",INDEX(A_Type_Volume!$B:$B,MATCH($D201,A_Type_Volume!$A:$A,0),1),IF($E201="VAM",INDEX(C_Type_Volume!$B:$B,MATCH($D201,C_Type_Volume!$A:$A,0),1),"X")),"")</f>
        <v>683202</v>
      </c>
      <c r="BA201" s="19">
        <f>IFERROR(IF($E201="REC",INDEX(A_Type_Volume!$C:$C,MATCH($D201,A_Type_Volume!$A:$A,0),1),IF($E201="VAM",INDEX(C_Type_Volume!$C:$C,MATCH($D201,C_Type_Volume!$A:$A,0),1),"X")),"")</f>
        <v>667394</v>
      </c>
      <c r="BB201" s="19">
        <f>IFERROR(IF($E201="REC",INDEX(A_Type_Volume!$D:$D,MATCH($D201,A_Type_Volume!$A:$A,0),1),IF($E201="VAM",INDEX(C_Type_Volume!$D:$D,MATCH($D201,C_Type_Volume!$A:$A,0),1),"X")),"")</f>
        <v>652384</v>
      </c>
      <c r="BC201" s="19">
        <f>IFERROR(IF($E201="REC",INDEX(A_Type_Volume!$E:$E,MATCH($D201,A_Type_Volume!$A:$A,0),1),IF($E201="VAM",INDEX(C_Type_Volume!$E:$E,MATCH($D201,C_Type_Volume!$A:$A,0),1),"X")),"")</f>
        <v>743928</v>
      </c>
      <c r="BD201" s="19">
        <f>IFERROR(IF($E201="REC",INDEX(A_Type_Volume!$F:$F,MATCH($D201,A_Type_Volume!$A:$A,0),1),IF($E201="VAM",INDEX(C_Type_Volume!$F:$F,MATCH($D201,C_Type_Volume!$A:$A,0),1),"X")),"")</f>
        <v>811604</v>
      </c>
      <c r="BE201" s="19">
        <f>IFERROR(IF($E201="REC",INDEX(A_Type_Volume!$G:$G,MATCH($D201,A_Type_Volume!$A:$A,0),1),IF($E201="VAM",INDEX(C_Type_Volume!$G:$G,MATCH($D201,C_Type_Volume!$A:$A,0),1),"X")),"")</f>
        <v>811660</v>
      </c>
      <c r="BF201" s="19">
        <f>IFERROR(IF($E201="REC",INDEX(A_Type_Volume!$H:$H,MATCH($D201,A_Type_Volume!$A:$A,0),1),IF($E201="VAM",INDEX(C_Type_Volume!$H:$H,MATCH($D201,C_Type_Volume!$A:$A,0),1),"X")),"")</f>
        <v>845291</v>
      </c>
      <c r="BG201" s="19">
        <f>IFERROR(IF($E201="REC",INDEX(A_Type_Volume!$I:$I,MATCH($D201,A_Type_Volume!$A:$A,0),1),IF($E201="VAM",INDEX(C_Type_Volume!$I:$I,MATCH($D201,C_Type_Volume!$A:$A,0),1),"X")),"")</f>
        <v>777804</v>
      </c>
      <c r="BH201" s="19">
        <f>IFERROR(IF($E201="REC",INDEX(A_Type_Volume!$J:$J,MATCH($D201,A_Type_Volume!$A:$A,0),1),IF($E201="VAM",INDEX(C_Type_Volume!$J:$J,MATCH($D201,C_Type_Volume!$A:$A,0),1),"X")),"")</f>
        <v>845376</v>
      </c>
      <c r="BI201" s="19">
        <f>IFERROR(IF($E201="REC",INDEX(A_Type_Volume!$K:$K,MATCH($D201,A_Type_Volume!$A:$A,0),1),IF($E201="VAM",INDEX(C_Type_Volume!$K:$K,MATCH($D201,C_Type_Volume!$A:$A,0),1),"X")),"")</f>
        <v>879191</v>
      </c>
      <c r="BJ201" s="19">
        <f>IFERROR(IF($E201="REC",INDEX(A_Type_Volume!$L:$L,MATCH($D201,A_Type_Volume!$A:$A,0),1),IF($E201="VAM",INDEX(C_Type_Volume!$L:$L,MATCH($D201,C_Type_Volume!$A:$A,0),1),"X")),"")</f>
        <v>811677</v>
      </c>
      <c r="BK201" s="19">
        <f>IFERROR(IF($E201="REC",INDEX(A_Type_Volume!M:M,MATCH($D201,A_Type_Volume!$A:$A,0),1),IF($E201="VAM",INDEX(C_Type_Volume!M:M,MATCH($D201,C_Type_Volume!$A:$A,0),1),"X")),"")</f>
        <v>568675</v>
      </c>
      <c r="BL201" s="38">
        <f>SUM(Table1[[#This Row],[Jan_AVF]:[Dec_AVF]])</f>
        <v>9098186</v>
      </c>
      <c r="BM201" s="16">
        <f t="shared" si="190"/>
        <v>11744.22673608197</v>
      </c>
      <c r="BN201" s="16">
        <f t="shared" si="191"/>
        <v>11472.487578052596</v>
      </c>
      <c r="BO201" s="16">
        <f t="shared" si="192"/>
        <v>11214.466021750668</v>
      </c>
      <c r="BP201" s="16">
        <f t="shared" si="193"/>
        <v>12788.105285581698</v>
      </c>
      <c r="BQ201" s="16">
        <f t="shared" si="194"/>
        <v>13951.454175940748</v>
      </c>
      <c r="BR201" s="16">
        <f t="shared" si="195"/>
        <v>13952.416814658463</v>
      </c>
      <c r="BS201" s="16">
        <f t="shared" si="196"/>
        <v>14530.532934577861</v>
      </c>
      <c r="BT201" s="16">
        <f t="shared" si="197"/>
        <v>13370.432949891101</v>
      </c>
      <c r="BU201" s="16">
        <f t="shared" si="198"/>
        <v>14531.994082631536</v>
      </c>
      <c r="BV201" s="16">
        <f t="shared" si="199"/>
        <v>15113.273158337714</v>
      </c>
      <c r="BW201" s="16">
        <f t="shared" si="200"/>
        <v>13952.709044269199</v>
      </c>
      <c r="BX201" s="16">
        <f t="shared" si="201"/>
        <v>9775.5102285142802</v>
      </c>
      <c r="BY201" s="10">
        <f t="shared" si="168"/>
        <v>34431.180335885234</v>
      </c>
      <c r="BZ201" s="10">
        <f t="shared" si="169"/>
        <v>40691.976276180911</v>
      </c>
      <c r="CA201" s="10">
        <f t="shared" si="170"/>
        <v>42432.959967100498</v>
      </c>
      <c r="CB201" s="10">
        <f t="shared" si="171"/>
        <v>38841.492431121194</v>
      </c>
      <c r="CC201" s="10">
        <f>IFERROR(Table1[[#This Row],[Labor
Saving]]*Table1[[#This Row],[Annual Volume]],"")</f>
        <v>15148.173986235934</v>
      </c>
      <c r="CD201" s="10">
        <f>IFERROR(Table1[[#This Row],[Annual Volume]]*Table1[[#This Row],[Yield
Saving]],"")</f>
        <v>141249.4350240519</v>
      </c>
      <c r="CE201" s="10">
        <f>IFERROR(Table1[[#This Row],[Annual Volume]]*Table1[[#This Row],[Material
Saving]],"")</f>
        <v>0</v>
      </c>
      <c r="CF201" s="10">
        <f>IFERROR(Table1[[#This Row],[OH
Saving]]*Table1[[#This Row],[Annual Volume]],"")</f>
        <v>0</v>
      </c>
      <c r="CG201" s="10">
        <f>SUM(Table1[[#This Row],[Labor_ASV]:[OH_ASV]])</f>
        <v>156397.60901028782</v>
      </c>
    </row>
    <row r="202" spans="1:85" x14ac:dyDescent="0.3">
      <c r="A202" t="str">
        <f>Table1[[#This Row],[Project Name]]&amp;Table1[[#This Row],[Part Number]]</f>
        <v>New Etching Chemical Hydroflauric AcidV4</v>
      </c>
      <c r="B202" t="str">
        <f>IFERROR(Table1[[#This Row],[Project Number]]&amp;Table1[[#This Row],[Part Number]],"")</f>
        <v>AME25-068V4</v>
      </c>
      <c r="C202" s="22" t="s">
        <v>115</v>
      </c>
      <c r="D202" s="24" t="s">
        <v>216</v>
      </c>
      <c r="E202" s="25" t="s">
        <v>60</v>
      </c>
      <c r="F202" s="6">
        <f>INDEX(Proj_Reg!G:G,MATCH($C202,Proj_Reg!$B:$B,0),1)</f>
        <v>46266</v>
      </c>
      <c r="G202" s="6">
        <f>INDEX(Proj_Reg!H:H,MATCH($C202,Proj_Reg!$B:$B,0),1)</f>
        <v>46600</v>
      </c>
      <c r="H202" s="6" t="str">
        <f>IF(INDEX(Proj_Reg!C:C,MATCH($C202,Proj_Reg!$B:$B,0),1)=0,"",INDEX(Proj_Reg!C:C,MATCH($C202,Proj_Reg!$B:$B,0),1))</f>
        <v>Wet Etching</v>
      </c>
      <c r="I202" s="6" t="str">
        <f>IF(INDEX(Proj_Reg!D:D,MATCH($C202,Proj_Reg!$B:$B,0),1)=0,"",INDEX(Proj_Reg!D:D,MATCH($C202,Proj_Reg!$B:$B,0),1))</f>
        <v>XWP</v>
      </c>
      <c r="J202" s="6" t="str">
        <f>INDEX(Proj_Reg!E:E,MATCH($C202,Proj_Reg!$B:$B,0),1)</f>
        <v>New Etching Chemical Hydroflauric Acid</v>
      </c>
      <c r="K202" s="14">
        <v>5.0000000000000001E-3</v>
      </c>
      <c r="L202" s="21">
        <v>0</v>
      </c>
      <c r="M202" s="21">
        <v>0</v>
      </c>
      <c r="N202" s="21">
        <v>0</v>
      </c>
      <c r="O202" s="11">
        <f>SUM(Table1[[#This Row],[Labor
Saving]:[OH
Saving]])</f>
        <v>5.0000000000000001E-3</v>
      </c>
      <c r="Q202" s="40">
        <f t="shared" si="152"/>
        <v>0</v>
      </c>
      <c r="R202" s="40">
        <f t="shared" si="153"/>
        <v>0</v>
      </c>
      <c r="S202" s="40">
        <f t="shared" si="154"/>
        <v>0</v>
      </c>
      <c r="T202" s="40">
        <f t="shared" si="155"/>
        <v>0</v>
      </c>
      <c r="U202" s="40">
        <f t="shared" si="156"/>
        <v>0</v>
      </c>
      <c r="V202" s="40">
        <f t="shared" si="157"/>
        <v>0</v>
      </c>
      <c r="W202" s="40">
        <f t="shared" si="158"/>
        <v>0</v>
      </c>
      <c r="X202" s="40">
        <f t="shared" si="159"/>
        <v>0</v>
      </c>
      <c r="Y202" s="40">
        <f t="shared" si="160"/>
        <v>589486.79999999993</v>
      </c>
      <c r="Z202" s="40">
        <f t="shared" si="161"/>
        <v>875809</v>
      </c>
      <c r="AA202" s="40">
        <f t="shared" si="162"/>
        <v>808323</v>
      </c>
      <c r="AB202" s="40">
        <f t="shared" si="163"/>
        <v>566675</v>
      </c>
      <c r="AC202" s="37">
        <f>SUM(Table1[[#This Row],[Jan]:[Dec]])</f>
        <v>2840293.8</v>
      </c>
      <c r="AD202" s="15">
        <f t="shared" si="172"/>
        <v>0</v>
      </c>
      <c r="AE202" s="15">
        <f t="shared" si="173"/>
        <v>0</v>
      </c>
      <c r="AF202" s="15">
        <f t="shared" si="174"/>
        <v>0</v>
      </c>
      <c r="AG202" s="15">
        <f t="shared" si="175"/>
        <v>0</v>
      </c>
      <c r="AH202" s="15">
        <f t="shared" si="176"/>
        <v>0</v>
      </c>
      <c r="AI202" s="15">
        <f t="shared" si="177"/>
        <v>0</v>
      </c>
      <c r="AJ202" s="15">
        <f t="shared" si="178"/>
        <v>0</v>
      </c>
      <c r="AK202" s="15">
        <f t="shared" si="179"/>
        <v>0</v>
      </c>
      <c r="AL202" s="15">
        <f t="shared" si="180"/>
        <v>2947.4339999999997</v>
      </c>
      <c r="AM202" s="15">
        <f t="shared" si="181"/>
        <v>4379.0450000000001</v>
      </c>
      <c r="AN202" s="15">
        <f t="shared" si="182"/>
        <v>4041.6150000000002</v>
      </c>
      <c r="AO202" s="15">
        <f t="shared" si="183"/>
        <v>2833.375</v>
      </c>
      <c r="AP202" s="10">
        <f t="shared" si="184"/>
        <v>0</v>
      </c>
      <c r="AQ202" s="10">
        <f t="shared" si="185"/>
        <v>0</v>
      </c>
      <c r="AR202" s="10">
        <f t="shared" si="186"/>
        <v>2947.4339999999997</v>
      </c>
      <c r="AS202" s="10">
        <f t="shared" si="187"/>
        <v>11254.035</v>
      </c>
      <c r="AT202" s="10" t="b">
        <f t="shared" si="188"/>
        <v>1</v>
      </c>
      <c r="AU202" s="10">
        <f t="shared" si="164"/>
        <v>14201.468999999999</v>
      </c>
      <c r="AV202" s="10">
        <f t="shared" si="165"/>
        <v>0</v>
      </c>
      <c r="AW202" s="10">
        <f t="shared" si="166"/>
        <v>0</v>
      </c>
      <c r="AX202" s="10">
        <f t="shared" si="167"/>
        <v>0</v>
      </c>
      <c r="AY202" s="10">
        <f t="shared" si="189"/>
        <v>14201.468999999999</v>
      </c>
      <c r="AZ202" s="19">
        <f>IFERROR(IF($E202="REC",INDEX(A_Type_Volume!$B:$B,MATCH($D202,A_Type_Volume!$A:$A,0),1),IF($E202="VAM",INDEX(C_Type_Volume!$B:$B,MATCH($D202,C_Type_Volume!$A:$A,0),1),"X")),"")</f>
        <v>713167</v>
      </c>
      <c r="BA202" s="19">
        <f>IFERROR(IF($E202="REC",INDEX(A_Type_Volume!$C:$C,MATCH($D202,A_Type_Volume!$A:$A,0),1),IF($E202="VAM",INDEX(C_Type_Volume!$C:$C,MATCH($D202,C_Type_Volume!$A:$A,0),1),"X")),"")</f>
        <v>603260</v>
      </c>
      <c r="BB202" s="19">
        <f>IFERROR(IF($E202="REC",INDEX(A_Type_Volume!$D:$D,MATCH($D202,A_Type_Volume!$A:$A,0),1),IF($E202="VAM",INDEX(C_Type_Volume!$D:$D,MATCH($D202,C_Type_Volume!$A:$A,0),1),"X")),"")</f>
        <v>650377</v>
      </c>
      <c r="BC202" s="19">
        <f>IFERROR(IF($E202="REC",INDEX(A_Type_Volume!$E:$E,MATCH($D202,A_Type_Volume!$A:$A,0),1),IF($E202="VAM",INDEX(C_Type_Volume!$E:$E,MATCH($D202,C_Type_Volume!$A:$A,0),1),"X")),"")</f>
        <v>741072</v>
      </c>
      <c r="BD202" s="19">
        <f>IFERROR(IF($E202="REC",INDEX(A_Type_Volume!$F:$F,MATCH($D202,A_Type_Volume!$A:$A,0),1),IF($E202="VAM",INDEX(C_Type_Volume!$F:$F,MATCH($D202,C_Type_Volume!$A:$A,0),1),"X")),"")</f>
        <v>808396</v>
      </c>
      <c r="BE202" s="19">
        <f>IFERROR(IF($E202="REC",INDEX(A_Type_Volume!$G:$G,MATCH($D202,A_Type_Volume!$A:$A,0),1),IF($E202="VAM",INDEX(C_Type_Volume!$G:$G,MATCH($D202,C_Type_Volume!$A:$A,0),1),"X")),"")</f>
        <v>808340</v>
      </c>
      <c r="BF202" s="19">
        <f>IFERROR(IF($E202="REC",INDEX(A_Type_Volume!$H:$H,MATCH($D202,A_Type_Volume!$A:$A,0),1),IF($E202="VAM",INDEX(C_Type_Volume!$H:$H,MATCH($D202,C_Type_Volume!$A:$A,0),1),"X")),"")</f>
        <v>842209</v>
      </c>
      <c r="BG202" s="19">
        <f>IFERROR(IF($E202="REC",INDEX(A_Type_Volume!$I:$I,MATCH($D202,A_Type_Volume!$A:$A,0),1),IF($E202="VAM",INDEX(C_Type_Volume!$I:$I,MATCH($D202,C_Type_Volume!$A:$A,0),1),"X")),"")</f>
        <v>774696</v>
      </c>
      <c r="BH202" s="19">
        <f>IFERROR(IF($E202="REC",INDEX(A_Type_Volume!$J:$J,MATCH($D202,A_Type_Volume!$A:$A,0),1),IF($E202="VAM",INDEX(C_Type_Volume!$J:$J,MATCH($D202,C_Type_Volume!$A:$A,0),1),"X")),"")</f>
        <v>842124</v>
      </c>
      <c r="BI202" s="19">
        <f>IFERROR(IF($E202="REC",INDEX(A_Type_Volume!$K:$K,MATCH($D202,A_Type_Volume!$A:$A,0),1),IF($E202="VAM",INDEX(C_Type_Volume!$K:$K,MATCH($D202,C_Type_Volume!$A:$A,0),1),"X")),"")</f>
        <v>875809</v>
      </c>
      <c r="BJ202" s="19">
        <f>IFERROR(IF($E202="REC",INDEX(A_Type_Volume!$L:$L,MATCH($D202,A_Type_Volume!$A:$A,0),1),IF($E202="VAM",INDEX(C_Type_Volume!$L:$L,MATCH($D202,C_Type_Volume!$A:$A,0),1),"X")),"")</f>
        <v>808323</v>
      </c>
      <c r="BK202" s="19">
        <f>IFERROR(IF($E202="REC",INDEX(A_Type_Volume!M:M,MATCH($D202,A_Type_Volume!$A:$A,0),1),IF($E202="VAM",INDEX(C_Type_Volume!M:M,MATCH($D202,C_Type_Volume!$A:$A,0),1),"X")),"")</f>
        <v>566675</v>
      </c>
      <c r="BL202" s="38">
        <f>SUM(Table1[[#This Row],[Jan_AVF]:[Dec_AVF]])</f>
        <v>9034448</v>
      </c>
      <c r="BM202" s="16">
        <f t="shared" si="190"/>
        <v>3565.835</v>
      </c>
      <c r="BN202" s="16">
        <f t="shared" si="191"/>
        <v>3016.3</v>
      </c>
      <c r="BO202" s="16">
        <f t="shared" si="192"/>
        <v>3251.8850000000002</v>
      </c>
      <c r="BP202" s="16">
        <f t="shared" si="193"/>
        <v>3705.36</v>
      </c>
      <c r="BQ202" s="16">
        <f t="shared" si="194"/>
        <v>4041.98</v>
      </c>
      <c r="BR202" s="16">
        <f t="shared" si="195"/>
        <v>4041.7000000000003</v>
      </c>
      <c r="BS202" s="16">
        <f t="shared" si="196"/>
        <v>4211.0450000000001</v>
      </c>
      <c r="BT202" s="16">
        <f t="shared" si="197"/>
        <v>3873.48</v>
      </c>
      <c r="BU202" s="16">
        <f t="shared" si="198"/>
        <v>4210.62</v>
      </c>
      <c r="BV202" s="16">
        <f t="shared" si="199"/>
        <v>4379.0450000000001</v>
      </c>
      <c r="BW202" s="16">
        <f t="shared" si="200"/>
        <v>4041.6150000000002</v>
      </c>
      <c r="BX202" s="16">
        <f t="shared" si="201"/>
        <v>2833.375</v>
      </c>
      <c r="BY202" s="10">
        <f t="shared" si="168"/>
        <v>9834.02</v>
      </c>
      <c r="BZ202" s="10">
        <f t="shared" si="169"/>
        <v>11789.04</v>
      </c>
      <c r="CA202" s="10">
        <f t="shared" si="170"/>
        <v>12295.145</v>
      </c>
      <c r="CB202" s="10">
        <f t="shared" si="171"/>
        <v>11254.035</v>
      </c>
      <c r="CC202" s="10">
        <f>IFERROR(Table1[[#This Row],[Labor
Saving]]*Table1[[#This Row],[Annual Volume]],"")</f>
        <v>45172.24</v>
      </c>
      <c r="CD202" s="10">
        <f>IFERROR(Table1[[#This Row],[Annual Volume]]*Table1[[#This Row],[Yield
Saving]],"")</f>
        <v>0</v>
      </c>
      <c r="CE202" s="10">
        <f>IFERROR(Table1[[#This Row],[Annual Volume]]*Table1[[#This Row],[Material
Saving]],"")</f>
        <v>0</v>
      </c>
      <c r="CF202" s="10">
        <f>IFERROR(Table1[[#This Row],[OH
Saving]]*Table1[[#This Row],[Annual Volume]],"")</f>
        <v>0</v>
      </c>
      <c r="CG202" s="10">
        <f>SUM(Table1[[#This Row],[Labor_ASV]:[OH_ASV]])</f>
        <v>45172.24</v>
      </c>
    </row>
    <row r="203" spans="1:85" x14ac:dyDescent="0.3">
      <c r="A203" t="str">
        <f>Table1[[#This Row],[Project Name]]&amp;Table1[[#This Row],[Part Number]]</f>
        <v>New Etching Chemical Hydroflauric AcidV1</v>
      </c>
      <c r="B203" t="str">
        <f>IFERROR(Table1[[#This Row],[Project Number]]&amp;Table1[[#This Row],[Part Number]],"")</f>
        <v>AME25-068V1</v>
      </c>
      <c r="C203" s="22" t="s">
        <v>115</v>
      </c>
      <c r="D203" s="24" t="s">
        <v>213</v>
      </c>
      <c r="E203" s="25" t="s">
        <v>60</v>
      </c>
      <c r="F203" s="6">
        <f>INDEX(Proj_Reg!G:G,MATCH($C203,Proj_Reg!$B:$B,0),1)</f>
        <v>46266</v>
      </c>
      <c r="G203" s="6">
        <f>INDEX(Proj_Reg!H:H,MATCH($C203,Proj_Reg!$B:$B,0),1)</f>
        <v>46600</v>
      </c>
      <c r="H203" s="6" t="str">
        <f>IF(INDEX(Proj_Reg!C:C,MATCH($C203,Proj_Reg!$B:$B,0),1)=0,"",INDEX(Proj_Reg!C:C,MATCH($C203,Proj_Reg!$B:$B,0),1))</f>
        <v>Wet Etching</v>
      </c>
      <c r="I203" s="6" t="str">
        <f>IF(INDEX(Proj_Reg!D:D,MATCH($C203,Proj_Reg!$B:$B,0),1)=0,"",INDEX(Proj_Reg!D:D,MATCH($C203,Proj_Reg!$B:$B,0),1))</f>
        <v>XWP</v>
      </c>
      <c r="J203" s="6" t="str">
        <f>INDEX(Proj_Reg!E:E,MATCH($C203,Proj_Reg!$B:$B,0),1)</f>
        <v>New Etching Chemical Hydroflauric Acid</v>
      </c>
      <c r="K203" s="14">
        <v>5.0000000000000001E-3</v>
      </c>
      <c r="L203" s="21">
        <v>0</v>
      </c>
      <c r="M203" s="21">
        <v>0</v>
      </c>
      <c r="N203" s="21">
        <v>0</v>
      </c>
      <c r="O203" s="11">
        <f>SUM(Table1[[#This Row],[Labor
Saving]:[OH
Saving]])</f>
        <v>5.0000000000000001E-3</v>
      </c>
      <c r="Q203" s="40">
        <f t="shared" si="152"/>
        <v>0</v>
      </c>
      <c r="R203" s="40">
        <f t="shared" si="153"/>
        <v>0</v>
      </c>
      <c r="S203" s="40">
        <f t="shared" si="154"/>
        <v>0</v>
      </c>
      <c r="T203" s="40">
        <f t="shared" si="155"/>
        <v>0</v>
      </c>
      <c r="U203" s="40">
        <f t="shared" si="156"/>
        <v>0</v>
      </c>
      <c r="V203" s="40">
        <f t="shared" si="157"/>
        <v>0</v>
      </c>
      <c r="W203" s="40">
        <f t="shared" si="158"/>
        <v>0</v>
      </c>
      <c r="X203" s="40">
        <f t="shared" si="159"/>
        <v>0</v>
      </c>
      <c r="Y203" s="40">
        <f t="shared" si="160"/>
        <v>0</v>
      </c>
      <c r="Z203" s="40">
        <f t="shared" si="161"/>
        <v>0</v>
      </c>
      <c r="AA203" s="40">
        <f t="shared" si="162"/>
        <v>0</v>
      </c>
      <c r="AB203" s="40">
        <f t="shared" si="163"/>
        <v>0</v>
      </c>
      <c r="AC203" s="37">
        <f>SUM(Table1[[#This Row],[Jan]:[Dec]])</f>
        <v>0</v>
      </c>
      <c r="AD203" s="15">
        <f t="shared" si="172"/>
        <v>0</v>
      </c>
      <c r="AE203" s="15">
        <f t="shared" si="173"/>
        <v>0</v>
      </c>
      <c r="AF203" s="15">
        <f t="shared" si="174"/>
        <v>0</v>
      </c>
      <c r="AG203" s="15">
        <f t="shared" si="175"/>
        <v>0</v>
      </c>
      <c r="AH203" s="15">
        <f t="shared" si="176"/>
        <v>0</v>
      </c>
      <c r="AI203" s="15">
        <f t="shared" si="177"/>
        <v>0</v>
      </c>
      <c r="AJ203" s="15">
        <f t="shared" si="178"/>
        <v>0</v>
      </c>
      <c r="AK203" s="15">
        <f t="shared" si="179"/>
        <v>0</v>
      </c>
      <c r="AL203" s="15">
        <f t="shared" si="180"/>
        <v>0</v>
      </c>
      <c r="AM203" s="15">
        <f t="shared" si="181"/>
        <v>0</v>
      </c>
      <c r="AN203" s="15">
        <f t="shared" si="182"/>
        <v>0</v>
      </c>
      <c r="AO203" s="15">
        <f t="shared" si="183"/>
        <v>0</v>
      </c>
      <c r="AP203" s="10">
        <f t="shared" si="184"/>
        <v>0</v>
      </c>
      <c r="AQ203" s="10">
        <f t="shared" si="185"/>
        <v>0</v>
      </c>
      <c r="AR203" s="10">
        <f t="shared" si="186"/>
        <v>0</v>
      </c>
      <c r="AS203" s="10">
        <f t="shared" si="187"/>
        <v>0</v>
      </c>
      <c r="AT203" s="10" t="b">
        <f t="shared" si="188"/>
        <v>1</v>
      </c>
      <c r="AU203" s="10">
        <f t="shared" si="164"/>
        <v>0</v>
      </c>
      <c r="AV203" s="10">
        <f t="shared" si="165"/>
        <v>0</v>
      </c>
      <c r="AW203" s="10">
        <f t="shared" si="166"/>
        <v>0</v>
      </c>
      <c r="AX203" s="10">
        <f t="shared" si="167"/>
        <v>0</v>
      </c>
      <c r="AY203" s="10">
        <f t="shared" si="189"/>
        <v>0</v>
      </c>
      <c r="AZ203" s="19">
        <f>IFERROR(IF($E203="REC",INDEX(A_Type_Volume!$B:$B,MATCH($D203,A_Type_Volume!$A:$A,0),1),IF($E203="VAM",INDEX(C_Type_Volume!$B:$B,MATCH($D203,C_Type_Volume!$A:$A,0),1),"X")),"")</f>
        <v>149825</v>
      </c>
      <c r="BA203" s="19">
        <f>IFERROR(IF($E203="REC",INDEX(A_Type_Volume!$C:$C,MATCH($D203,A_Type_Volume!$A:$A,0),1),IF($E203="VAM",INDEX(C_Type_Volume!$C:$C,MATCH($D203,C_Type_Volume!$A:$A,0),1),"X")),"")</f>
        <v>66806</v>
      </c>
      <c r="BB203" s="19">
        <f>IFERROR(IF($E203="REC",INDEX(A_Type_Volume!$D:$D,MATCH($D203,A_Type_Volume!$A:$A,0),1),IF($E203="VAM",INDEX(C_Type_Volume!$D:$D,MATCH($D203,C_Type_Volume!$A:$A,0),1),"X")),"")</f>
        <v>66911</v>
      </c>
      <c r="BC203" s="19">
        <f>IFERROR(IF($E203="REC",INDEX(A_Type_Volume!$E:$E,MATCH($D203,A_Type_Volume!$A:$A,0),1),IF($E203="VAM",INDEX(C_Type_Volume!$E:$E,MATCH($D203,C_Type_Volume!$A:$A,0),1),"X")),"")</f>
        <v>0</v>
      </c>
      <c r="BD203" s="19">
        <f>IFERROR(IF($E203="REC",INDEX(A_Type_Volume!$F:$F,MATCH($D203,A_Type_Volume!$A:$A,0),1),IF($E203="VAM",INDEX(C_Type_Volume!$F:$F,MATCH($D203,C_Type_Volume!$A:$A,0),1),"X")),"")</f>
        <v>0</v>
      </c>
      <c r="BE203" s="19">
        <f>IFERROR(IF($E203="REC",INDEX(A_Type_Volume!$G:$G,MATCH($D203,A_Type_Volume!$A:$A,0),1),IF($E203="VAM",INDEX(C_Type_Volume!$G:$G,MATCH($D203,C_Type_Volume!$A:$A,0),1),"X")),"")</f>
        <v>0</v>
      </c>
      <c r="BF203" s="19">
        <f>IFERROR(IF($E203="REC",INDEX(A_Type_Volume!$H:$H,MATCH($D203,A_Type_Volume!$A:$A,0),1),IF($E203="VAM",INDEX(C_Type_Volume!$H:$H,MATCH($D203,C_Type_Volume!$A:$A,0),1),"X")),"")</f>
        <v>0</v>
      </c>
      <c r="BG203" s="19">
        <f>IFERROR(IF($E203="REC",INDEX(A_Type_Volume!$I:$I,MATCH($D203,A_Type_Volume!$A:$A,0),1),IF($E203="VAM",INDEX(C_Type_Volume!$I:$I,MATCH($D203,C_Type_Volume!$A:$A,0),1),"X")),"")</f>
        <v>0</v>
      </c>
      <c r="BH203" s="19">
        <f>IFERROR(IF($E203="REC",INDEX(A_Type_Volume!$J:$J,MATCH($D203,A_Type_Volume!$A:$A,0),1),IF($E203="VAM",INDEX(C_Type_Volume!$J:$J,MATCH($D203,C_Type_Volume!$A:$A,0),1),"X")),"")</f>
        <v>0</v>
      </c>
      <c r="BI203" s="19">
        <f>IFERROR(IF($E203="REC",INDEX(A_Type_Volume!$K:$K,MATCH($D203,A_Type_Volume!$A:$A,0),1),IF($E203="VAM",INDEX(C_Type_Volume!$K:$K,MATCH($D203,C_Type_Volume!$A:$A,0),1),"X")),"")</f>
        <v>0</v>
      </c>
      <c r="BJ203" s="19">
        <f>IFERROR(IF($E203="REC",INDEX(A_Type_Volume!$L:$L,MATCH($D203,A_Type_Volume!$A:$A,0),1),IF($E203="VAM",INDEX(C_Type_Volume!$L:$L,MATCH($D203,C_Type_Volume!$A:$A,0),1),"X")),"")</f>
        <v>0</v>
      </c>
      <c r="BK203" s="19">
        <f>IFERROR(IF($E203="REC",INDEX(A_Type_Volume!M:M,MATCH($D203,A_Type_Volume!$A:$A,0),1),IF($E203="VAM",INDEX(C_Type_Volume!M:M,MATCH($D203,C_Type_Volume!$A:$A,0),1),"X")),"")</f>
        <v>0</v>
      </c>
      <c r="BL203" s="38">
        <f>SUM(Table1[[#This Row],[Jan_AVF]:[Dec_AVF]])</f>
        <v>283542</v>
      </c>
      <c r="BM203" s="16">
        <f t="shared" si="190"/>
        <v>749.125</v>
      </c>
      <c r="BN203" s="16">
        <f t="shared" si="191"/>
        <v>334.03000000000003</v>
      </c>
      <c r="BO203" s="16">
        <f t="shared" si="192"/>
        <v>334.55500000000001</v>
      </c>
      <c r="BP203" s="16">
        <f t="shared" si="193"/>
        <v>0</v>
      </c>
      <c r="BQ203" s="16">
        <f t="shared" si="194"/>
        <v>0</v>
      </c>
      <c r="BR203" s="16">
        <f t="shared" si="195"/>
        <v>0</v>
      </c>
      <c r="BS203" s="16">
        <f t="shared" si="196"/>
        <v>0</v>
      </c>
      <c r="BT203" s="16">
        <f t="shared" si="197"/>
        <v>0</v>
      </c>
      <c r="BU203" s="16">
        <f t="shared" si="198"/>
        <v>0</v>
      </c>
      <c r="BV203" s="16">
        <f t="shared" si="199"/>
        <v>0</v>
      </c>
      <c r="BW203" s="16">
        <f t="shared" si="200"/>
        <v>0</v>
      </c>
      <c r="BX203" s="16">
        <f t="shared" si="201"/>
        <v>0</v>
      </c>
      <c r="BY203" s="10">
        <f t="shared" si="168"/>
        <v>1417.71</v>
      </c>
      <c r="BZ203" s="10">
        <f t="shared" si="169"/>
        <v>0</v>
      </c>
      <c r="CA203" s="10">
        <f t="shared" si="170"/>
        <v>0</v>
      </c>
      <c r="CB203" s="10">
        <f t="shared" si="171"/>
        <v>0</v>
      </c>
      <c r="CC203" s="10">
        <f>IFERROR(Table1[[#This Row],[Labor
Saving]]*Table1[[#This Row],[Annual Volume]],"")</f>
        <v>1417.71</v>
      </c>
      <c r="CD203" s="10">
        <f>IFERROR(Table1[[#This Row],[Annual Volume]]*Table1[[#This Row],[Yield
Saving]],"")</f>
        <v>0</v>
      </c>
      <c r="CE203" s="10">
        <f>IFERROR(Table1[[#This Row],[Annual Volume]]*Table1[[#This Row],[Material
Saving]],"")</f>
        <v>0</v>
      </c>
      <c r="CF203" s="10">
        <f>IFERROR(Table1[[#This Row],[OH
Saving]]*Table1[[#This Row],[Annual Volume]],"")</f>
        <v>0</v>
      </c>
      <c r="CG203" s="10">
        <f>SUM(Table1[[#This Row],[Labor_ASV]:[OH_ASV]])</f>
        <v>1417.71</v>
      </c>
    </row>
    <row r="204" spans="1:85" x14ac:dyDescent="0.3">
      <c r="A204" t="str">
        <f>Table1[[#This Row],[Project Name]]&amp;Table1[[#This Row],[Part Number]]</f>
        <v>New Etching Chemical Diammonium CeriumR2</v>
      </c>
      <c r="B204" t="str">
        <f>IFERROR(Table1[[#This Row],[Project Number]]&amp;Table1[[#This Row],[Part Number]],"")</f>
        <v>AME25-072R2</v>
      </c>
      <c r="C204" s="22" t="s">
        <v>119</v>
      </c>
      <c r="D204" s="24" t="s">
        <v>240</v>
      </c>
      <c r="E204" s="25" t="s">
        <v>58</v>
      </c>
      <c r="F204" s="6">
        <f>INDEX(Proj_Reg!G:G,MATCH($C204,Proj_Reg!$B:$B,0),1)</f>
        <v>46266</v>
      </c>
      <c r="G204" s="6">
        <f>INDEX(Proj_Reg!H:H,MATCH($C204,Proj_Reg!$B:$B,0),1)</f>
        <v>46600</v>
      </c>
      <c r="H204" s="6" t="str">
        <f>IF(INDEX(Proj_Reg!C:C,MATCH($C204,Proj_Reg!$B:$B,0),1)=0,"",INDEX(Proj_Reg!C:C,MATCH($C204,Proj_Reg!$B:$B,0),1))</f>
        <v>Wet Etching</v>
      </c>
      <c r="I204" s="6" t="str">
        <f>IF(INDEX(Proj_Reg!D:D,MATCH($C204,Proj_Reg!$B:$B,0),1)=0,"",INDEX(Proj_Reg!D:D,MATCH($C204,Proj_Reg!$B:$B,0),1))</f>
        <v>XWP</v>
      </c>
      <c r="J204" s="6" t="str">
        <f>INDEX(Proj_Reg!E:E,MATCH($C204,Proj_Reg!$B:$B,0),1)</f>
        <v>New Etching Chemical Diammonium Cerium</v>
      </c>
      <c r="K204" s="21">
        <v>5.0000000000000001E-3</v>
      </c>
      <c r="L204" s="21">
        <v>0</v>
      </c>
      <c r="M204" s="21">
        <v>0</v>
      </c>
      <c r="N204" s="21">
        <v>0</v>
      </c>
      <c r="O204" s="11">
        <f>SUM(Table1[[#This Row],[Labor
Saving]:[OH
Saving]])</f>
        <v>5.0000000000000001E-3</v>
      </c>
      <c r="Q204" s="40">
        <f t="shared" si="152"/>
        <v>0</v>
      </c>
      <c r="R204" s="40">
        <f t="shared" si="153"/>
        <v>0</v>
      </c>
      <c r="S204" s="40">
        <f t="shared" si="154"/>
        <v>0</v>
      </c>
      <c r="T204" s="40">
        <f t="shared" si="155"/>
        <v>0</v>
      </c>
      <c r="U204" s="40">
        <f t="shared" si="156"/>
        <v>0</v>
      </c>
      <c r="V204" s="40">
        <f t="shared" si="157"/>
        <v>0</v>
      </c>
      <c r="W204" s="40">
        <f t="shared" si="158"/>
        <v>0</v>
      </c>
      <c r="X204" s="40">
        <f t="shared" si="159"/>
        <v>0</v>
      </c>
      <c r="Y204" s="40">
        <f t="shared" si="160"/>
        <v>164971.79999999999</v>
      </c>
      <c r="Z204" s="40">
        <f t="shared" si="161"/>
        <v>200362</v>
      </c>
      <c r="AA204" s="40">
        <f t="shared" si="162"/>
        <v>202313</v>
      </c>
      <c r="AB204" s="40">
        <f t="shared" si="163"/>
        <v>202350</v>
      </c>
      <c r="AC204" s="37">
        <f>SUM(Table1[[#This Row],[Jan]:[Dec]])</f>
        <v>769996.80000000005</v>
      </c>
      <c r="AD204" s="15">
        <f t="shared" si="172"/>
        <v>0</v>
      </c>
      <c r="AE204" s="15">
        <f t="shared" si="173"/>
        <v>0</v>
      </c>
      <c r="AF204" s="15">
        <f t="shared" si="174"/>
        <v>0</v>
      </c>
      <c r="AG204" s="15">
        <f t="shared" si="175"/>
        <v>0</v>
      </c>
      <c r="AH204" s="15">
        <f t="shared" si="176"/>
        <v>0</v>
      </c>
      <c r="AI204" s="15">
        <f t="shared" si="177"/>
        <v>0</v>
      </c>
      <c r="AJ204" s="15">
        <f t="shared" si="178"/>
        <v>0</v>
      </c>
      <c r="AK204" s="15">
        <f t="shared" si="179"/>
        <v>0</v>
      </c>
      <c r="AL204" s="15">
        <f t="shared" si="180"/>
        <v>824.85899999999992</v>
      </c>
      <c r="AM204" s="15">
        <f t="shared" si="181"/>
        <v>1001.8100000000001</v>
      </c>
      <c r="AN204" s="15">
        <f t="shared" si="182"/>
        <v>1011.5650000000001</v>
      </c>
      <c r="AO204" s="15">
        <f t="shared" si="183"/>
        <v>1011.75</v>
      </c>
      <c r="AP204" s="10">
        <f t="shared" si="184"/>
        <v>0</v>
      </c>
      <c r="AQ204" s="10">
        <f t="shared" si="185"/>
        <v>0</v>
      </c>
      <c r="AR204" s="10">
        <f t="shared" si="186"/>
        <v>824.85899999999992</v>
      </c>
      <c r="AS204" s="10">
        <f t="shared" si="187"/>
        <v>3025.125</v>
      </c>
      <c r="AT204" s="10" t="b">
        <f t="shared" si="188"/>
        <v>1</v>
      </c>
      <c r="AU204" s="10">
        <f t="shared" si="164"/>
        <v>3849.9840000000004</v>
      </c>
      <c r="AV204" s="10">
        <f t="shared" si="165"/>
        <v>0</v>
      </c>
      <c r="AW204" s="10">
        <f t="shared" si="166"/>
        <v>0</v>
      </c>
      <c r="AX204" s="10">
        <f t="shared" si="167"/>
        <v>0</v>
      </c>
      <c r="AY204" s="10">
        <f t="shared" si="189"/>
        <v>3849.9840000000004</v>
      </c>
      <c r="AZ204" s="19">
        <f>IFERROR(IF($E204="REC",INDEX(A_Type_Volume!$B:$B,MATCH($D204,A_Type_Volume!$A:$A,0),1),IF($E204="VAM",INDEX(C_Type_Volume!$B:$B,MATCH($D204,C_Type_Volume!$A:$A,0),1),"X")),"")</f>
        <v>193555</v>
      </c>
      <c r="BA204" s="19">
        <f>IFERROR(IF($E204="REC",INDEX(A_Type_Volume!$C:$C,MATCH($D204,A_Type_Volume!$A:$A,0),1),IF($E204="VAM",INDEX(C_Type_Volume!$C:$C,MATCH($D204,C_Type_Volume!$A:$A,0),1),"X")),"")</f>
        <v>223034</v>
      </c>
      <c r="BB204" s="19">
        <f>IFERROR(IF($E204="REC",INDEX(A_Type_Volume!$D:$D,MATCH($D204,A_Type_Volume!$A:$A,0),1),IF($E204="VAM",INDEX(C_Type_Volume!$D:$D,MATCH($D204,C_Type_Volume!$A:$A,0),1),"X")),"")</f>
        <v>203369</v>
      </c>
      <c r="BC204" s="19">
        <f>IFERROR(IF($E204="REC",INDEX(A_Type_Volume!$E:$E,MATCH($D204,A_Type_Volume!$A:$A,0),1),IF($E204="VAM",INDEX(C_Type_Volume!$E:$E,MATCH($D204,C_Type_Volume!$A:$A,0),1),"X")),"")</f>
        <v>186567</v>
      </c>
      <c r="BD204" s="19">
        <f>IFERROR(IF($E204="REC",INDEX(A_Type_Volume!$F:$F,MATCH($D204,A_Type_Volume!$A:$A,0),1),IF($E204="VAM",INDEX(C_Type_Volume!$F:$F,MATCH($D204,C_Type_Volume!$A:$A,0),1),"X")),"")</f>
        <v>198173</v>
      </c>
      <c r="BE204" s="19">
        <f>IFERROR(IF($E204="REC",INDEX(A_Type_Volume!$G:$G,MATCH($D204,A_Type_Volume!$A:$A,0),1),IF($E204="VAM",INDEX(C_Type_Volume!$G:$G,MATCH($D204,C_Type_Volume!$A:$A,0),1),"X")),"")</f>
        <v>263368</v>
      </c>
      <c r="BF204" s="19">
        <f>IFERROR(IF($E204="REC",INDEX(A_Type_Volume!$H:$H,MATCH($D204,A_Type_Volume!$A:$A,0),1),IF($E204="VAM",INDEX(C_Type_Volume!$H:$H,MATCH($D204,C_Type_Volume!$A:$A,0),1),"X")),"")</f>
        <v>235171</v>
      </c>
      <c r="BG204" s="19">
        <f>IFERROR(IF($E204="REC",INDEX(A_Type_Volume!$I:$I,MATCH($D204,A_Type_Volume!$A:$A,0),1),IF($E204="VAM",INDEX(C_Type_Volume!$I:$I,MATCH($D204,C_Type_Volume!$A:$A,0),1),"X")),"")</f>
        <v>185560</v>
      </c>
      <c r="BH204" s="19">
        <f>IFERROR(IF($E204="REC",INDEX(A_Type_Volume!$J:$J,MATCH($D204,A_Type_Volume!$A:$A,0),1),IF($E204="VAM",INDEX(C_Type_Volume!$J:$J,MATCH($D204,C_Type_Volume!$A:$A,0),1),"X")),"")</f>
        <v>235674</v>
      </c>
      <c r="BI204" s="19">
        <f>IFERROR(IF($E204="REC",INDEX(A_Type_Volume!$K:$K,MATCH($D204,A_Type_Volume!$A:$A,0),1),IF($E204="VAM",INDEX(C_Type_Volume!$K:$K,MATCH($D204,C_Type_Volume!$A:$A,0),1),"X")),"")</f>
        <v>200362</v>
      </c>
      <c r="BJ204" s="19">
        <f>IFERROR(IF($E204="REC",INDEX(A_Type_Volume!$L:$L,MATCH($D204,A_Type_Volume!$A:$A,0),1),IF($E204="VAM",INDEX(C_Type_Volume!$L:$L,MATCH($D204,C_Type_Volume!$A:$A,0),1),"X")),"")</f>
        <v>202313</v>
      </c>
      <c r="BK204" s="19">
        <f>IFERROR(IF($E204="REC",INDEX(A_Type_Volume!M:M,MATCH($D204,A_Type_Volume!$A:$A,0),1),IF($E204="VAM",INDEX(C_Type_Volume!M:M,MATCH($D204,C_Type_Volume!$A:$A,0),1),"X")),"")</f>
        <v>202350</v>
      </c>
      <c r="BL204" s="38">
        <f>SUM(Table1[[#This Row],[Jan_AVF]:[Dec_AVF]])</f>
        <v>2529496</v>
      </c>
      <c r="BM204" s="16">
        <f t="shared" si="190"/>
        <v>967.77499999999998</v>
      </c>
      <c r="BN204" s="16">
        <f t="shared" si="191"/>
        <v>1115.17</v>
      </c>
      <c r="BO204" s="16">
        <f t="shared" si="192"/>
        <v>1016.845</v>
      </c>
      <c r="BP204" s="16">
        <f t="shared" si="193"/>
        <v>932.83500000000004</v>
      </c>
      <c r="BQ204" s="16">
        <f t="shared" si="194"/>
        <v>990.86500000000001</v>
      </c>
      <c r="BR204" s="16">
        <f t="shared" si="195"/>
        <v>1316.84</v>
      </c>
      <c r="BS204" s="16">
        <f t="shared" si="196"/>
        <v>1175.855</v>
      </c>
      <c r="BT204" s="16">
        <f t="shared" si="197"/>
        <v>927.80000000000007</v>
      </c>
      <c r="BU204" s="16">
        <f t="shared" si="198"/>
        <v>1178.3700000000001</v>
      </c>
      <c r="BV204" s="16">
        <f t="shared" si="199"/>
        <v>1001.8100000000001</v>
      </c>
      <c r="BW204" s="16">
        <f t="shared" si="200"/>
        <v>1011.5650000000001</v>
      </c>
      <c r="BX204" s="16">
        <f t="shared" si="201"/>
        <v>1011.75</v>
      </c>
      <c r="BY204" s="10">
        <f t="shared" si="168"/>
        <v>3099.79</v>
      </c>
      <c r="BZ204" s="10">
        <f t="shared" si="169"/>
        <v>3240.54</v>
      </c>
      <c r="CA204" s="10">
        <f t="shared" si="170"/>
        <v>3282.0250000000005</v>
      </c>
      <c r="CB204" s="10">
        <f t="shared" si="171"/>
        <v>3025.125</v>
      </c>
      <c r="CC204" s="10">
        <f>IFERROR(Table1[[#This Row],[Labor
Saving]]*Table1[[#This Row],[Annual Volume]],"")</f>
        <v>12647.48</v>
      </c>
      <c r="CD204" s="10">
        <f>IFERROR(Table1[[#This Row],[Annual Volume]]*Table1[[#This Row],[Yield
Saving]],"")</f>
        <v>0</v>
      </c>
      <c r="CE204" s="10">
        <f>IFERROR(Table1[[#This Row],[Annual Volume]]*Table1[[#This Row],[Material
Saving]],"")</f>
        <v>0</v>
      </c>
      <c r="CF204" s="10">
        <f>IFERROR(Table1[[#This Row],[OH
Saving]]*Table1[[#This Row],[Annual Volume]],"")</f>
        <v>0</v>
      </c>
      <c r="CG204" s="10">
        <f>SUM(Table1[[#This Row],[Labor_ASV]:[OH_ASV]])</f>
        <v>12647.48</v>
      </c>
    </row>
    <row r="205" spans="1:85" x14ac:dyDescent="0.3">
      <c r="A205" t="str">
        <f>Table1[[#This Row],[Project Name]]&amp;Table1[[#This Row],[Part Number]]</f>
        <v>New Etching Chemical Diammonium CeriumR3</v>
      </c>
      <c r="B205" t="str">
        <f>IFERROR(Table1[[#This Row],[Project Number]]&amp;Table1[[#This Row],[Part Number]],"")</f>
        <v>AME25-072R3</v>
      </c>
      <c r="C205" s="22" t="s">
        <v>119</v>
      </c>
      <c r="D205" s="24" t="s">
        <v>241</v>
      </c>
      <c r="E205" s="25" t="s">
        <v>58</v>
      </c>
      <c r="F205" s="6">
        <f>INDEX(Proj_Reg!G:G,MATCH($C205,Proj_Reg!$B:$B,0),1)</f>
        <v>46266</v>
      </c>
      <c r="G205" s="6">
        <f>INDEX(Proj_Reg!H:H,MATCH($C205,Proj_Reg!$B:$B,0),1)</f>
        <v>46600</v>
      </c>
      <c r="H205" s="6" t="str">
        <f>IF(INDEX(Proj_Reg!C:C,MATCH($C205,Proj_Reg!$B:$B,0),1)=0,"",INDEX(Proj_Reg!C:C,MATCH($C205,Proj_Reg!$B:$B,0),1))</f>
        <v>Wet Etching</v>
      </c>
      <c r="I205" s="6" t="str">
        <f>IF(INDEX(Proj_Reg!D:D,MATCH($C205,Proj_Reg!$B:$B,0),1)=0,"",INDEX(Proj_Reg!D:D,MATCH($C205,Proj_Reg!$B:$B,0),1))</f>
        <v>XWP</v>
      </c>
      <c r="J205" s="6" t="str">
        <f>INDEX(Proj_Reg!E:E,MATCH($C205,Proj_Reg!$B:$B,0),1)</f>
        <v>New Etching Chemical Diammonium Cerium</v>
      </c>
      <c r="K205" s="21">
        <v>3.8464836601307191E-3</v>
      </c>
      <c r="L205" s="21">
        <v>1.4564074192795651E-2</v>
      </c>
      <c r="M205" s="21">
        <v>0</v>
      </c>
      <c r="N205" s="21">
        <v>0</v>
      </c>
      <c r="O205" s="11">
        <f>SUM(Table1[[#This Row],[Labor
Saving]:[OH
Saving]])</f>
        <v>1.8410557852926369E-2</v>
      </c>
      <c r="Q205" s="40">
        <f t="shared" si="152"/>
        <v>0</v>
      </c>
      <c r="R205" s="40">
        <f t="shared" si="153"/>
        <v>0</v>
      </c>
      <c r="S205" s="40">
        <f t="shared" si="154"/>
        <v>0</v>
      </c>
      <c r="T205" s="40">
        <f t="shared" si="155"/>
        <v>0</v>
      </c>
      <c r="U205" s="40">
        <f t="shared" si="156"/>
        <v>0</v>
      </c>
      <c r="V205" s="40">
        <f t="shared" si="157"/>
        <v>0</v>
      </c>
      <c r="W205" s="40">
        <f t="shared" si="158"/>
        <v>0</v>
      </c>
      <c r="X205" s="40">
        <f t="shared" si="159"/>
        <v>0</v>
      </c>
      <c r="Y205" s="40">
        <f t="shared" si="160"/>
        <v>164971.79999999999</v>
      </c>
      <c r="Z205" s="40">
        <f t="shared" si="161"/>
        <v>200362</v>
      </c>
      <c r="AA205" s="40">
        <f t="shared" si="162"/>
        <v>202313</v>
      </c>
      <c r="AB205" s="40">
        <f t="shared" si="163"/>
        <v>202350</v>
      </c>
      <c r="AC205" s="37">
        <f>SUM(Table1[[#This Row],[Jan]:[Dec]])</f>
        <v>769996.80000000005</v>
      </c>
      <c r="AD205" s="15">
        <f t="shared" si="172"/>
        <v>0</v>
      </c>
      <c r="AE205" s="15">
        <f t="shared" si="173"/>
        <v>0</v>
      </c>
      <c r="AF205" s="15">
        <f t="shared" si="174"/>
        <v>0</v>
      </c>
      <c r="AG205" s="15">
        <f t="shared" si="175"/>
        <v>0</v>
      </c>
      <c r="AH205" s="15">
        <f t="shared" si="176"/>
        <v>0</v>
      </c>
      <c r="AI205" s="15">
        <f t="shared" si="177"/>
        <v>0</v>
      </c>
      <c r="AJ205" s="15">
        <f t="shared" si="178"/>
        <v>0</v>
      </c>
      <c r="AK205" s="15">
        <f t="shared" si="179"/>
        <v>0</v>
      </c>
      <c r="AL205" s="15">
        <f t="shared" si="180"/>
        <v>3037.2228680013982</v>
      </c>
      <c r="AM205" s="15">
        <f t="shared" si="181"/>
        <v>3688.7761925280333</v>
      </c>
      <c r="AN205" s="15">
        <f t="shared" si="182"/>
        <v>3724.6951908990927</v>
      </c>
      <c r="AO205" s="15">
        <f t="shared" si="183"/>
        <v>3725.376381539651</v>
      </c>
      <c r="AP205" s="10">
        <f t="shared" si="184"/>
        <v>0</v>
      </c>
      <c r="AQ205" s="10">
        <f t="shared" si="185"/>
        <v>0</v>
      </c>
      <c r="AR205" s="10">
        <f t="shared" si="186"/>
        <v>3037.2228680013982</v>
      </c>
      <c r="AS205" s="10">
        <f t="shared" si="187"/>
        <v>11138.847764966777</v>
      </c>
      <c r="AT205" s="10" t="b">
        <f t="shared" si="188"/>
        <v>1</v>
      </c>
      <c r="AU205" s="10">
        <f t="shared" si="164"/>
        <v>2961.7801095529417</v>
      </c>
      <c r="AV205" s="10">
        <f t="shared" si="165"/>
        <v>11214.290523415235</v>
      </c>
      <c r="AW205" s="10">
        <f t="shared" si="166"/>
        <v>0</v>
      </c>
      <c r="AX205" s="10">
        <f t="shared" si="167"/>
        <v>0</v>
      </c>
      <c r="AY205" s="10">
        <f t="shared" si="189"/>
        <v>14176.070632968176</v>
      </c>
      <c r="AZ205" s="19">
        <f>IFERROR(IF($E205="REC",INDEX(A_Type_Volume!$B:$B,MATCH($D205,A_Type_Volume!$A:$A,0),1),IF($E205="VAM",INDEX(C_Type_Volume!$B:$B,MATCH($D205,C_Type_Volume!$A:$A,0),1),"X")),"")</f>
        <v>193555</v>
      </c>
      <c r="BA205" s="19">
        <f>IFERROR(IF($E205="REC",INDEX(A_Type_Volume!$C:$C,MATCH($D205,A_Type_Volume!$A:$A,0),1),IF($E205="VAM",INDEX(C_Type_Volume!$C:$C,MATCH($D205,C_Type_Volume!$A:$A,0),1),"X")),"")</f>
        <v>223034</v>
      </c>
      <c r="BB205" s="19">
        <f>IFERROR(IF($E205="REC",INDEX(A_Type_Volume!$D:$D,MATCH($D205,A_Type_Volume!$A:$A,0),1),IF($E205="VAM",INDEX(C_Type_Volume!$D:$D,MATCH($D205,C_Type_Volume!$A:$A,0),1),"X")),"")</f>
        <v>203369</v>
      </c>
      <c r="BC205" s="19">
        <f>IFERROR(IF($E205="REC",INDEX(A_Type_Volume!$E:$E,MATCH($D205,A_Type_Volume!$A:$A,0),1),IF($E205="VAM",INDEX(C_Type_Volume!$E:$E,MATCH($D205,C_Type_Volume!$A:$A,0),1),"X")),"")</f>
        <v>186567</v>
      </c>
      <c r="BD205" s="19">
        <f>IFERROR(IF($E205="REC",INDEX(A_Type_Volume!$F:$F,MATCH($D205,A_Type_Volume!$A:$A,0),1),IF($E205="VAM",INDEX(C_Type_Volume!$F:$F,MATCH($D205,C_Type_Volume!$A:$A,0),1),"X")),"")</f>
        <v>198173</v>
      </c>
      <c r="BE205" s="19">
        <f>IFERROR(IF($E205="REC",INDEX(A_Type_Volume!$G:$G,MATCH($D205,A_Type_Volume!$A:$A,0),1),IF($E205="VAM",INDEX(C_Type_Volume!$G:$G,MATCH($D205,C_Type_Volume!$A:$A,0),1),"X")),"")</f>
        <v>263368</v>
      </c>
      <c r="BF205" s="19">
        <f>IFERROR(IF($E205="REC",INDEX(A_Type_Volume!$H:$H,MATCH($D205,A_Type_Volume!$A:$A,0),1),IF($E205="VAM",INDEX(C_Type_Volume!$H:$H,MATCH($D205,C_Type_Volume!$A:$A,0),1),"X")),"")</f>
        <v>235171</v>
      </c>
      <c r="BG205" s="19">
        <f>IFERROR(IF($E205="REC",INDEX(A_Type_Volume!$I:$I,MATCH($D205,A_Type_Volume!$A:$A,0),1),IF($E205="VAM",INDEX(C_Type_Volume!$I:$I,MATCH($D205,C_Type_Volume!$A:$A,0),1),"X")),"")</f>
        <v>185560</v>
      </c>
      <c r="BH205" s="19">
        <f>IFERROR(IF($E205="REC",INDEX(A_Type_Volume!$J:$J,MATCH($D205,A_Type_Volume!$A:$A,0),1),IF($E205="VAM",INDEX(C_Type_Volume!$J:$J,MATCH($D205,C_Type_Volume!$A:$A,0),1),"X")),"")</f>
        <v>235674</v>
      </c>
      <c r="BI205" s="19">
        <f>IFERROR(IF($E205="REC",INDEX(A_Type_Volume!$K:$K,MATCH($D205,A_Type_Volume!$A:$A,0),1),IF($E205="VAM",INDEX(C_Type_Volume!$K:$K,MATCH($D205,C_Type_Volume!$A:$A,0),1),"X")),"")</f>
        <v>200362</v>
      </c>
      <c r="BJ205" s="19">
        <f>IFERROR(IF($E205="REC",INDEX(A_Type_Volume!$L:$L,MATCH($D205,A_Type_Volume!$A:$A,0),1),IF($E205="VAM",INDEX(C_Type_Volume!$L:$L,MATCH($D205,C_Type_Volume!$A:$A,0),1),"X")),"")</f>
        <v>202313</v>
      </c>
      <c r="BK205" s="19">
        <f>IFERROR(IF($E205="REC",INDEX(A_Type_Volume!M:M,MATCH($D205,A_Type_Volume!$A:$A,0),1),IF($E205="VAM",INDEX(C_Type_Volume!M:M,MATCH($D205,C_Type_Volume!$A:$A,0),1),"X")),"")</f>
        <v>202350</v>
      </c>
      <c r="BL205" s="38">
        <f>SUM(Table1[[#This Row],[Jan_AVF]:[Dec_AVF]])</f>
        <v>2529496</v>
      </c>
      <c r="BM205" s="16">
        <f t="shared" si="190"/>
        <v>3563.4555252231635</v>
      </c>
      <c r="BN205" s="16">
        <f t="shared" si="191"/>
        <v>4106.1803601695801</v>
      </c>
      <c r="BO205" s="16">
        <f t="shared" si="192"/>
        <v>3744.1367399917826</v>
      </c>
      <c r="BP205" s="16">
        <f t="shared" si="193"/>
        <v>3434.8025469469139</v>
      </c>
      <c r="BQ205" s="16">
        <f t="shared" si="194"/>
        <v>3648.4754813879772</v>
      </c>
      <c r="BR205" s="16">
        <f t="shared" si="195"/>
        <v>4848.7518006095124</v>
      </c>
      <c r="BS205" s="16">
        <f t="shared" si="196"/>
        <v>4329.6293008305474</v>
      </c>
      <c r="BT205" s="16">
        <f t="shared" si="197"/>
        <v>3416.2631151890173</v>
      </c>
      <c r="BU205" s="16">
        <f t="shared" si="198"/>
        <v>4338.8898114305694</v>
      </c>
      <c r="BV205" s="16">
        <f t="shared" si="199"/>
        <v>3688.7761925280333</v>
      </c>
      <c r="BW205" s="16">
        <f t="shared" si="200"/>
        <v>3724.6951908990927</v>
      </c>
      <c r="BX205" s="16">
        <f t="shared" si="201"/>
        <v>3725.376381539651</v>
      </c>
      <c r="BY205" s="10">
        <f t="shared" si="168"/>
        <v>11413.772625384525</v>
      </c>
      <c r="BZ205" s="10">
        <f t="shared" si="169"/>
        <v>11932.029828944404</v>
      </c>
      <c r="CA205" s="10">
        <f t="shared" si="170"/>
        <v>12084.782227450134</v>
      </c>
      <c r="CB205" s="10">
        <f t="shared" si="171"/>
        <v>11138.847764966777</v>
      </c>
      <c r="CC205" s="10">
        <f>IFERROR(Table1[[#This Row],[Labor
Saving]]*Table1[[#This Row],[Annual Volume]],"")</f>
        <v>9729.6650323660142</v>
      </c>
      <c r="CD205" s="10">
        <f>IFERROR(Table1[[#This Row],[Annual Volume]]*Table1[[#This Row],[Yield
Saving]],"")</f>
        <v>36839.767414379829</v>
      </c>
      <c r="CE205" s="10">
        <f>IFERROR(Table1[[#This Row],[Annual Volume]]*Table1[[#This Row],[Material
Saving]],"")</f>
        <v>0</v>
      </c>
      <c r="CF205" s="10">
        <f>IFERROR(Table1[[#This Row],[OH
Saving]]*Table1[[#This Row],[Annual Volume]],"")</f>
        <v>0</v>
      </c>
      <c r="CG205" s="10">
        <f>SUM(Table1[[#This Row],[Labor_ASV]:[OH_ASV]])</f>
        <v>46569.432446745843</v>
      </c>
    </row>
    <row r="206" spans="1:85" x14ac:dyDescent="0.3">
      <c r="A206" t="str">
        <f>Table1[[#This Row],[Project Name]]&amp;Table1[[#This Row],[Part Number]]</f>
        <v>New Etching Chemical Diammonium CeriumR11</v>
      </c>
      <c r="B206" t="str">
        <f>IFERROR(Table1[[#This Row],[Project Number]]&amp;Table1[[#This Row],[Part Number]],"")</f>
        <v>AME25-072R11</v>
      </c>
      <c r="C206" s="22" t="s">
        <v>119</v>
      </c>
      <c r="D206" s="24" t="s">
        <v>249</v>
      </c>
      <c r="E206" s="25" t="s">
        <v>58</v>
      </c>
      <c r="F206" s="6">
        <f>INDEX(Proj_Reg!G:G,MATCH($C206,Proj_Reg!$B:$B,0),1)</f>
        <v>46266</v>
      </c>
      <c r="G206" s="6">
        <f>INDEX(Proj_Reg!H:H,MATCH($C206,Proj_Reg!$B:$B,0),1)</f>
        <v>46600</v>
      </c>
      <c r="H206" s="6" t="str">
        <f>IF(INDEX(Proj_Reg!C:C,MATCH($C206,Proj_Reg!$B:$B,0),1)=0,"",INDEX(Proj_Reg!C:C,MATCH($C206,Proj_Reg!$B:$B,0),1))</f>
        <v>Wet Etching</v>
      </c>
      <c r="I206" s="6" t="str">
        <f>IF(INDEX(Proj_Reg!D:D,MATCH($C206,Proj_Reg!$B:$B,0),1)=0,"",INDEX(Proj_Reg!D:D,MATCH($C206,Proj_Reg!$B:$B,0),1))</f>
        <v>XWP</v>
      </c>
      <c r="J206" s="6" t="str">
        <f>INDEX(Proj_Reg!E:E,MATCH($C206,Proj_Reg!$B:$B,0),1)</f>
        <v>New Etching Chemical Diammonium Cerium</v>
      </c>
      <c r="K206" s="21">
        <v>3.8464836601307191E-3</v>
      </c>
      <c r="L206" s="21">
        <v>1.4564074192795651E-2</v>
      </c>
      <c r="M206" s="21">
        <v>0</v>
      </c>
      <c r="N206" s="21">
        <v>0</v>
      </c>
      <c r="O206" s="11">
        <f>SUM(Table1[[#This Row],[Labor
Saving]:[OH
Saving]])</f>
        <v>1.8410557852926369E-2</v>
      </c>
      <c r="Q206" s="40">
        <f t="shared" si="152"/>
        <v>0</v>
      </c>
      <c r="R206" s="40">
        <f t="shared" si="153"/>
        <v>0</v>
      </c>
      <c r="S206" s="40">
        <f t="shared" si="154"/>
        <v>0</v>
      </c>
      <c r="T206" s="40">
        <f t="shared" si="155"/>
        <v>0</v>
      </c>
      <c r="U206" s="40">
        <f t="shared" si="156"/>
        <v>0</v>
      </c>
      <c r="V206" s="40">
        <f t="shared" si="157"/>
        <v>0</v>
      </c>
      <c r="W206" s="40">
        <f t="shared" si="158"/>
        <v>0</v>
      </c>
      <c r="X206" s="40">
        <f t="shared" si="159"/>
        <v>0</v>
      </c>
      <c r="Y206" s="40">
        <f t="shared" si="160"/>
        <v>391522.6</v>
      </c>
      <c r="Z206" s="40">
        <f t="shared" si="161"/>
        <v>505159</v>
      </c>
      <c r="AA206" s="40">
        <f t="shared" si="162"/>
        <v>481920</v>
      </c>
      <c r="AB206" s="40">
        <f t="shared" si="163"/>
        <v>419140</v>
      </c>
      <c r="AC206" s="37">
        <f>SUM(Table1[[#This Row],[Jan]:[Dec]])</f>
        <v>1797741.6</v>
      </c>
      <c r="AD206" s="15">
        <f t="shared" si="172"/>
        <v>0</v>
      </c>
      <c r="AE206" s="15">
        <f t="shared" si="173"/>
        <v>0</v>
      </c>
      <c r="AF206" s="15">
        <f t="shared" si="174"/>
        <v>0</v>
      </c>
      <c r="AG206" s="15">
        <f t="shared" si="175"/>
        <v>0</v>
      </c>
      <c r="AH206" s="15">
        <f t="shared" si="176"/>
        <v>0</v>
      </c>
      <c r="AI206" s="15">
        <f t="shared" si="177"/>
        <v>0</v>
      </c>
      <c r="AJ206" s="15">
        <f t="shared" si="178"/>
        <v>0</v>
      </c>
      <c r="AK206" s="15">
        <f t="shared" si="179"/>
        <v>0</v>
      </c>
      <c r="AL206" s="15">
        <f t="shared" si="180"/>
        <v>7208.1494780281491</v>
      </c>
      <c r="AM206" s="15">
        <f t="shared" si="181"/>
        <v>9300.2589944264309</v>
      </c>
      <c r="AN206" s="15">
        <f t="shared" si="182"/>
        <v>8872.416040482276</v>
      </c>
      <c r="AO206" s="15">
        <f t="shared" si="183"/>
        <v>7716.6012184755582</v>
      </c>
      <c r="AP206" s="10">
        <f t="shared" si="184"/>
        <v>0</v>
      </c>
      <c r="AQ206" s="10">
        <f t="shared" si="185"/>
        <v>0</v>
      </c>
      <c r="AR206" s="10">
        <f t="shared" si="186"/>
        <v>7208.1494780281491</v>
      </c>
      <c r="AS206" s="10">
        <f t="shared" si="187"/>
        <v>25889.276253384269</v>
      </c>
      <c r="AT206" s="10" t="b">
        <f t="shared" si="188"/>
        <v>1</v>
      </c>
      <c r="AU206" s="10">
        <f t="shared" si="164"/>
        <v>6914.9836895372555</v>
      </c>
      <c r="AV206" s="10">
        <f t="shared" si="165"/>
        <v>26182.442041875162</v>
      </c>
      <c r="AW206" s="10">
        <f t="shared" si="166"/>
        <v>0</v>
      </c>
      <c r="AX206" s="10">
        <f t="shared" si="167"/>
        <v>0</v>
      </c>
      <c r="AY206" s="10">
        <f t="shared" si="189"/>
        <v>33097.425731412419</v>
      </c>
      <c r="AZ206" s="19">
        <f>IFERROR(IF($E206="REC",INDEX(A_Type_Volume!$B:$B,MATCH($D206,A_Type_Volume!$A:$A,0),1),IF($E206="VAM",INDEX(C_Type_Volume!$B:$B,MATCH($D206,C_Type_Volume!$A:$A,0),1),"X")),"")</f>
        <v>494532</v>
      </c>
      <c r="BA206" s="19">
        <f>IFERROR(IF($E206="REC",INDEX(A_Type_Volume!$C:$C,MATCH($D206,A_Type_Volume!$A:$A,0),1),IF($E206="VAM",INDEX(C_Type_Volume!$C:$C,MATCH($D206,C_Type_Volume!$A:$A,0),1),"X")),"")</f>
        <v>592721</v>
      </c>
      <c r="BB206" s="19">
        <f>IFERROR(IF($E206="REC",INDEX(A_Type_Volume!$D:$D,MATCH($D206,A_Type_Volume!$A:$A,0),1),IF($E206="VAM",INDEX(C_Type_Volume!$D:$D,MATCH($D206,C_Type_Volume!$A:$A,0),1),"X")),"")</f>
        <v>611013</v>
      </c>
      <c r="BC206" s="19">
        <f>IFERROR(IF($E206="REC",INDEX(A_Type_Volume!$E:$E,MATCH($D206,A_Type_Volume!$A:$A,0),1),IF($E206="VAM",INDEX(C_Type_Volume!$E:$E,MATCH($D206,C_Type_Volume!$A:$A,0),1),"X")),"")</f>
        <v>527557</v>
      </c>
      <c r="BD206" s="19">
        <f>IFERROR(IF($E206="REC",INDEX(A_Type_Volume!$F:$F,MATCH($D206,A_Type_Volume!$A:$A,0),1),IF($E206="VAM",INDEX(C_Type_Volume!$F:$F,MATCH($D206,C_Type_Volume!$A:$A,0),1),"X")),"")</f>
        <v>624427</v>
      </c>
      <c r="BE206" s="19">
        <f>IFERROR(IF($E206="REC",INDEX(A_Type_Volume!$G:$G,MATCH($D206,A_Type_Volume!$A:$A,0),1),IF($E206="VAM",INDEX(C_Type_Volume!$G:$G,MATCH($D206,C_Type_Volume!$A:$A,0),1),"X")),"")</f>
        <v>587928</v>
      </c>
      <c r="BF206" s="19">
        <f>IFERROR(IF($E206="REC",INDEX(A_Type_Volume!$H:$H,MATCH($D206,A_Type_Volume!$A:$A,0),1),IF($E206="VAM",INDEX(C_Type_Volume!$H:$H,MATCH($D206,C_Type_Volume!$A:$A,0),1),"X")),"")</f>
        <v>685587</v>
      </c>
      <c r="BG206" s="19">
        <f>IFERROR(IF($E206="REC",INDEX(A_Type_Volume!$I:$I,MATCH($D206,A_Type_Volume!$A:$A,0),1),IF($E206="VAM",INDEX(C_Type_Volume!$I:$I,MATCH($D206,C_Type_Volume!$A:$A,0),1),"X")),"")</f>
        <v>546677</v>
      </c>
      <c r="BH206" s="19">
        <f>IFERROR(IF($E206="REC",INDEX(A_Type_Volume!$J:$J,MATCH($D206,A_Type_Volume!$A:$A,0),1),IF($E206="VAM",INDEX(C_Type_Volume!$J:$J,MATCH($D206,C_Type_Volume!$A:$A,0),1),"X")),"")</f>
        <v>559318</v>
      </c>
      <c r="BI206" s="19">
        <f>IFERROR(IF($E206="REC",INDEX(A_Type_Volume!$K:$K,MATCH($D206,A_Type_Volume!$A:$A,0),1),IF($E206="VAM",INDEX(C_Type_Volume!$K:$K,MATCH($D206,C_Type_Volume!$A:$A,0),1),"X")),"")</f>
        <v>505159</v>
      </c>
      <c r="BJ206" s="19">
        <f>IFERROR(IF($E206="REC",INDEX(A_Type_Volume!$L:$L,MATCH($D206,A_Type_Volume!$A:$A,0),1),IF($E206="VAM",INDEX(C_Type_Volume!$L:$L,MATCH($D206,C_Type_Volume!$A:$A,0),1),"X")),"")</f>
        <v>481920</v>
      </c>
      <c r="BK206" s="19">
        <f>IFERROR(IF($E206="REC",INDEX(A_Type_Volume!M:M,MATCH($D206,A_Type_Volume!$A:$A,0),1),IF($E206="VAM",INDEX(C_Type_Volume!M:M,MATCH($D206,C_Type_Volume!$A:$A,0),1),"X")),"")</f>
        <v>419140</v>
      </c>
      <c r="BL206" s="38">
        <f>SUM(Table1[[#This Row],[Jan_AVF]:[Dec_AVF]])</f>
        <v>6635979</v>
      </c>
      <c r="BM206" s="16">
        <f t="shared" si="190"/>
        <v>9104.6099961233831</v>
      </c>
      <c r="BN206" s="16">
        <f t="shared" si="191"/>
        <v>10912.324261144371</v>
      </c>
      <c r="BO206" s="16">
        <f t="shared" si="192"/>
        <v>11249.0901853901</v>
      </c>
      <c r="BP206" s="16">
        <f t="shared" si="193"/>
        <v>9712.6186692162773</v>
      </c>
      <c r="BQ206" s="16">
        <f t="shared" si="194"/>
        <v>11496.049408429255</v>
      </c>
      <c r="BR206" s="16">
        <f t="shared" si="195"/>
        <v>10824.082457355295</v>
      </c>
      <c r="BS206" s="16">
        <f t="shared" si="196"/>
        <v>12622.039126714231</v>
      </c>
      <c r="BT206" s="16">
        <f t="shared" si="197"/>
        <v>10064.628535364229</v>
      </c>
      <c r="BU206" s="16">
        <f t="shared" si="198"/>
        <v>10297.356397183072</v>
      </c>
      <c r="BV206" s="16">
        <f t="shared" si="199"/>
        <v>9300.2589944264309</v>
      </c>
      <c r="BW206" s="16">
        <f t="shared" si="200"/>
        <v>8872.416040482276</v>
      </c>
      <c r="BX206" s="16">
        <f t="shared" si="201"/>
        <v>7716.6012184755582</v>
      </c>
      <c r="BY206" s="10">
        <f t="shared" si="168"/>
        <v>31266.024442657857</v>
      </c>
      <c r="BZ206" s="10">
        <f t="shared" si="169"/>
        <v>32032.750535000829</v>
      </c>
      <c r="CA206" s="10">
        <f t="shared" si="170"/>
        <v>32984.02405926153</v>
      </c>
      <c r="CB206" s="10">
        <f t="shared" si="171"/>
        <v>25889.276253384269</v>
      </c>
      <c r="CC206" s="10">
        <f>IFERROR(Table1[[#This Row],[Labor
Saving]]*Table1[[#This Row],[Annual Volume]],"")</f>
        <v>25525.184792470591</v>
      </c>
      <c r="CD206" s="10">
        <f>IFERROR(Table1[[#This Row],[Annual Volume]]*Table1[[#This Row],[Yield
Saving]],"")</f>
        <v>96646.890497833883</v>
      </c>
      <c r="CE206" s="10">
        <f>IFERROR(Table1[[#This Row],[Annual Volume]]*Table1[[#This Row],[Material
Saving]],"")</f>
        <v>0</v>
      </c>
      <c r="CF206" s="10">
        <f>IFERROR(Table1[[#This Row],[OH
Saving]]*Table1[[#This Row],[Annual Volume]],"")</f>
        <v>0</v>
      </c>
      <c r="CG206" s="10">
        <f>SUM(Table1[[#This Row],[Labor_ASV]:[OH_ASV]])</f>
        <v>122172.07529030448</v>
      </c>
    </row>
    <row r="207" spans="1:85" x14ac:dyDescent="0.3">
      <c r="A207" t="str">
        <f>Table1[[#This Row],[Project Name]]&amp;Table1[[#This Row],[Part Number]]</f>
        <v>New Etching Chemical Diammonium CeriumR12</v>
      </c>
      <c r="B207" t="str">
        <f>IFERROR(Table1[[#This Row],[Project Number]]&amp;Table1[[#This Row],[Part Number]],"")</f>
        <v>AME25-072R12</v>
      </c>
      <c r="C207" s="22" t="s">
        <v>119</v>
      </c>
      <c r="D207" s="24" t="s">
        <v>250</v>
      </c>
      <c r="E207" s="25" t="s">
        <v>58</v>
      </c>
      <c r="F207" s="6">
        <f>INDEX(Proj_Reg!G:G,MATCH($C207,Proj_Reg!$B:$B,0),1)</f>
        <v>46266</v>
      </c>
      <c r="G207" s="6">
        <f>INDEX(Proj_Reg!H:H,MATCH($C207,Proj_Reg!$B:$B,0),1)</f>
        <v>46600</v>
      </c>
      <c r="H207" s="6" t="str">
        <f>IF(INDEX(Proj_Reg!C:C,MATCH($C207,Proj_Reg!$B:$B,0),1)=0,"",INDEX(Proj_Reg!C:C,MATCH($C207,Proj_Reg!$B:$B,0),1))</f>
        <v>Wet Etching</v>
      </c>
      <c r="I207" s="6" t="str">
        <f>IF(INDEX(Proj_Reg!D:D,MATCH($C207,Proj_Reg!$B:$B,0),1)=0,"",INDEX(Proj_Reg!D:D,MATCH($C207,Proj_Reg!$B:$B,0),1))</f>
        <v>XWP</v>
      </c>
      <c r="J207" s="6" t="str">
        <f>INDEX(Proj_Reg!E:E,MATCH($C207,Proj_Reg!$B:$B,0),1)</f>
        <v>New Etching Chemical Diammonium Cerium</v>
      </c>
      <c r="K207" s="21">
        <v>3.8464836601307191E-3</v>
      </c>
      <c r="L207" s="21">
        <v>1.4564074192795651E-2</v>
      </c>
      <c r="M207" s="21">
        <v>0</v>
      </c>
      <c r="N207" s="21">
        <v>0</v>
      </c>
      <c r="O207" s="11">
        <f>SUM(Table1[[#This Row],[Labor
Saving]:[OH
Saving]])</f>
        <v>1.8410557852926369E-2</v>
      </c>
      <c r="Q207" s="40">
        <f t="shared" si="152"/>
        <v>0</v>
      </c>
      <c r="R207" s="40">
        <f t="shared" si="153"/>
        <v>0</v>
      </c>
      <c r="S207" s="40">
        <f t="shared" si="154"/>
        <v>0</v>
      </c>
      <c r="T207" s="40">
        <f t="shared" si="155"/>
        <v>0</v>
      </c>
      <c r="U207" s="40">
        <f t="shared" si="156"/>
        <v>0</v>
      </c>
      <c r="V207" s="40">
        <f t="shared" si="157"/>
        <v>0</v>
      </c>
      <c r="W207" s="40">
        <f t="shared" si="158"/>
        <v>0</v>
      </c>
      <c r="X207" s="40">
        <f t="shared" si="159"/>
        <v>0</v>
      </c>
      <c r="Y207" s="40">
        <f t="shared" si="160"/>
        <v>391522.6</v>
      </c>
      <c r="Z207" s="40">
        <f t="shared" si="161"/>
        <v>505159</v>
      </c>
      <c r="AA207" s="40">
        <f t="shared" si="162"/>
        <v>481920</v>
      </c>
      <c r="AB207" s="40">
        <f t="shared" si="163"/>
        <v>419140</v>
      </c>
      <c r="AC207" s="37">
        <f>SUM(Table1[[#This Row],[Jan]:[Dec]])</f>
        <v>1797741.6</v>
      </c>
      <c r="AD207" s="15">
        <f t="shared" si="172"/>
        <v>0</v>
      </c>
      <c r="AE207" s="15">
        <f t="shared" si="173"/>
        <v>0</v>
      </c>
      <c r="AF207" s="15">
        <f t="shared" si="174"/>
        <v>0</v>
      </c>
      <c r="AG207" s="15">
        <f t="shared" si="175"/>
        <v>0</v>
      </c>
      <c r="AH207" s="15">
        <f t="shared" si="176"/>
        <v>0</v>
      </c>
      <c r="AI207" s="15">
        <f t="shared" si="177"/>
        <v>0</v>
      </c>
      <c r="AJ207" s="15">
        <f t="shared" si="178"/>
        <v>0</v>
      </c>
      <c r="AK207" s="15">
        <f t="shared" si="179"/>
        <v>0</v>
      </c>
      <c r="AL207" s="15">
        <f t="shared" si="180"/>
        <v>7208.1494780281491</v>
      </c>
      <c r="AM207" s="15">
        <f t="shared" si="181"/>
        <v>9300.2589944264309</v>
      </c>
      <c r="AN207" s="15">
        <f t="shared" si="182"/>
        <v>8872.416040482276</v>
      </c>
      <c r="AO207" s="15">
        <f t="shared" si="183"/>
        <v>7716.6012184755582</v>
      </c>
      <c r="AP207" s="10">
        <f t="shared" si="184"/>
        <v>0</v>
      </c>
      <c r="AQ207" s="10">
        <f t="shared" si="185"/>
        <v>0</v>
      </c>
      <c r="AR207" s="10">
        <f t="shared" si="186"/>
        <v>7208.1494780281491</v>
      </c>
      <c r="AS207" s="10">
        <f t="shared" si="187"/>
        <v>25889.276253384269</v>
      </c>
      <c r="AT207" s="10" t="b">
        <f t="shared" si="188"/>
        <v>1</v>
      </c>
      <c r="AU207" s="10">
        <f t="shared" si="164"/>
        <v>6914.9836895372555</v>
      </c>
      <c r="AV207" s="10">
        <f t="shared" si="165"/>
        <v>26182.442041875162</v>
      </c>
      <c r="AW207" s="10">
        <f t="shared" si="166"/>
        <v>0</v>
      </c>
      <c r="AX207" s="10">
        <f t="shared" si="167"/>
        <v>0</v>
      </c>
      <c r="AY207" s="10">
        <f t="shared" si="189"/>
        <v>33097.425731412419</v>
      </c>
      <c r="AZ207" s="19">
        <f>IFERROR(IF($E207="REC",INDEX(A_Type_Volume!$B:$B,MATCH($D207,A_Type_Volume!$A:$A,0),1),IF($E207="VAM",INDEX(C_Type_Volume!$B:$B,MATCH($D207,C_Type_Volume!$A:$A,0),1),"X")),"")</f>
        <v>494532</v>
      </c>
      <c r="BA207" s="19">
        <f>IFERROR(IF($E207="REC",INDEX(A_Type_Volume!$C:$C,MATCH($D207,A_Type_Volume!$A:$A,0),1),IF($E207="VAM",INDEX(C_Type_Volume!$C:$C,MATCH($D207,C_Type_Volume!$A:$A,0),1),"X")),"")</f>
        <v>592721</v>
      </c>
      <c r="BB207" s="19">
        <f>IFERROR(IF($E207="REC",INDEX(A_Type_Volume!$D:$D,MATCH($D207,A_Type_Volume!$A:$A,0),1),IF($E207="VAM",INDEX(C_Type_Volume!$D:$D,MATCH($D207,C_Type_Volume!$A:$A,0),1),"X")),"")</f>
        <v>611013</v>
      </c>
      <c r="BC207" s="19">
        <f>IFERROR(IF($E207="REC",INDEX(A_Type_Volume!$E:$E,MATCH($D207,A_Type_Volume!$A:$A,0),1),IF($E207="VAM",INDEX(C_Type_Volume!$E:$E,MATCH($D207,C_Type_Volume!$A:$A,0),1),"X")),"")</f>
        <v>527557</v>
      </c>
      <c r="BD207" s="19">
        <f>IFERROR(IF($E207="REC",INDEX(A_Type_Volume!$F:$F,MATCH($D207,A_Type_Volume!$A:$A,0),1),IF($E207="VAM",INDEX(C_Type_Volume!$F:$F,MATCH($D207,C_Type_Volume!$A:$A,0),1),"X")),"")</f>
        <v>624427</v>
      </c>
      <c r="BE207" s="19">
        <f>IFERROR(IF($E207="REC",INDEX(A_Type_Volume!$G:$G,MATCH($D207,A_Type_Volume!$A:$A,0),1),IF($E207="VAM",INDEX(C_Type_Volume!$G:$G,MATCH($D207,C_Type_Volume!$A:$A,0),1),"X")),"")</f>
        <v>587928</v>
      </c>
      <c r="BF207" s="19">
        <f>IFERROR(IF($E207="REC",INDEX(A_Type_Volume!$H:$H,MATCH($D207,A_Type_Volume!$A:$A,0),1),IF($E207="VAM",INDEX(C_Type_Volume!$H:$H,MATCH($D207,C_Type_Volume!$A:$A,0),1),"X")),"")</f>
        <v>685587</v>
      </c>
      <c r="BG207" s="19">
        <f>IFERROR(IF($E207="REC",INDEX(A_Type_Volume!$I:$I,MATCH($D207,A_Type_Volume!$A:$A,0),1),IF($E207="VAM",INDEX(C_Type_Volume!$I:$I,MATCH($D207,C_Type_Volume!$A:$A,0),1),"X")),"")</f>
        <v>546677</v>
      </c>
      <c r="BH207" s="19">
        <f>IFERROR(IF($E207="REC",INDEX(A_Type_Volume!$J:$J,MATCH($D207,A_Type_Volume!$A:$A,0),1),IF($E207="VAM",INDEX(C_Type_Volume!$J:$J,MATCH($D207,C_Type_Volume!$A:$A,0),1),"X")),"")</f>
        <v>559318</v>
      </c>
      <c r="BI207" s="19">
        <f>IFERROR(IF($E207="REC",INDEX(A_Type_Volume!$K:$K,MATCH($D207,A_Type_Volume!$A:$A,0),1),IF($E207="VAM",INDEX(C_Type_Volume!$K:$K,MATCH($D207,C_Type_Volume!$A:$A,0),1),"X")),"")</f>
        <v>505159</v>
      </c>
      <c r="BJ207" s="19">
        <f>IFERROR(IF($E207="REC",INDEX(A_Type_Volume!$L:$L,MATCH($D207,A_Type_Volume!$A:$A,0),1),IF($E207="VAM",INDEX(C_Type_Volume!$L:$L,MATCH($D207,C_Type_Volume!$A:$A,0),1),"X")),"")</f>
        <v>481920</v>
      </c>
      <c r="BK207" s="19">
        <f>IFERROR(IF($E207="REC",INDEX(A_Type_Volume!M:M,MATCH($D207,A_Type_Volume!$A:$A,0),1),IF($E207="VAM",INDEX(C_Type_Volume!M:M,MATCH($D207,C_Type_Volume!$A:$A,0),1),"X")),"")</f>
        <v>419140</v>
      </c>
      <c r="BL207" s="38">
        <f>SUM(Table1[[#This Row],[Jan_AVF]:[Dec_AVF]])</f>
        <v>6635979</v>
      </c>
      <c r="BM207" s="16">
        <f t="shared" si="190"/>
        <v>9104.6099961233831</v>
      </c>
      <c r="BN207" s="16">
        <f t="shared" si="191"/>
        <v>10912.324261144371</v>
      </c>
      <c r="BO207" s="16">
        <f t="shared" si="192"/>
        <v>11249.0901853901</v>
      </c>
      <c r="BP207" s="16">
        <f t="shared" si="193"/>
        <v>9712.6186692162773</v>
      </c>
      <c r="BQ207" s="16">
        <f t="shared" si="194"/>
        <v>11496.049408429255</v>
      </c>
      <c r="BR207" s="16">
        <f t="shared" si="195"/>
        <v>10824.082457355295</v>
      </c>
      <c r="BS207" s="16">
        <f t="shared" si="196"/>
        <v>12622.039126714231</v>
      </c>
      <c r="BT207" s="16">
        <f t="shared" si="197"/>
        <v>10064.628535364229</v>
      </c>
      <c r="BU207" s="16">
        <f t="shared" si="198"/>
        <v>10297.356397183072</v>
      </c>
      <c r="BV207" s="16">
        <f t="shared" si="199"/>
        <v>9300.2589944264309</v>
      </c>
      <c r="BW207" s="16">
        <f t="shared" si="200"/>
        <v>8872.416040482276</v>
      </c>
      <c r="BX207" s="16">
        <f t="shared" si="201"/>
        <v>7716.6012184755582</v>
      </c>
      <c r="BY207" s="10">
        <f t="shared" si="168"/>
        <v>31266.024442657857</v>
      </c>
      <c r="BZ207" s="10">
        <f t="shared" si="169"/>
        <v>32032.750535000829</v>
      </c>
      <c r="CA207" s="10">
        <f t="shared" si="170"/>
        <v>32984.02405926153</v>
      </c>
      <c r="CB207" s="10">
        <f t="shared" si="171"/>
        <v>25889.276253384269</v>
      </c>
      <c r="CC207" s="10">
        <f>IFERROR(Table1[[#This Row],[Labor
Saving]]*Table1[[#This Row],[Annual Volume]],"")</f>
        <v>25525.184792470591</v>
      </c>
      <c r="CD207" s="10">
        <f>IFERROR(Table1[[#This Row],[Annual Volume]]*Table1[[#This Row],[Yield
Saving]],"")</f>
        <v>96646.890497833883</v>
      </c>
      <c r="CE207" s="10">
        <f>IFERROR(Table1[[#This Row],[Annual Volume]]*Table1[[#This Row],[Material
Saving]],"")</f>
        <v>0</v>
      </c>
      <c r="CF207" s="10">
        <f>IFERROR(Table1[[#This Row],[OH
Saving]]*Table1[[#This Row],[Annual Volume]],"")</f>
        <v>0</v>
      </c>
      <c r="CG207" s="10">
        <f>SUM(Table1[[#This Row],[Labor_ASV]:[OH_ASV]])</f>
        <v>122172.07529030448</v>
      </c>
    </row>
    <row r="208" spans="1:85" x14ac:dyDescent="0.3">
      <c r="A208" t="str">
        <f>Table1[[#This Row],[Project Name]]&amp;Table1[[#This Row],[Part Number]]</f>
        <v>New Etching Chemical Diammonium CeriumR17</v>
      </c>
      <c r="B208" t="str">
        <f>IFERROR(Table1[[#This Row],[Project Number]]&amp;Table1[[#This Row],[Part Number]],"")</f>
        <v>AME25-072R17</v>
      </c>
      <c r="C208" s="22" t="s">
        <v>119</v>
      </c>
      <c r="D208" s="24" t="s">
        <v>255</v>
      </c>
      <c r="E208" s="25" t="s">
        <v>58</v>
      </c>
      <c r="F208" s="6">
        <f>INDEX(Proj_Reg!G:G,MATCH($C208,Proj_Reg!$B:$B,0),1)</f>
        <v>46266</v>
      </c>
      <c r="G208" s="6">
        <f>INDEX(Proj_Reg!H:H,MATCH($C208,Proj_Reg!$B:$B,0),1)</f>
        <v>46600</v>
      </c>
      <c r="H208" s="6" t="str">
        <f>IF(INDEX(Proj_Reg!C:C,MATCH($C208,Proj_Reg!$B:$B,0),1)=0,"",INDEX(Proj_Reg!C:C,MATCH($C208,Proj_Reg!$B:$B,0),1))</f>
        <v>Wet Etching</v>
      </c>
      <c r="I208" s="6" t="str">
        <f>IF(INDEX(Proj_Reg!D:D,MATCH($C208,Proj_Reg!$B:$B,0),1)=0,"",INDEX(Proj_Reg!D:D,MATCH($C208,Proj_Reg!$B:$B,0),1))</f>
        <v>XWP</v>
      </c>
      <c r="J208" s="6" t="str">
        <f>INDEX(Proj_Reg!E:E,MATCH($C208,Proj_Reg!$B:$B,0),1)</f>
        <v>New Etching Chemical Diammonium Cerium</v>
      </c>
      <c r="K208" s="21">
        <v>3.8464836601307191E-3</v>
      </c>
      <c r="L208" s="21">
        <v>1.4564074192795651E-2</v>
      </c>
      <c r="M208" s="21">
        <v>0</v>
      </c>
      <c r="N208" s="21">
        <v>0</v>
      </c>
      <c r="O208" s="11">
        <f>SUM(Table1[[#This Row],[Labor
Saving]:[OH
Saving]])</f>
        <v>1.8410557852926369E-2</v>
      </c>
      <c r="Q208" s="40">
        <f t="shared" si="152"/>
        <v>0</v>
      </c>
      <c r="R208" s="40">
        <f t="shared" si="153"/>
        <v>0</v>
      </c>
      <c r="S208" s="40">
        <f t="shared" si="154"/>
        <v>0</v>
      </c>
      <c r="T208" s="40">
        <f t="shared" si="155"/>
        <v>0</v>
      </c>
      <c r="U208" s="40">
        <f t="shared" si="156"/>
        <v>0</v>
      </c>
      <c r="V208" s="40">
        <f t="shared" si="157"/>
        <v>0</v>
      </c>
      <c r="W208" s="40">
        <f t="shared" si="158"/>
        <v>0</v>
      </c>
      <c r="X208" s="40">
        <f t="shared" si="159"/>
        <v>0</v>
      </c>
      <c r="Y208" s="40">
        <f t="shared" si="160"/>
        <v>111174</v>
      </c>
      <c r="Z208" s="40">
        <f t="shared" si="161"/>
        <v>189383</v>
      </c>
      <c r="AA208" s="40">
        <f t="shared" si="162"/>
        <v>178969</v>
      </c>
      <c r="AB208" s="40">
        <f t="shared" si="163"/>
        <v>159023</v>
      </c>
      <c r="AC208" s="37">
        <f>SUM(Table1[[#This Row],[Jan]:[Dec]])</f>
        <v>638549</v>
      </c>
      <c r="AD208" s="15">
        <f t="shared" si="172"/>
        <v>0</v>
      </c>
      <c r="AE208" s="15">
        <f t="shared" si="173"/>
        <v>0</v>
      </c>
      <c r="AF208" s="15">
        <f t="shared" si="174"/>
        <v>0</v>
      </c>
      <c r="AG208" s="15">
        <f t="shared" si="175"/>
        <v>0</v>
      </c>
      <c r="AH208" s="15">
        <f t="shared" si="176"/>
        <v>0</v>
      </c>
      <c r="AI208" s="15">
        <f t="shared" si="177"/>
        <v>0</v>
      </c>
      <c r="AJ208" s="15">
        <f t="shared" si="178"/>
        <v>0</v>
      </c>
      <c r="AK208" s="15">
        <f t="shared" si="179"/>
        <v>0</v>
      </c>
      <c r="AL208" s="15">
        <f t="shared" si="180"/>
        <v>2046.7753587412362</v>
      </c>
      <c r="AM208" s="15">
        <f t="shared" si="181"/>
        <v>3486.6466778607546</v>
      </c>
      <c r="AN208" s="15">
        <f t="shared" si="182"/>
        <v>3294.9191283803793</v>
      </c>
      <c r="AO208" s="15">
        <f t="shared" si="183"/>
        <v>2927.70214144591</v>
      </c>
      <c r="AP208" s="10">
        <f t="shared" si="184"/>
        <v>0</v>
      </c>
      <c r="AQ208" s="10">
        <f t="shared" si="185"/>
        <v>0</v>
      </c>
      <c r="AR208" s="10">
        <f t="shared" si="186"/>
        <v>2046.7753587412362</v>
      </c>
      <c r="AS208" s="10">
        <f t="shared" si="187"/>
        <v>9709.2679476870435</v>
      </c>
      <c r="AT208" s="10" t="b">
        <f t="shared" si="188"/>
        <v>1</v>
      </c>
      <c r="AU208" s="10">
        <f t="shared" si="164"/>
        <v>2456.1682946928104</v>
      </c>
      <c r="AV208" s="10">
        <f t="shared" si="165"/>
        <v>9299.8750117354703</v>
      </c>
      <c r="AW208" s="10">
        <f t="shared" si="166"/>
        <v>0</v>
      </c>
      <c r="AX208" s="10">
        <f t="shared" si="167"/>
        <v>0</v>
      </c>
      <c r="AY208" s="10">
        <f t="shared" si="189"/>
        <v>11756.043306428281</v>
      </c>
      <c r="AZ208" s="19">
        <f>IFERROR(IF($E208="REC",INDEX(A_Type_Volume!$B:$B,MATCH($D208,A_Type_Volume!$A:$A,0),1),IF($E208="VAM",INDEX(C_Type_Volume!$B:$B,MATCH($D208,C_Type_Volume!$A:$A,0),1),"X")),"")</f>
        <v>205988</v>
      </c>
      <c r="BA208" s="19">
        <f>IFERROR(IF($E208="REC",INDEX(A_Type_Volume!$C:$C,MATCH($D208,A_Type_Volume!$A:$A,0),1),IF($E208="VAM",INDEX(C_Type_Volume!$C:$C,MATCH($D208,C_Type_Volume!$A:$A,0),1),"X")),"")</f>
        <v>236471</v>
      </c>
      <c r="BB208" s="19">
        <f>IFERROR(IF($E208="REC",INDEX(A_Type_Volume!$D:$D,MATCH($D208,A_Type_Volume!$A:$A,0),1),IF($E208="VAM",INDEX(C_Type_Volume!$D:$D,MATCH($D208,C_Type_Volume!$A:$A,0),1),"X")),"")</f>
        <v>232314</v>
      </c>
      <c r="BC208" s="19">
        <f>IFERROR(IF($E208="REC",INDEX(A_Type_Volume!$E:$E,MATCH($D208,A_Type_Volume!$A:$A,0),1),IF($E208="VAM",INDEX(C_Type_Volume!$E:$E,MATCH($D208,C_Type_Volume!$A:$A,0),1),"X")),"")</f>
        <v>201153</v>
      </c>
      <c r="BD208" s="19">
        <f>IFERROR(IF($E208="REC",INDEX(A_Type_Volume!$F:$F,MATCH($D208,A_Type_Volume!$A:$A,0),1),IF($E208="VAM",INDEX(C_Type_Volume!$F:$F,MATCH($D208,C_Type_Volume!$A:$A,0),1),"X")),"")</f>
        <v>212833</v>
      </c>
      <c r="BE208" s="19">
        <f>IFERROR(IF($E208="REC",INDEX(A_Type_Volume!$G:$G,MATCH($D208,A_Type_Volume!$A:$A,0),1),IF($E208="VAM",INDEX(C_Type_Volume!$G:$G,MATCH($D208,C_Type_Volume!$A:$A,0),1),"X")),"")</f>
        <v>186755</v>
      </c>
      <c r="BF208" s="19">
        <f>IFERROR(IF($E208="REC",INDEX(A_Type_Volume!$H:$H,MATCH($D208,A_Type_Volume!$A:$A,0),1),IF($E208="VAM",INDEX(C_Type_Volume!$H:$H,MATCH($D208,C_Type_Volume!$A:$A,0),1),"X")),"")</f>
        <v>187764</v>
      </c>
      <c r="BG208" s="19">
        <f>IFERROR(IF($E208="REC",INDEX(A_Type_Volume!$I:$I,MATCH($D208,A_Type_Volume!$A:$A,0),1),IF($E208="VAM",INDEX(C_Type_Volume!$I:$I,MATCH($D208,C_Type_Volume!$A:$A,0),1),"X")),"")</f>
        <v>153606</v>
      </c>
      <c r="BH208" s="19">
        <f>IFERROR(IF($E208="REC",INDEX(A_Type_Volume!$J:$J,MATCH($D208,A_Type_Volume!$A:$A,0),1),IF($E208="VAM",INDEX(C_Type_Volume!$J:$J,MATCH($D208,C_Type_Volume!$A:$A,0),1),"X")),"")</f>
        <v>158820</v>
      </c>
      <c r="BI208" s="19">
        <f>IFERROR(IF($E208="REC",INDEX(A_Type_Volume!$K:$K,MATCH($D208,A_Type_Volume!$A:$A,0),1),IF($E208="VAM",INDEX(C_Type_Volume!$K:$K,MATCH($D208,C_Type_Volume!$A:$A,0),1),"X")),"")</f>
        <v>189383</v>
      </c>
      <c r="BJ208" s="19">
        <f>IFERROR(IF($E208="REC",INDEX(A_Type_Volume!$L:$L,MATCH($D208,A_Type_Volume!$A:$A,0),1),IF($E208="VAM",INDEX(C_Type_Volume!$L:$L,MATCH($D208,C_Type_Volume!$A:$A,0),1),"X")),"")</f>
        <v>178969</v>
      </c>
      <c r="BK208" s="19">
        <f>IFERROR(IF($E208="REC",INDEX(A_Type_Volume!M:M,MATCH($D208,A_Type_Volume!$A:$A,0),1),IF($E208="VAM",INDEX(C_Type_Volume!M:M,MATCH($D208,C_Type_Volume!$A:$A,0),1),"X")),"")</f>
        <v>159023</v>
      </c>
      <c r="BL208" s="38">
        <f>SUM(Table1[[#This Row],[Jan_AVF]:[Dec_AVF]])</f>
        <v>2303079</v>
      </c>
      <c r="BM208" s="16">
        <f t="shared" si="190"/>
        <v>3792.3539910085969</v>
      </c>
      <c r="BN208" s="16">
        <f t="shared" si="191"/>
        <v>4353.5630260393518</v>
      </c>
      <c r="BO208" s="16">
        <f t="shared" si="192"/>
        <v>4277.0303370447364</v>
      </c>
      <c r="BP208" s="16">
        <f t="shared" si="193"/>
        <v>3703.3389437896981</v>
      </c>
      <c r="BQ208" s="16">
        <f t="shared" si="194"/>
        <v>3918.3742595118779</v>
      </c>
      <c r="BR208" s="16">
        <f t="shared" si="195"/>
        <v>3438.2637318232642</v>
      </c>
      <c r="BS208" s="16">
        <f t="shared" si="196"/>
        <v>3456.8399846968668</v>
      </c>
      <c r="BT208" s="16">
        <f t="shared" si="197"/>
        <v>2827.9721495566077</v>
      </c>
      <c r="BU208" s="16">
        <f t="shared" si="198"/>
        <v>2923.9647982017659</v>
      </c>
      <c r="BV208" s="16">
        <f t="shared" si="199"/>
        <v>3486.6466778607546</v>
      </c>
      <c r="BW208" s="16">
        <f t="shared" si="200"/>
        <v>3294.9191283803793</v>
      </c>
      <c r="BX208" s="16">
        <f t="shared" si="201"/>
        <v>2927.70214144591</v>
      </c>
      <c r="BY208" s="10">
        <f t="shared" si="168"/>
        <v>12422.947354092685</v>
      </c>
      <c r="BZ208" s="10">
        <f t="shared" si="169"/>
        <v>11059.97693512484</v>
      </c>
      <c r="CA208" s="10">
        <f t="shared" si="170"/>
        <v>9208.7769324552391</v>
      </c>
      <c r="CB208" s="10">
        <f t="shared" si="171"/>
        <v>9709.2679476870435</v>
      </c>
      <c r="CC208" s="10">
        <f>IFERROR(Table1[[#This Row],[Labor
Saving]]*Table1[[#This Row],[Annual Volume]],"")</f>
        <v>8858.7557414901967</v>
      </c>
      <c r="CD208" s="10">
        <f>IFERROR(Table1[[#This Row],[Annual Volume]]*Table1[[#This Row],[Yield
Saving]],"")</f>
        <v>33542.213427869618</v>
      </c>
      <c r="CE208" s="10">
        <f>IFERROR(Table1[[#This Row],[Annual Volume]]*Table1[[#This Row],[Material
Saving]],"")</f>
        <v>0</v>
      </c>
      <c r="CF208" s="10">
        <f>IFERROR(Table1[[#This Row],[OH
Saving]]*Table1[[#This Row],[Annual Volume]],"")</f>
        <v>0</v>
      </c>
      <c r="CG208" s="10">
        <f>SUM(Table1[[#This Row],[Labor_ASV]:[OH_ASV]])</f>
        <v>42400.969169359814</v>
      </c>
    </row>
    <row r="209" spans="1:85" x14ac:dyDescent="0.3">
      <c r="A209" t="str">
        <f>Table1[[#This Row],[Project Name]]&amp;Table1[[#This Row],[Part Number]]</f>
        <v>New Etching Chemical Diammonium CeriumR18</v>
      </c>
      <c r="B209" t="str">
        <f>IFERROR(Table1[[#This Row],[Project Number]]&amp;Table1[[#This Row],[Part Number]],"")</f>
        <v>AME25-072R18</v>
      </c>
      <c r="C209" s="22" t="s">
        <v>119</v>
      </c>
      <c r="D209" s="24" t="s">
        <v>256</v>
      </c>
      <c r="E209" s="25" t="s">
        <v>58</v>
      </c>
      <c r="F209" s="6">
        <f>INDEX(Proj_Reg!G:G,MATCH($C209,Proj_Reg!$B:$B,0),1)</f>
        <v>46266</v>
      </c>
      <c r="G209" s="6">
        <f>INDEX(Proj_Reg!H:H,MATCH($C209,Proj_Reg!$B:$B,0),1)</f>
        <v>46600</v>
      </c>
      <c r="H209" s="6" t="str">
        <f>IF(INDEX(Proj_Reg!C:C,MATCH($C209,Proj_Reg!$B:$B,0),1)=0,"",INDEX(Proj_Reg!C:C,MATCH($C209,Proj_Reg!$B:$B,0),1))</f>
        <v>Wet Etching</v>
      </c>
      <c r="I209" s="6" t="str">
        <f>IF(INDEX(Proj_Reg!D:D,MATCH($C209,Proj_Reg!$B:$B,0),1)=0,"",INDEX(Proj_Reg!D:D,MATCH($C209,Proj_Reg!$B:$B,0),1))</f>
        <v>XWP</v>
      </c>
      <c r="J209" s="6" t="str">
        <f>INDEX(Proj_Reg!E:E,MATCH($C209,Proj_Reg!$B:$B,0),1)</f>
        <v>New Etching Chemical Diammonium Cerium</v>
      </c>
      <c r="K209" s="21">
        <v>3.8464836601307191E-3</v>
      </c>
      <c r="L209" s="21">
        <v>1.4564074192795651E-2</v>
      </c>
      <c r="M209" s="21">
        <v>0</v>
      </c>
      <c r="N209" s="21">
        <v>0</v>
      </c>
      <c r="O209" s="11">
        <f>SUM(Table1[[#This Row],[Labor
Saving]:[OH
Saving]])</f>
        <v>1.8410557852926369E-2</v>
      </c>
      <c r="Q209" s="40">
        <f t="shared" si="152"/>
        <v>0</v>
      </c>
      <c r="R209" s="40">
        <f t="shared" si="153"/>
        <v>0</v>
      </c>
      <c r="S209" s="40">
        <f t="shared" si="154"/>
        <v>0</v>
      </c>
      <c r="T209" s="40">
        <f t="shared" si="155"/>
        <v>0</v>
      </c>
      <c r="U209" s="40">
        <f t="shared" si="156"/>
        <v>0</v>
      </c>
      <c r="V209" s="40">
        <f t="shared" si="157"/>
        <v>0</v>
      </c>
      <c r="W209" s="40">
        <f t="shared" si="158"/>
        <v>0</v>
      </c>
      <c r="X209" s="40">
        <f t="shared" si="159"/>
        <v>0</v>
      </c>
      <c r="Y209" s="40">
        <f t="shared" si="160"/>
        <v>111174</v>
      </c>
      <c r="Z209" s="40">
        <f t="shared" si="161"/>
        <v>189383</v>
      </c>
      <c r="AA209" s="40">
        <f t="shared" si="162"/>
        <v>178969</v>
      </c>
      <c r="AB209" s="40">
        <f t="shared" si="163"/>
        <v>159023</v>
      </c>
      <c r="AC209" s="37">
        <f>SUM(Table1[[#This Row],[Jan]:[Dec]])</f>
        <v>638549</v>
      </c>
      <c r="AD209" s="15">
        <f t="shared" si="172"/>
        <v>0</v>
      </c>
      <c r="AE209" s="15">
        <f t="shared" si="173"/>
        <v>0</v>
      </c>
      <c r="AF209" s="15">
        <f t="shared" si="174"/>
        <v>0</v>
      </c>
      <c r="AG209" s="15">
        <f t="shared" si="175"/>
        <v>0</v>
      </c>
      <c r="AH209" s="15">
        <f t="shared" si="176"/>
        <v>0</v>
      </c>
      <c r="AI209" s="15">
        <f t="shared" si="177"/>
        <v>0</v>
      </c>
      <c r="AJ209" s="15">
        <f t="shared" si="178"/>
        <v>0</v>
      </c>
      <c r="AK209" s="15">
        <f t="shared" si="179"/>
        <v>0</v>
      </c>
      <c r="AL209" s="15">
        <f t="shared" si="180"/>
        <v>2046.7753587412362</v>
      </c>
      <c r="AM209" s="15">
        <f t="shared" si="181"/>
        <v>3486.6466778607546</v>
      </c>
      <c r="AN209" s="15">
        <f t="shared" si="182"/>
        <v>3294.9191283803793</v>
      </c>
      <c r="AO209" s="15">
        <f t="shared" si="183"/>
        <v>2927.70214144591</v>
      </c>
      <c r="AP209" s="10">
        <f t="shared" si="184"/>
        <v>0</v>
      </c>
      <c r="AQ209" s="10">
        <f t="shared" si="185"/>
        <v>0</v>
      </c>
      <c r="AR209" s="10">
        <f t="shared" si="186"/>
        <v>2046.7753587412362</v>
      </c>
      <c r="AS209" s="10">
        <f t="shared" si="187"/>
        <v>9709.2679476870435</v>
      </c>
      <c r="AT209" s="10" t="b">
        <f t="shared" si="188"/>
        <v>1</v>
      </c>
      <c r="AU209" s="10">
        <f t="shared" si="164"/>
        <v>2456.1682946928104</v>
      </c>
      <c r="AV209" s="10">
        <f t="shared" si="165"/>
        <v>9299.8750117354703</v>
      </c>
      <c r="AW209" s="10">
        <f t="shared" si="166"/>
        <v>0</v>
      </c>
      <c r="AX209" s="10">
        <f t="shared" si="167"/>
        <v>0</v>
      </c>
      <c r="AY209" s="10">
        <f t="shared" si="189"/>
        <v>11756.043306428281</v>
      </c>
      <c r="AZ209" s="19">
        <f>IFERROR(IF($E209="REC",INDEX(A_Type_Volume!$B:$B,MATCH($D209,A_Type_Volume!$A:$A,0),1),IF($E209="VAM",INDEX(C_Type_Volume!$B:$B,MATCH($D209,C_Type_Volume!$A:$A,0),1),"X")),"")</f>
        <v>205988</v>
      </c>
      <c r="BA209" s="19">
        <f>IFERROR(IF($E209="REC",INDEX(A_Type_Volume!$C:$C,MATCH($D209,A_Type_Volume!$A:$A,0),1),IF($E209="VAM",INDEX(C_Type_Volume!$C:$C,MATCH($D209,C_Type_Volume!$A:$A,0),1),"X")),"")</f>
        <v>236471</v>
      </c>
      <c r="BB209" s="19">
        <f>IFERROR(IF($E209="REC",INDEX(A_Type_Volume!$D:$D,MATCH($D209,A_Type_Volume!$A:$A,0),1),IF($E209="VAM",INDEX(C_Type_Volume!$D:$D,MATCH($D209,C_Type_Volume!$A:$A,0),1),"X")),"")</f>
        <v>232314</v>
      </c>
      <c r="BC209" s="19">
        <f>IFERROR(IF($E209="REC",INDEX(A_Type_Volume!$E:$E,MATCH($D209,A_Type_Volume!$A:$A,0),1),IF($E209="VAM",INDEX(C_Type_Volume!$E:$E,MATCH($D209,C_Type_Volume!$A:$A,0),1),"X")),"")</f>
        <v>201153</v>
      </c>
      <c r="BD209" s="19">
        <f>IFERROR(IF($E209="REC",INDEX(A_Type_Volume!$F:$F,MATCH($D209,A_Type_Volume!$A:$A,0),1),IF($E209="VAM",INDEX(C_Type_Volume!$F:$F,MATCH($D209,C_Type_Volume!$A:$A,0),1),"X")),"")</f>
        <v>212833</v>
      </c>
      <c r="BE209" s="19">
        <f>IFERROR(IF($E209="REC",INDEX(A_Type_Volume!$G:$G,MATCH($D209,A_Type_Volume!$A:$A,0),1),IF($E209="VAM",INDEX(C_Type_Volume!$G:$G,MATCH($D209,C_Type_Volume!$A:$A,0),1),"X")),"")</f>
        <v>186755</v>
      </c>
      <c r="BF209" s="19">
        <f>IFERROR(IF($E209="REC",INDEX(A_Type_Volume!$H:$H,MATCH($D209,A_Type_Volume!$A:$A,0),1),IF($E209="VAM",INDEX(C_Type_Volume!$H:$H,MATCH($D209,C_Type_Volume!$A:$A,0),1),"X")),"")</f>
        <v>187764</v>
      </c>
      <c r="BG209" s="19">
        <f>IFERROR(IF($E209="REC",INDEX(A_Type_Volume!$I:$I,MATCH($D209,A_Type_Volume!$A:$A,0),1),IF($E209="VAM",INDEX(C_Type_Volume!$I:$I,MATCH($D209,C_Type_Volume!$A:$A,0),1),"X")),"")</f>
        <v>153606</v>
      </c>
      <c r="BH209" s="19">
        <f>IFERROR(IF($E209="REC",INDEX(A_Type_Volume!$J:$J,MATCH($D209,A_Type_Volume!$A:$A,0),1),IF($E209="VAM",INDEX(C_Type_Volume!$J:$J,MATCH($D209,C_Type_Volume!$A:$A,0),1),"X")),"")</f>
        <v>158820</v>
      </c>
      <c r="BI209" s="19">
        <f>IFERROR(IF($E209="REC",INDEX(A_Type_Volume!$K:$K,MATCH($D209,A_Type_Volume!$A:$A,0),1),IF($E209="VAM",INDEX(C_Type_Volume!$K:$K,MATCH($D209,C_Type_Volume!$A:$A,0),1),"X")),"")</f>
        <v>189383</v>
      </c>
      <c r="BJ209" s="19">
        <f>IFERROR(IF($E209="REC",INDEX(A_Type_Volume!$L:$L,MATCH($D209,A_Type_Volume!$A:$A,0),1),IF($E209="VAM",INDEX(C_Type_Volume!$L:$L,MATCH($D209,C_Type_Volume!$A:$A,0),1),"X")),"")</f>
        <v>178969</v>
      </c>
      <c r="BK209" s="19">
        <f>IFERROR(IF($E209="REC",INDEX(A_Type_Volume!M:M,MATCH($D209,A_Type_Volume!$A:$A,0),1),IF($E209="VAM",INDEX(C_Type_Volume!M:M,MATCH($D209,C_Type_Volume!$A:$A,0),1),"X")),"")</f>
        <v>159023</v>
      </c>
      <c r="BL209" s="38">
        <f>SUM(Table1[[#This Row],[Jan_AVF]:[Dec_AVF]])</f>
        <v>2303079</v>
      </c>
      <c r="BM209" s="16">
        <f t="shared" si="190"/>
        <v>3792.3539910085969</v>
      </c>
      <c r="BN209" s="16">
        <f t="shared" si="191"/>
        <v>4353.5630260393518</v>
      </c>
      <c r="BO209" s="16">
        <f t="shared" si="192"/>
        <v>4277.0303370447364</v>
      </c>
      <c r="BP209" s="16">
        <f t="shared" si="193"/>
        <v>3703.3389437896981</v>
      </c>
      <c r="BQ209" s="16">
        <f t="shared" si="194"/>
        <v>3918.3742595118779</v>
      </c>
      <c r="BR209" s="16">
        <f t="shared" si="195"/>
        <v>3438.2637318232642</v>
      </c>
      <c r="BS209" s="16">
        <f t="shared" si="196"/>
        <v>3456.8399846968668</v>
      </c>
      <c r="BT209" s="16">
        <f t="shared" si="197"/>
        <v>2827.9721495566077</v>
      </c>
      <c r="BU209" s="16">
        <f t="shared" si="198"/>
        <v>2923.9647982017659</v>
      </c>
      <c r="BV209" s="16">
        <f t="shared" si="199"/>
        <v>3486.6466778607546</v>
      </c>
      <c r="BW209" s="16">
        <f t="shared" si="200"/>
        <v>3294.9191283803793</v>
      </c>
      <c r="BX209" s="16">
        <f t="shared" si="201"/>
        <v>2927.70214144591</v>
      </c>
      <c r="BY209" s="10">
        <f t="shared" si="168"/>
        <v>12422.947354092685</v>
      </c>
      <c r="BZ209" s="10">
        <f t="shared" si="169"/>
        <v>11059.97693512484</v>
      </c>
      <c r="CA209" s="10">
        <f t="shared" si="170"/>
        <v>9208.7769324552391</v>
      </c>
      <c r="CB209" s="10">
        <f t="shared" si="171"/>
        <v>9709.2679476870435</v>
      </c>
      <c r="CC209" s="10">
        <f>IFERROR(Table1[[#This Row],[Labor
Saving]]*Table1[[#This Row],[Annual Volume]],"")</f>
        <v>8858.7557414901967</v>
      </c>
      <c r="CD209" s="10">
        <f>IFERROR(Table1[[#This Row],[Annual Volume]]*Table1[[#This Row],[Yield
Saving]],"")</f>
        <v>33542.213427869618</v>
      </c>
      <c r="CE209" s="10">
        <f>IFERROR(Table1[[#This Row],[Annual Volume]]*Table1[[#This Row],[Material
Saving]],"")</f>
        <v>0</v>
      </c>
      <c r="CF209" s="10">
        <f>IFERROR(Table1[[#This Row],[OH
Saving]]*Table1[[#This Row],[Annual Volume]],"")</f>
        <v>0</v>
      </c>
      <c r="CG209" s="10">
        <f>SUM(Table1[[#This Row],[Labor_ASV]:[OH_ASV]])</f>
        <v>42400.969169359814</v>
      </c>
    </row>
    <row r="210" spans="1:85" x14ac:dyDescent="0.3">
      <c r="A210" t="str">
        <f>Table1[[#This Row],[Project Name]]&amp;Table1[[#This Row],[Part Number]]</f>
        <v>New Etching Chemical Diammonium CeriumR60</v>
      </c>
      <c r="B210" t="str">
        <f>IFERROR(Table1[[#This Row],[Project Number]]&amp;Table1[[#This Row],[Part Number]],"")</f>
        <v>AME25-072R60</v>
      </c>
      <c r="C210" s="22" t="s">
        <v>119</v>
      </c>
      <c r="D210" s="24" t="s">
        <v>298</v>
      </c>
      <c r="E210" s="25" t="s">
        <v>58</v>
      </c>
      <c r="F210" s="6">
        <f>INDEX(Proj_Reg!G:G,MATCH($C210,Proj_Reg!$B:$B,0),1)</f>
        <v>46266</v>
      </c>
      <c r="G210" s="6">
        <f>INDEX(Proj_Reg!H:H,MATCH($C210,Proj_Reg!$B:$B,0),1)</f>
        <v>46600</v>
      </c>
      <c r="H210" s="6" t="str">
        <f>IF(INDEX(Proj_Reg!C:C,MATCH($C210,Proj_Reg!$B:$B,0),1)=0,"",INDEX(Proj_Reg!C:C,MATCH($C210,Proj_Reg!$B:$B,0),1))</f>
        <v>Wet Etching</v>
      </c>
      <c r="I210" s="6" t="str">
        <f>IF(INDEX(Proj_Reg!D:D,MATCH($C210,Proj_Reg!$B:$B,0),1)=0,"",INDEX(Proj_Reg!D:D,MATCH($C210,Proj_Reg!$B:$B,0),1))</f>
        <v>XWP</v>
      </c>
      <c r="J210" s="6" t="str">
        <f>INDEX(Proj_Reg!E:E,MATCH($C210,Proj_Reg!$B:$B,0),1)</f>
        <v>New Etching Chemical Diammonium Cerium</v>
      </c>
      <c r="K210" s="21">
        <v>3.8464836601307191E-3</v>
      </c>
      <c r="L210" s="21">
        <v>1.4564074192795651E-2</v>
      </c>
      <c r="M210" s="21">
        <v>0</v>
      </c>
      <c r="N210" s="21">
        <v>0</v>
      </c>
      <c r="O210" s="11">
        <f>SUM(Table1[[#This Row],[Labor
Saving]:[OH
Saving]])</f>
        <v>1.8410557852926369E-2</v>
      </c>
      <c r="Q210" s="40">
        <f t="shared" si="152"/>
        <v>0</v>
      </c>
      <c r="R210" s="40">
        <f t="shared" si="153"/>
        <v>0</v>
      </c>
      <c r="S210" s="40">
        <f t="shared" si="154"/>
        <v>0</v>
      </c>
      <c r="T210" s="40">
        <f t="shared" si="155"/>
        <v>0</v>
      </c>
      <c r="U210" s="40">
        <f t="shared" si="156"/>
        <v>0</v>
      </c>
      <c r="V210" s="40">
        <f t="shared" si="157"/>
        <v>0</v>
      </c>
      <c r="W210" s="40">
        <f t="shared" si="158"/>
        <v>0</v>
      </c>
      <c r="X210" s="40">
        <f t="shared" si="159"/>
        <v>0</v>
      </c>
      <c r="Y210" s="40">
        <f t="shared" si="160"/>
        <v>33738.6</v>
      </c>
      <c r="Z210" s="40">
        <f t="shared" si="161"/>
        <v>45287</v>
      </c>
      <c r="AA210" s="40">
        <f t="shared" si="162"/>
        <v>42797</v>
      </c>
      <c r="AB210" s="40">
        <f t="shared" si="163"/>
        <v>38027</v>
      </c>
      <c r="AC210" s="37">
        <f>SUM(Table1[[#This Row],[Jan]:[Dec]])</f>
        <v>159849.60000000001</v>
      </c>
      <c r="AD210" s="15">
        <f t="shared" si="172"/>
        <v>0</v>
      </c>
      <c r="AE210" s="15">
        <f t="shared" si="173"/>
        <v>0</v>
      </c>
      <c r="AF210" s="15">
        <f t="shared" si="174"/>
        <v>0</v>
      </c>
      <c r="AG210" s="15">
        <f t="shared" si="175"/>
        <v>0</v>
      </c>
      <c r="AH210" s="15">
        <f t="shared" si="176"/>
        <v>0</v>
      </c>
      <c r="AI210" s="15">
        <f t="shared" si="177"/>
        <v>0</v>
      </c>
      <c r="AJ210" s="15">
        <f t="shared" si="178"/>
        <v>0</v>
      </c>
      <c r="AK210" s="15">
        <f t="shared" si="179"/>
        <v>0</v>
      </c>
      <c r="AL210" s="15">
        <f t="shared" si="180"/>
        <v>621.14644717674162</v>
      </c>
      <c r="AM210" s="15">
        <f t="shared" si="181"/>
        <v>833.75893348547652</v>
      </c>
      <c r="AN210" s="15">
        <f t="shared" si="182"/>
        <v>787.91664443168986</v>
      </c>
      <c r="AO210" s="15">
        <f t="shared" si="183"/>
        <v>700.09828347323105</v>
      </c>
      <c r="AP210" s="10">
        <f t="shared" si="184"/>
        <v>0</v>
      </c>
      <c r="AQ210" s="10">
        <f t="shared" si="185"/>
        <v>0</v>
      </c>
      <c r="AR210" s="10">
        <f t="shared" si="186"/>
        <v>621.14644717674162</v>
      </c>
      <c r="AS210" s="10">
        <f t="shared" si="187"/>
        <v>2321.7738613903975</v>
      </c>
      <c r="AT210" s="10" t="b">
        <f t="shared" si="188"/>
        <v>1</v>
      </c>
      <c r="AU210" s="10">
        <f t="shared" si="164"/>
        <v>614.8588744784314</v>
      </c>
      <c r="AV210" s="10">
        <f t="shared" si="165"/>
        <v>2328.0614340887078</v>
      </c>
      <c r="AW210" s="10">
        <f t="shared" si="166"/>
        <v>0</v>
      </c>
      <c r="AX210" s="10">
        <f t="shared" si="167"/>
        <v>0</v>
      </c>
      <c r="AY210" s="10">
        <f t="shared" si="189"/>
        <v>2942.9203085671393</v>
      </c>
      <c r="AZ210" s="19">
        <f>IFERROR(IF($E210="REC",INDEX(A_Type_Volume!$B:$B,MATCH($D210,A_Type_Volume!$A:$A,0),1),IF($E210="VAM",INDEX(C_Type_Volume!$B:$B,MATCH($D210,C_Type_Volume!$A:$A,0),1),"X")),"")</f>
        <v>52968</v>
      </c>
      <c r="BA210" s="19">
        <f>IFERROR(IF($E210="REC",INDEX(A_Type_Volume!$C:$C,MATCH($D210,A_Type_Volume!$A:$A,0),1),IF($E210="VAM",INDEX(C_Type_Volume!$C:$C,MATCH($D210,C_Type_Volume!$A:$A,0),1),"X")),"")</f>
        <v>0</v>
      </c>
      <c r="BB210" s="19">
        <f>IFERROR(IF($E210="REC",INDEX(A_Type_Volume!$D:$D,MATCH($D210,A_Type_Volume!$A:$A,0),1),IF($E210="VAM",INDEX(C_Type_Volume!$D:$D,MATCH($D210,C_Type_Volume!$A:$A,0),1),"X")),"")</f>
        <v>51321</v>
      </c>
      <c r="BC210" s="19">
        <f>IFERROR(IF($E210="REC",INDEX(A_Type_Volume!$E:$E,MATCH($D210,A_Type_Volume!$A:$A,0),1),IF($E210="VAM",INDEX(C_Type_Volume!$E:$E,MATCH($D210,C_Type_Volume!$A:$A,0),1),"X")),"")</f>
        <v>48524</v>
      </c>
      <c r="BD210" s="19">
        <f>IFERROR(IF($E210="REC",INDEX(A_Type_Volume!$F:$F,MATCH($D210,A_Type_Volume!$A:$A,0),1),IF($E210="VAM",INDEX(C_Type_Volume!$F:$F,MATCH($D210,C_Type_Volume!$A:$A,0),1),"X")),"")</f>
        <v>55478</v>
      </c>
      <c r="BE210" s="19">
        <f>IFERROR(IF($E210="REC",INDEX(A_Type_Volume!$G:$G,MATCH($D210,A_Type_Volume!$A:$A,0),1),IF($E210="VAM",INDEX(C_Type_Volume!$G:$G,MATCH($D210,C_Type_Volume!$A:$A,0),1),"X")),"")</f>
        <v>50133</v>
      </c>
      <c r="BF210" s="19">
        <f>IFERROR(IF($E210="REC",INDEX(A_Type_Volume!$H:$H,MATCH($D210,A_Type_Volume!$A:$A,0),1),IF($E210="VAM",INDEX(C_Type_Volume!$H:$H,MATCH($D210,C_Type_Volume!$A:$A,0),1),"X")),"")</f>
        <v>59079</v>
      </c>
      <c r="BG210" s="19">
        <f>IFERROR(IF($E210="REC",INDEX(A_Type_Volume!$I:$I,MATCH($D210,A_Type_Volume!$A:$A,0),1),IF($E210="VAM",INDEX(C_Type_Volume!$I:$I,MATCH($D210,C_Type_Volume!$A:$A,0),1),"X")),"")</f>
        <v>46616</v>
      </c>
      <c r="BH210" s="19">
        <f>IFERROR(IF($E210="REC",INDEX(A_Type_Volume!$J:$J,MATCH($D210,A_Type_Volume!$A:$A,0),1),IF($E210="VAM",INDEX(C_Type_Volume!$J:$J,MATCH($D210,C_Type_Volume!$A:$A,0),1),"X")),"")</f>
        <v>48198</v>
      </c>
      <c r="BI210" s="19">
        <f>IFERROR(IF($E210="REC",INDEX(A_Type_Volume!$K:$K,MATCH($D210,A_Type_Volume!$A:$A,0),1),IF($E210="VAM",INDEX(C_Type_Volume!$K:$K,MATCH($D210,C_Type_Volume!$A:$A,0),1),"X")),"")</f>
        <v>45287</v>
      </c>
      <c r="BJ210" s="19">
        <f>IFERROR(IF($E210="REC",INDEX(A_Type_Volume!$L:$L,MATCH($D210,A_Type_Volume!$A:$A,0),1),IF($E210="VAM",INDEX(C_Type_Volume!$L:$L,MATCH($D210,C_Type_Volume!$A:$A,0),1),"X")),"")</f>
        <v>42797</v>
      </c>
      <c r="BK210" s="19">
        <f>IFERROR(IF($E210="REC",INDEX(A_Type_Volume!M:M,MATCH($D210,A_Type_Volume!$A:$A,0),1),IF($E210="VAM",INDEX(C_Type_Volume!M:M,MATCH($D210,C_Type_Volume!$A:$A,0),1),"X")),"")</f>
        <v>38027</v>
      </c>
      <c r="BL210" s="38">
        <f>SUM(Table1[[#This Row],[Jan_AVF]:[Dec_AVF]])</f>
        <v>538428</v>
      </c>
      <c r="BM210" s="16">
        <f t="shared" si="190"/>
        <v>975.17042835380391</v>
      </c>
      <c r="BN210" s="16">
        <f t="shared" si="191"/>
        <v>0</v>
      </c>
      <c r="BO210" s="16">
        <f t="shared" si="192"/>
        <v>944.84823957003425</v>
      </c>
      <c r="BP210" s="16">
        <f t="shared" si="193"/>
        <v>893.35390925539912</v>
      </c>
      <c r="BQ210" s="16">
        <f t="shared" si="194"/>
        <v>1021.3809285646491</v>
      </c>
      <c r="BR210" s="16">
        <f t="shared" si="195"/>
        <v>922.9764968407577</v>
      </c>
      <c r="BS210" s="16">
        <f t="shared" si="196"/>
        <v>1087.6773473930371</v>
      </c>
      <c r="BT210" s="16">
        <f t="shared" si="197"/>
        <v>858.22656487201562</v>
      </c>
      <c r="BU210" s="16">
        <f t="shared" si="198"/>
        <v>887.3520673953451</v>
      </c>
      <c r="BV210" s="16">
        <f t="shared" si="199"/>
        <v>833.75893348547652</v>
      </c>
      <c r="BW210" s="16">
        <f t="shared" si="200"/>
        <v>787.91664443168986</v>
      </c>
      <c r="BX210" s="16">
        <f t="shared" si="201"/>
        <v>700.09828347323105</v>
      </c>
      <c r="BY210" s="10">
        <f t="shared" si="168"/>
        <v>1920.0186679238382</v>
      </c>
      <c r="BZ210" s="10">
        <f t="shared" si="169"/>
        <v>2837.7113346608057</v>
      </c>
      <c r="CA210" s="10">
        <f t="shared" si="170"/>
        <v>2833.2559796603978</v>
      </c>
      <c r="CB210" s="10">
        <f t="shared" si="171"/>
        <v>2321.7738613903975</v>
      </c>
      <c r="CC210" s="10">
        <f>IFERROR(Table1[[#This Row],[Labor
Saving]]*Table1[[#This Row],[Annual Volume]],"")</f>
        <v>2071.054504156863</v>
      </c>
      <c r="CD210" s="10">
        <f>IFERROR(Table1[[#This Row],[Annual Volume]]*Table1[[#This Row],[Yield
Saving]],"")</f>
        <v>7841.7053394785762</v>
      </c>
      <c r="CE210" s="10">
        <f>IFERROR(Table1[[#This Row],[Annual Volume]]*Table1[[#This Row],[Material
Saving]],"")</f>
        <v>0</v>
      </c>
      <c r="CF210" s="10">
        <f>IFERROR(Table1[[#This Row],[OH
Saving]]*Table1[[#This Row],[Annual Volume]],"")</f>
        <v>0</v>
      </c>
      <c r="CG210" s="10">
        <f>SUM(Table1[[#This Row],[Labor_ASV]:[OH_ASV]])</f>
        <v>9912.7598436354383</v>
      </c>
    </row>
    <row r="211" spans="1:85" x14ac:dyDescent="0.3">
      <c r="A211" t="str">
        <f>Table1[[#This Row],[Project Name]]&amp;Table1[[#This Row],[Part Number]]</f>
        <v>New Etching Chemical Diammonium CeriumR61</v>
      </c>
      <c r="B211" t="str">
        <f>IFERROR(Table1[[#This Row],[Project Number]]&amp;Table1[[#This Row],[Part Number]],"")</f>
        <v>AME25-072R61</v>
      </c>
      <c r="C211" s="22" t="s">
        <v>119</v>
      </c>
      <c r="D211" s="24" t="s">
        <v>299</v>
      </c>
      <c r="E211" s="25" t="s">
        <v>58</v>
      </c>
      <c r="F211" s="6">
        <f>INDEX(Proj_Reg!G:G,MATCH($C211,Proj_Reg!$B:$B,0),1)</f>
        <v>46266</v>
      </c>
      <c r="G211" s="6">
        <f>INDEX(Proj_Reg!H:H,MATCH($C211,Proj_Reg!$B:$B,0),1)</f>
        <v>46600</v>
      </c>
      <c r="H211" s="6" t="str">
        <f>IF(INDEX(Proj_Reg!C:C,MATCH($C211,Proj_Reg!$B:$B,0),1)=0,"",INDEX(Proj_Reg!C:C,MATCH($C211,Proj_Reg!$B:$B,0),1))</f>
        <v>Wet Etching</v>
      </c>
      <c r="I211" s="6" t="str">
        <f>IF(INDEX(Proj_Reg!D:D,MATCH($C211,Proj_Reg!$B:$B,0),1)=0,"",INDEX(Proj_Reg!D:D,MATCH($C211,Proj_Reg!$B:$B,0),1))</f>
        <v>XWP</v>
      </c>
      <c r="J211" s="6" t="str">
        <f>INDEX(Proj_Reg!E:E,MATCH($C211,Proj_Reg!$B:$B,0),1)</f>
        <v>New Etching Chemical Diammonium Cerium</v>
      </c>
      <c r="K211" s="21">
        <v>3.8464836601307191E-3</v>
      </c>
      <c r="L211" s="21">
        <v>1.4564074192795651E-2</v>
      </c>
      <c r="M211" s="21">
        <v>0</v>
      </c>
      <c r="N211" s="21">
        <v>0</v>
      </c>
      <c r="O211" s="11">
        <f>SUM(Table1[[#This Row],[Labor
Saving]:[OH
Saving]])</f>
        <v>1.8410557852926369E-2</v>
      </c>
      <c r="Q211" s="40">
        <f t="shared" si="152"/>
        <v>0</v>
      </c>
      <c r="R211" s="40">
        <f t="shared" si="153"/>
        <v>0</v>
      </c>
      <c r="S211" s="40">
        <f t="shared" si="154"/>
        <v>0</v>
      </c>
      <c r="T211" s="40">
        <f t="shared" si="155"/>
        <v>0</v>
      </c>
      <c r="U211" s="40">
        <f t="shared" si="156"/>
        <v>0</v>
      </c>
      <c r="V211" s="40">
        <f t="shared" si="157"/>
        <v>0</v>
      </c>
      <c r="W211" s="40">
        <f t="shared" si="158"/>
        <v>0</v>
      </c>
      <c r="X211" s="40">
        <f t="shared" si="159"/>
        <v>0</v>
      </c>
      <c r="Y211" s="40">
        <f t="shared" si="160"/>
        <v>33738.6</v>
      </c>
      <c r="Z211" s="40">
        <f t="shared" si="161"/>
        <v>45287</v>
      </c>
      <c r="AA211" s="40">
        <f t="shared" si="162"/>
        <v>42797</v>
      </c>
      <c r="AB211" s="40">
        <f t="shared" si="163"/>
        <v>38027</v>
      </c>
      <c r="AC211" s="37">
        <f>SUM(Table1[[#This Row],[Jan]:[Dec]])</f>
        <v>159849.60000000001</v>
      </c>
      <c r="AD211" s="15">
        <f t="shared" si="172"/>
        <v>0</v>
      </c>
      <c r="AE211" s="15">
        <f t="shared" si="173"/>
        <v>0</v>
      </c>
      <c r="AF211" s="15">
        <f t="shared" si="174"/>
        <v>0</v>
      </c>
      <c r="AG211" s="15">
        <f t="shared" si="175"/>
        <v>0</v>
      </c>
      <c r="AH211" s="15">
        <f t="shared" si="176"/>
        <v>0</v>
      </c>
      <c r="AI211" s="15">
        <f t="shared" si="177"/>
        <v>0</v>
      </c>
      <c r="AJ211" s="15">
        <f t="shared" si="178"/>
        <v>0</v>
      </c>
      <c r="AK211" s="15">
        <f t="shared" si="179"/>
        <v>0</v>
      </c>
      <c r="AL211" s="15">
        <f t="shared" si="180"/>
        <v>621.14644717674162</v>
      </c>
      <c r="AM211" s="15">
        <f t="shared" si="181"/>
        <v>833.75893348547652</v>
      </c>
      <c r="AN211" s="15">
        <f t="shared" si="182"/>
        <v>787.91664443168986</v>
      </c>
      <c r="AO211" s="15">
        <f t="shared" si="183"/>
        <v>700.09828347323105</v>
      </c>
      <c r="AP211" s="10">
        <f t="shared" si="184"/>
        <v>0</v>
      </c>
      <c r="AQ211" s="10">
        <f t="shared" si="185"/>
        <v>0</v>
      </c>
      <c r="AR211" s="10">
        <f t="shared" si="186"/>
        <v>621.14644717674162</v>
      </c>
      <c r="AS211" s="10">
        <f t="shared" si="187"/>
        <v>2321.7738613903975</v>
      </c>
      <c r="AT211" s="10" t="b">
        <f t="shared" si="188"/>
        <v>1</v>
      </c>
      <c r="AU211" s="10">
        <f t="shared" si="164"/>
        <v>614.8588744784314</v>
      </c>
      <c r="AV211" s="10">
        <f t="shared" si="165"/>
        <v>2328.0614340887078</v>
      </c>
      <c r="AW211" s="10">
        <f t="shared" si="166"/>
        <v>0</v>
      </c>
      <c r="AX211" s="10">
        <f t="shared" si="167"/>
        <v>0</v>
      </c>
      <c r="AY211" s="10">
        <f t="shared" si="189"/>
        <v>2942.9203085671393</v>
      </c>
      <c r="AZ211" s="19">
        <f>IFERROR(IF($E211="REC",INDEX(A_Type_Volume!$B:$B,MATCH($D211,A_Type_Volume!$A:$A,0),1),IF($E211="VAM",INDEX(C_Type_Volume!$B:$B,MATCH($D211,C_Type_Volume!$A:$A,0),1),"X")),"")</f>
        <v>52968</v>
      </c>
      <c r="BA211" s="19">
        <f>IFERROR(IF($E211="REC",INDEX(A_Type_Volume!$C:$C,MATCH($D211,A_Type_Volume!$A:$A,0),1),IF($E211="VAM",INDEX(C_Type_Volume!$C:$C,MATCH($D211,C_Type_Volume!$A:$A,0),1),"X")),"")</f>
        <v>0</v>
      </c>
      <c r="BB211" s="19">
        <f>IFERROR(IF($E211="REC",INDEX(A_Type_Volume!$D:$D,MATCH($D211,A_Type_Volume!$A:$A,0),1),IF($E211="VAM",INDEX(C_Type_Volume!$D:$D,MATCH($D211,C_Type_Volume!$A:$A,0),1),"X")),"")</f>
        <v>51321</v>
      </c>
      <c r="BC211" s="19">
        <f>IFERROR(IF($E211="REC",INDEX(A_Type_Volume!$E:$E,MATCH($D211,A_Type_Volume!$A:$A,0),1),IF($E211="VAM",INDEX(C_Type_Volume!$E:$E,MATCH($D211,C_Type_Volume!$A:$A,0),1),"X")),"")</f>
        <v>48524</v>
      </c>
      <c r="BD211" s="19">
        <f>IFERROR(IF($E211="REC",INDEX(A_Type_Volume!$F:$F,MATCH($D211,A_Type_Volume!$A:$A,0),1),IF($E211="VAM",INDEX(C_Type_Volume!$F:$F,MATCH($D211,C_Type_Volume!$A:$A,0),1),"X")),"")</f>
        <v>55478</v>
      </c>
      <c r="BE211" s="19">
        <f>IFERROR(IF($E211="REC",INDEX(A_Type_Volume!$G:$G,MATCH($D211,A_Type_Volume!$A:$A,0),1),IF($E211="VAM",INDEX(C_Type_Volume!$G:$G,MATCH($D211,C_Type_Volume!$A:$A,0),1),"X")),"")</f>
        <v>50133</v>
      </c>
      <c r="BF211" s="19">
        <f>IFERROR(IF($E211="REC",INDEX(A_Type_Volume!$H:$H,MATCH($D211,A_Type_Volume!$A:$A,0),1),IF($E211="VAM",INDEX(C_Type_Volume!$H:$H,MATCH($D211,C_Type_Volume!$A:$A,0),1),"X")),"")</f>
        <v>59079</v>
      </c>
      <c r="BG211" s="19">
        <f>IFERROR(IF($E211="REC",INDEX(A_Type_Volume!$I:$I,MATCH($D211,A_Type_Volume!$A:$A,0),1),IF($E211="VAM",INDEX(C_Type_Volume!$I:$I,MATCH($D211,C_Type_Volume!$A:$A,0),1),"X")),"")</f>
        <v>46616</v>
      </c>
      <c r="BH211" s="19">
        <f>IFERROR(IF($E211="REC",INDEX(A_Type_Volume!$J:$J,MATCH($D211,A_Type_Volume!$A:$A,0),1),IF($E211="VAM",INDEX(C_Type_Volume!$J:$J,MATCH($D211,C_Type_Volume!$A:$A,0),1),"X")),"")</f>
        <v>48198</v>
      </c>
      <c r="BI211" s="19">
        <f>IFERROR(IF($E211="REC",INDEX(A_Type_Volume!$K:$K,MATCH($D211,A_Type_Volume!$A:$A,0),1),IF($E211="VAM",INDEX(C_Type_Volume!$K:$K,MATCH($D211,C_Type_Volume!$A:$A,0),1),"X")),"")</f>
        <v>45287</v>
      </c>
      <c r="BJ211" s="19">
        <f>IFERROR(IF($E211="REC",INDEX(A_Type_Volume!$L:$L,MATCH($D211,A_Type_Volume!$A:$A,0),1),IF($E211="VAM",INDEX(C_Type_Volume!$L:$L,MATCH($D211,C_Type_Volume!$A:$A,0),1),"X")),"")</f>
        <v>42797</v>
      </c>
      <c r="BK211" s="19">
        <f>IFERROR(IF($E211="REC",INDEX(A_Type_Volume!M:M,MATCH($D211,A_Type_Volume!$A:$A,0),1),IF($E211="VAM",INDEX(C_Type_Volume!M:M,MATCH($D211,C_Type_Volume!$A:$A,0),1),"X")),"")</f>
        <v>38027</v>
      </c>
      <c r="BL211" s="38">
        <f>SUM(Table1[[#This Row],[Jan_AVF]:[Dec_AVF]])</f>
        <v>538428</v>
      </c>
      <c r="BM211" s="16">
        <f t="shared" si="190"/>
        <v>975.17042835380391</v>
      </c>
      <c r="BN211" s="16">
        <f t="shared" si="191"/>
        <v>0</v>
      </c>
      <c r="BO211" s="16">
        <f t="shared" si="192"/>
        <v>944.84823957003425</v>
      </c>
      <c r="BP211" s="16">
        <f t="shared" si="193"/>
        <v>893.35390925539912</v>
      </c>
      <c r="BQ211" s="16">
        <f t="shared" si="194"/>
        <v>1021.3809285646491</v>
      </c>
      <c r="BR211" s="16">
        <f t="shared" si="195"/>
        <v>922.9764968407577</v>
      </c>
      <c r="BS211" s="16">
        <f t="shared" si="196"/>
        <v>1087.6773473930371</v>
      </c>
      <c r="BT211" s="16">
        <f t="shared" si="197"/>
        <v>858.22656487201562</v>
      </c>
      <c r="BU211" s="16">
        <f t="shared" si="198"/>
        <v>887.3520673953451</v>
      </c>
      <c r="BV211" s="16">
        <f t="shared" si="199"/>
        <v>833.75893348547652</v>
      </c>
      <c r="BW211" s="16">
        <f t="shared" si="200"/>
        <v>787.91664443168986</v>
      </c>
      <c r="BX211" s="16">
        <f t="shared" si="201"/>
        <v>700.09828347323105</v>
      </c>
      <c r="BY211" s="10">
        <f t="shared" si="168"/>
        <v>1920.0186679238382</v>
      </c>
      <c r="BZ211" s="10">
        <f t="shared" si="169"/>
        <v>2837.7113346608057</v>
      </c>
      <c r="CA211" s="10">
        <f t="shared" si="170"/>
        <v>2833.2559796603978</v>
      </c>
      <c r="CB211" s="10">
        <f t="shared" si="171"/>
        <v>2321.7738613903975</v>
      </c>
      <c r="CC211" s="10">
        <f>IFERROR(Table1[[#This Row],[Labor
Saving]]*Table1[[#This Row],[Annual Volume]],"")</f>
        <v>2071.054504156863</v>
      </c>
      <c r="CD211" s="10">
        <f>IFERROR(Table1[[#This Row],[Annual Volume]]*Table1[[#This Row],[Yield
Saving]],"")</f>
        <v>7841.7053394785762</v>
      </c>
      <c r="CE211" s="10">
        <f>IFERROR(Table1[[#This Row],[Annual Volume]]*Table1[[#This Row],[Material
Saving]],"")</f>
        <v>0</v>
      </c>
      <c r="CF211" s="10">
        <f>IFERROR(Table1[[#This Row],[OH
Saving]]*Table1[[#This Row],[Annual Volume]],"")</f>
        <v>0</v>
      </c>
      <c r="CG211" s="10">
        <f>SUM(Table1[[#This Row],[Labor_ASV]:[OH_ASV]])</f>
        <v>9912.7598436354383</v>
      </c>
    </row>
    <row r="212" spans="1:85" x14ac:dyDescent="0.3">
      <c r="A212" t="str">
        <f>Table1[[#This Row],[Project Name]]&amp;Table1[[#This Row],[Part Number]]</f>
        <v>New Etching Chemical Diammonium CeriumR65</v>
      </c>
      <c r="B212" t="str">
        <f>IFERROR(Table1[[#This Row],[Project Number]]&amp;Table1[[#This Row],[Part Number]],"")</f>
        <v>AME25-072R65</v>
      </c>
      <c r="C212" s="22" t="s">
        <v>119</v>
      </c>
      <c r="D212" s="24" t="s">
        <v>303</v>
      </c>
      <c r="E212" s="25" t="s">
        <v>58</v>
      </c>
      <c r="F212" s="6">
        <f>INDEX(Proj_Reg!G:G,MATCH($C212,Proj_Reg!$B:$B,0),1)</f>
        <v>46266</v>
      </c>
      <c r="G212" s="6">
        <f>INDEX(Proj_Reg!H:H,MATCH($C212,Proj_Reg!$B:$B,0),1)</f>
        <v>46600</v>
      </c>
      <c r="H212" s="6" t="str">
        <f>IF(INDEX(Proj_Reg!C:C,MATCH($C212,Proj_Reg!$B:$B,0),1)=0,"",INDEX(Proj_Reg!C:C,MATCH($C212,Proj_Reg!$B:$B,0),1))</f>
        <v>Wet Etching</v>
      </c>
      <c r="I212" s="6" t="str">
        <f>IF(INDEX(Proj_Reg!D:D,MATCH($C212,Proj_Reg!$B:$B,0),1)=0,"",INDEX(Proj_Reg!D:D,MATCH($C212,Proj_Reg!$B:$B,0),1))</f>
        <v>XWP</v>
      </c>
      <c r="J212" s="6" t="str">
        <f>INDEX(Proj_Reg!E:E,MATCH($C212,Proj_Reg!$B:$B,0),1)</f>
        <v>New Etching Chemical Diammonium Cerium</v>
      </c>
      <c r="K212" s="21">
        <v>3.8464836601307191E-3</v>
      </c>
      <c r="L212" s="21">
        <v>1.4564074192795651E-2</v>
      </c>
      <c r="M212" s="21">
        <v>0</v>
      </c>
      <c r="N212" s="21">
        <v>0</v>
      </c>
      <c r="O212" s="11">
        <f>SUM(Table1[[#This Row],[Labor
Saving]:[OH
Saving]])</f>
        <v>1.8410557852926369E-2</v>
      </c>
      <c r="Q212" s="40">
        <f t="shared" si="152"/>
        <v>0</v>
      </c>
      <c r="R212" s="40">
        <f t="shared" si="153"/>
        <v>0</v>
      </c>
      <c r="S212" s="40">
        <f t="shared" si="154"/>
        <v>0</v>
      </c>
      <c r="T212" s="40">
        <f t="shared" si="155"/>
        <v>0</v>
      </c>
      <c r="U212" s="40">
        <f t="shared" si="156"/>
        <v>0</v>
      </c>
      <c r="V212" s="40">
        <f t="shared" si="157"/>
        <v>0</v>
      </c>
      <c r="W212" s="40">
        <f t="shared" si="158"/>
        <v>0</v>
      </c>
      <c r="X212" s="40">
        <f t="shared" si="159"/>
        <v>0</v>
      </c>
      <c r="Y212" s="40">
        <f t="shared" si="160"/>
        <v>235148.9</v>
      </c>
      <c r="Z212" s="40">
        <f t="shared" si="161"/>
        <v>260745</v>
      </c>
      <c r="AA212" s="40">
        <f t="shared" si="162"/>
        <v>233438</v>
      </c>
      <c r="AB212" s="40">
        <f t="shared" si="163"/>
        <v>218944</v>
      </c>
      <c r="AC212" s="37">
        <f>SUM(Table1[[#This Row],[Jan]:[Dec]])</f>
        <v>948275.9</v>
      </c>
      <c r="AD212" s="15">
        <f t="shared" si="172"/>
        <v>0</v>
      </c>
      <c r="AE212" s="15">
        <f t="shared" si="173"/>
        <v>0</v>
      </c>
      <c r="AF212" s="15">
        <f t="shared" si="174"/>
        <v>0</v>
      </c>
      <c r="AG212" s="15">
        <f t="shared" si="175"/>
        <v>0</v>
      </c>
      <c r="AH212" s="15">
        <f t="shared" si="176"/>
        <v>0</v>
      </c>
      <c r="AI212" s="15">
        <f t="shared" si="177"/>
        <v>0</v>
      </c>
      <c r="AJ212" s="15">
        <f t="shared" si="178"/>
        <v>0</v>
      </c>
      <c r="AK212" s="15">
        <f t="shared" si="179"/>
        <v>0</v>
      </c>
      <c r="AL212" s="15">
        <f t="shared" si="180"/>
        <v>4329.2224275019971</v>
      </c>
      <c r="AM212" s="15">
        <f t="shared" si="181"/>
        <v>4800.4609073612864</v>
      </c>
      <c r="AN212" s="15">
        <f t="shared" si="182"/>
        <v>4297.7238040714255</v>
      </c>
      <c r="AO212" s="15">
        <f t="shared" si="183"/>
        <v>4030.8811785511111</v>
      </c>
      <c r="AP212" s="10">
        <f t="shared" si="184"/>
        <v>0</v>
      </c>
      <c r="AQ212" s="10">
        <f t="shared" si="185"/>
        <v>0</v>
      </c>
      <c r="AR212" s="10">
        <f t="shared" si="186"/>
        <v>4329.2224275019971</v>
      </c>
      <c r="AS212" s="10">
        <f t="shared" si="187"/>
        <v>13129.065889983824</v>
      </c>
      <c r="AT212" s="10" t="b">
        <f t="shared" si="188"/>
        <v>1</v>
      </c>
      <c r="AU212" s="10">
        <f t="shared" si="164"/>
        <v>3647.5277546457519</v>
      </c>
      <c r="AV212" s="10">
        <f t="shared" si="165"/>
        <v>13810.760562840069</v>
      </c>
      <c r="AW212" s="10">
        <f t="shared" si="166"/>
        <v>0</v>
      </c>
      <c r="AX212" s="10">
        <f t="shared" si="167"/>
        <v>0</v>
      </c>
      <c r="AY212" s="10">
        <f t="shared" si="189"/>
        <v>17458.288317485822</v>
      </c>
      <c r="AZ212" s="19">
        <f>IFERROR(IF($E212="REC",INDEX(A_Type_Volume!$B:$B,MATCH($D212,A_Type_Volume!$A:$A,0),1),IF($E212="VAM",INDEX(C_Type_Volume!$B:$B,MATCH($D212,C_Type_Volume!$A:$A,0),1),"X")),"")</f>
        <v>367835</v>
      </c>
      <c r="BA212" s="19">
        <f>IFERROR(IF($E212="REC",INDEX(A_Type_Volume!$C:$C,MATCH($D212,A_Type_Volume!$A:$A,0),1),IF($E212="VAM",INDEX(C_Type_Volume!$C:$C,MATCH($D212,C_Type_Volume!$A:$A,0),1),"X")),"")</f>
        <v>342877</v>
      </c>
      <c r="BB212" s="19">
        <f>IFERROR(IF($E212="REC",INDEX(A_Type_Volume!$D:$D,MATCH($D212,A_Type_Volume!$A:$A,0),1),IF($E212="VAM",INDEX(C_Type_Volume!$D:$D,MATCH($D212,C_Type_Volume!$A:$A,0),1),"X")),"")</f>
        <v>395173</v>
      </c>
      <c r="BC212" s="19">
        <f>IFERROR(IF($E212="REC",INDEX(A_Type_Volume!$E:$E,MATCH($D212,A_Type_Volume!$A:$A,0),1),IF($E212="VAM",INDEX(C_Type_Volume!$E:$E,MATCH($D212,C_Type_Volume!$A:$A,0),1),"X")),"")</f>
        <v>280850</v>
      </c>
      <c r="BD212" s="19">
        <f>IFERROR(IF($E212="REC",INDEX(A_Type_Volume!$F:$F,MATCH($D212,A_Type_Volume!$A:$A,0),1),IF($E212="VAM",INDEX(C_Type_Volume!$F:$F,MATCH($D212,C_Type_Volume!$A:$A,0),1),"X")),"")</f>
        <v>319417</v>
      </c>
      <c r="BE212" s="19">
        <f>IFERROR(IF($E212="REC",INDEX(A_Type_Volume!$G:$G,MATCH($D212,A_Type_Volume!$A:$A,0),1),IF($E212="VAM",INDEX(C_Type_Volume!$G:$G,MATCH($D212,C_Type_Volume!$A:$A,0),1),"X")),"")</f>
        <v>334223</v>
      </c>
      <c r="BF212" s="19">
        <f>IFERROR(IF($E212="REC",INDEX(A_Type_Volume!$H:$H,MATCH($D212,A_Type_Volume!$A:$A,0),1),IF($E212="VAM",INDEX(C_Type_Volume!$H:$H,MATCH($D212,C_Type_Volume!$A:$A,0),1),"X")),"")</f>
        <v>327621</v>
      </c>
      <c r="BG212" s="19">
        <f>IFERROR(IF($E212="REC",INDEX(A_Type_Volume!$I:$I,MATCH($D212,A_Type_Volume!$A:$A,0),1),IF($E212="VAM",INDEX(C_Type_Volume!$I:$I,MATCH($D212,C_Type_Volume!$A:$A,0),1),"X")),"")</f>
        <v>254269</v>
      </c>
      <c r="BH212" s="19">
        <f>IFERROR(IF($E212="REC",INDEX(A_Type_Volume!$J:$J,MATCH($D212,A_Type_Volume!$A:$A,0),1),IF($E212="VAM",INDEX(C_Type_Volume!$J:$J,MATCH($D212,C_Type_Volume!$A:$A,0),1),"X")),"")</f>
        <v>335927</v>
      </c>
      <c r="BI212" s="19">
        <f>IFERROR(IF($E212="REC",INDEX(A_Type_Volume!$K:$K,MATCH($D212,A_Type_Volume!$A:$A,0),1),IF($E212="VAM",INDEX(C_Type_Volume!$K:$K,MATCH($D212,C_Type_Volume!$A:$A,0),1),"X")),"")</f>
        <v>260745</v>
      </c>
      <c r="BJ212" s="19">
        <f>IFERROR(IF($E212="REC",INDEX(A_Type_Volume!$L:$L,MATCH($D212,A_Type_Volume!$A:$A,0),1),IF($E212="VAM",INDEX(C_Type_Volume!$L:$L,MATCH($D212,C_Type_Volume!$A:$A,0),1),"X")),"")</f>
        <v>233438</v>
      </c>
      <c r="BK212" s="19">
        <f>IFERROR(IF($E212="REC",INDEX(A_Type_Volume!M:M,MATCH($D212,A_Type_Volume!$A:$A,0),1),IF($E212="VAM",INDEX(C_Type_Volume!M:M,MATCH($D212,C_Type_Volume!$A:$A,0),1),"X")),"")</f>
        <v>218944</v>
      </c>
      <c r="BL212" s="38">
        <f>SUM(Table1[[#This Row],[Jan_AVF]:[Dec_AVF]])</f>
        <v>3671319</v>
      </c>
      <c r="BM212" s="16">
        <f t="shared" si="190"/>
        <v>6772.047547831171</v>
      </c>
      <c r="BN212" s="16">
        <f t="shared" si="191"/>
        <v>6312.5568449378352</v>
      </c>
      <c r="BO212" s="16">
        <f t="shared" si="192"/>
        <v>7275.3553784144724</v>
      </c>
      <c r="BP212" s="16">
        <f t="shared" si="193"/>
        <v>5170.6051729943711</v>
      </c>
      <c r="BQ212" s="16">
        <f t="shared" si="194"/>
        <v>5880.6451577081825</v>
      </c>
      <c r="BR212" s="16">
        <f t="shared" si="195"/>
        <v>6153.2318772786102</v>
      </c>
      <c r="BS212" s="16">
        <f t="shared" si="196"/>
        <v>6031.6853743335905</v>
      </c>
      <c r="BT212" s="16">
        <f t="shared" si="197"/>
        <v>4681.2341347057354</v>
      </c>
      <c r="BU212" s="16">
        <f t="shared" si="198"/>
        <v>6184.6034678599963</v>
      </c>
      <c r="BV212" s="16">
        <f t="shared" si="199"/>
        <v>4800.4609073612864</v>
      </c>
      <c r="BW212" s="16">
        <f t="shared" si="200"/>
        <v>4297.7238040714255</v>
      </c>
      <c r="BX212" s="16">
        <f t="shared" si="201"/>
        <v>4030.8811785511111</v>
      </c>
      <c r="BY212" s="10">
        <f t="shared" si="168"/>
        <v>20359.959771183479</v>
      </c>
      <c r="BZ212" s="10">
        <f t="shared" si="169"/>
        <v>17204.482207981164</v>
      </c>
      <c r="CA212" s="10">
        <f t="shared" si="170"/>
        <v>16897.522976899323</v>
      </c>
      <c r="CB212" s="10">
        <f t="shared" si="171"/>
        <v>13129.065889983824</v>
      </c>
      <c r="CC212" s="10">
        <f>IFERROR(Table1[[#This Row],[Labor
Saving]]*Table1[[#This Row],[Annual Volume]],"")</f>
        <v>14121.668544627451</v>
      </c>
      <c r="CD212" s="10">
        <f>IFERROR(Table1[[#This Row],[Annual Volume]]*Table1[[#This Row],[Yield
Saving]],"")</f>
        <v>53469.362301420333</v>
      </c>
      <c r="CE212" s="10">
        <f>IFERROR(Table1[[#This Row],[Annual Volume]]*Table1[[#This Row],[Material
Saving]],"")</f>
        <v>0</v>
      </c>
      <c r="CF212" s="10">
        <f>IFERROR(Table1[[#This Row],[OH
Saving]]*Table1[[#This Row],[Annual Volume]],"")</f>
        <v>0</v>
      </c>
      <c r="CG212" s="10">
        <f>SUM(Table1[[#This Row],[Labor_ASV]:[OH_ASV]])</f>
        <v>67591.030846047783</v>
      </c>
    </row>
    <row r="213" spans="1:85" x14ac:dyDescent="0.3">
      <c r="A213" t="str">
        <f>Table1[[#This Row],[Project Name]]&amp;Table1[[#This Row],[Part Number]]</f>
        <v>New Etching Chemical Diammonium CeriumR66</v>
      </c>
      <c r="B213" t="str">
        <f>IFERROR(Table1[[#This Row],[Project Number]]&amp;Table1[[#This Row],[Part Number]],"")</f>
        <v>AME25-072R66</v>
      </c>
      <c r="C213" s="22" t="s">
        <v>119</v>
      </c>
      <c r="D213" s="24" t="s">
        <v>304</v>
      </c>
      <c r="E213" s="25" t="s">
        <v>58</v>
      </c>
      <c r="F213" s="6">
        <f>INDEX(Proj_Reg!G:G,MATCH($C213,Proj_Reg!$B:$B,0),1)</f>
        <v>46266</v>
      </c>
      <c r="G213" s="6">
        <f>INDEX(Proj_Reg!H:H,MATCH($C213,Proj_Reg!$B:$B,0),1)</f>
        <v>46600</v>
      </c>
      <c r="H213" s="6" t="str">
        <f>IF(INDEX(Proj_Reg!C:C,MATCH($C213,Proj_Reg!$B:$B,0),1)=0,"",INDEX(Proj_Reg!C:C,MATCH($C213,Proj_Reg!$B:$B,0),1))</f>
        <v>Wet Etching</v>
      </c>
      <c r="I213" s="6" t="str">
        <f>IF(INDEX(Proj_Reg!D:D,MATCH($C213,Proj_Reg!$B:$B,0),1)=0,"",INDEX(Proj_Reg!D:D,MATCH($C213,Proj_Reg!$B:$B,0),1))</f>
        <v>XWP</v>
      </c>
      <c r="J213" s="6" t="str">
        <f>INDEX(Proj_Reg!E:E,MATCH($C213,Proj_Reg!$B:$B,0),1)</f>
        <v>New Etching Chemical Diammonium Cerium</v>
      </c>
      <c r="K213" s="21">
        <v>3.8464836601307191E-3</v>
      </c>
      <c r="L213" s="21">
        <v>1.4564074192795651E-2</v>
      </c>
      <c r="M213" s="21">
        <v>0</v>
      </c>
      <c r="N213" s="21">
        <v>0</v>
      </c>
      <c r="O213" s="11">
        <f>SUM(Table1[[#This Row],[Labor
Saving]:[OH
Saving]])</f>
        <v>1.8410557852926369E-2</v>
      </c>
      <c r="Q213" s="40">
        <f t="shared" si="152"/>
        <v>0</v>
      </c>
      <c r="R213" s="40">
        <f t="shared" si="153"/>
        <v>0</v>
      </c>
      <c r="S213" s="40">
        <f t="shared" si="154"/>
        <v>0</v>
      </c>
      <c r="T213" s="40">
        <f t="shared" si="155"/>
        <v>0</v>
      </c>
      <c r="U213" s="40">
        <f t="shared" si="156"/>
        <v>0</v>
      </c>
      <c r="V213" s="40">
        <f t="shared" si="157"/>
        <v>0</v>
      </c>
      <c r="W213" s="40">
        <f t="shared" si="158"/>
        <v>0</v>
      </c>
      <c r="X213" s="40">
        <f t="shared" si="159"/>
        <v>0</v>
      </c>
      <c r="Y213" s="40">
        <f t="shared" si="160"/>
        <v>235148.9</v>
      </c>
      <c r="Z213" s="40">
        <f t="shared" si="161"/>
        <v>260745</v>
      </c>
      <c r="AA213" s="40">
        <f t="shared" si="162"/>
        <v>233438</v>
      </c>
      <c r="AB213" s="40">
        <f t="shared" si="163"/>
        <v>218944</v>
      </c>
      <c r="AC213" s="37">
        <f>SUM(Table1[[#This Row],[Jan]:[Dec]])</f>
        <v>948275.9</v>
      </c>
      <c r="AD213" s="15">
        <f t="shared" si="172"/>
        <v>0</v>
      </c>
      <c r="AE213" s="15">
        <f t="shared" si="173"/>
        <v>0</v>
      </c>
      <c r="AF213" s="15">
        <f t="shared" si="174"/>
        <v>0</v>
      </c>
      <c r="AG213" s="15">
        <f t="shared" si="175"/>
        <v>0</v>
      </c>
      <c r="AH213" s="15">
        <f t="shared" si="176"/>
        <v>0</v>
      </c>
      <c r="AI213" s="15">
        <f t="shared" si="177"/>
        <v>0</v>
      </c>
      <c r="AJ213" s="15">
        <f t="shared" si="178"/>
        <v>0</v>
      </c>
      <c r="AK213" s="15">
        <f t="shared" si="179"/>
        <v>0</v>
      </c>
      <c r="AL213" s="15">
        <f t="shared" si="180"/>
        <v>4329.2224275019971</v>
      </c>
      <c r="AM213" s="15">
        <f t="shared" si="181"/>
        <v>4800.4609073612864</v>
      </c>
      <c r="AN213" s="15">
        <f t="shared" si="182"/>
        <v>4297.7238040714255</v>
      </c>
      <c r="AO213" s="15">
        <f t="shared" si="183"/>
        <v>4030.8811785511111</v>
      </c>
      <c r="AP213" s="10">
        <f t="shared" si="184"/>
        <v>0</v>
      </c>
      <c r="AQ213" s="10">
        <f t="shared" si="185"/>
        <v>0</v>
      </c>
      <c r="AR213" s="10">
        <f t="shared" si="186"/>
        <v>4329.2224275019971</v>
      </c>
      <c r="AS213" s="10">
        <f t="shared" si="187"/>
        <v>13129.065889983824</v>
      </c>
      <c r="AT213" s="10" t="b">
        <f t="shared" si="188"/>
        <v>1</v>
      </c>
      <c r="AU213" s="10">
        <f t="shared" si="164"/>
        <v>3647.5277546457519</v>
      </c>
      <c r="AV213" s="10">
        <f t="shared" si="165"/>
        <v>13810.760562840069</v>
      </c>
      <c r="AW213" s="10">
        <f t="shared" si="166"/>
        <v>0</v>
      </c>
      <c r="AX213" s="10">
        <f t="shared" si="167"/>
        <v>0</v>
      </c>
      <c r="AY213" s="10">
        <f t="shared" si="189"/>
        <v>17458.288317485822</v>
      </c>
      <c r="AZ213" s="19">
        <f>IFERROR(IF($E213="REC",INDEX(A_Type_Volume!$B:$B,MATCH($D213,A_Type_Volume!$A:$A,0),1),IF($E213="VAM",INDEX(C_Type_Volume!$B:$B,MATCH($D213,C_Type_Volume!$A:$A,0),1),"X")),"")</f>
        <v>367835</v>
      </c>
      <c r="BA213" s="19">
        <f>IFERROR(IF($E213="REC",INDEX(A_Type_Volume!$C:$C,MATCH($D213,A_Type_Volume!$A:$A,0),1),IF($E213="VAM",INDEX(C_Type_Volume!$C:$C,MATCH($D213,C_Type_Volume!$A:$A,0),1),"X")),"")</f>
        <v>342877</v>
      </c>
      <c r="BB213" s="19">
        <f>IFERROR(IF($E213="REC",INDEX(A_Type_Volume!$D:$D,MATCH($D213,A_Type_Volume!$A:$A,0),1),IF($E213="VAM",INDEX(C_Type_Volume!$D:$D,MATCH($D213,C_Type_Volume!$A:$A,0),1),"X")),"")</f>
        <v>395173</v>
      </c>
      <c r="BC213" s="19">
        <f>IFERROR(IF($E213="REC",INDEX(A_Type_Volume!$E:$E,MATCH($D213,A_Type_Volume!$A:$A,0),1),IF($E213="VAM",INDEX(C_Type_Volume!$E:$E,MATCH($D213,C_Type_Volume!$A:$A,0),1),"X")),"")</f>
        <v>280850</v>
      </c>
      <c r="BD213" s="19">
        <f>IFERROR(IF($E213="REC",INDEX(A_Type_Volume!$F:$F,MATCH($D213,A_Type_Volume!$A:$A,0),1),IF($E213="VAM",INDEX(C_Type_Volume!$F:$F,MATCH($D213,C_Type_Volume!$A:$A,0),1),"X")),"")</f>
        <v>319417</v>
      </c>
      <c r="BE213" s="19">
        <f>IFERROR(IF($E213="REC",INDEX(A_Type_Volume!$G:$G,MATCH($D213,A_Type_Volume!$A:$A,0),1),IF($E213="VAM",INDEX(C_Type_Volume!$G:$G,MATCH($D213,C_Type_Volume!$A:$A,0),1),"X")),"")</f>
        <v>334223</v>
      </c>
      <c r="BF213" s="19">
        <f>IFERROR(IF($E213="REC",INDEX(A_Type_Volume!$H:$H,MATCH($D213,A_Type_Volume!$A:$A,0),1),IF($E213="VAM",INDEX(C_Type_Volume!$H:$H,MATCH($D213,C_Type_Volume!$A:$A,0),1),"X")),"")</f>
        <v>327621</v>
      </c>
      <c r="BG213" s="19">
        <f>IFERROR(IF($E213="REC",INDEX(A_Type_Volume!$I:$I,MATCH($D213,A_Type_Volume!$A:$A,0),1),IF($E213="VAM",INDEX(C_Type_Volume!$I:$I,MATCH($D213,C_Type_Volume!$A:$A,0),1),"X")),"")</f>
        <v>254269</v>
      </c>
      <c r="BH213" s="19">
        <f>IFERROR(IF($E213="REC",INDEX(A_Type_Volume!$J:$J,MATCH($D213,A_Type_Volume!$A:$A,0),1),IF($E213="VAM",INDEX(C_Type_Volume!$J:$J,MATCH($D213,C_Type_Volume!$A:$A,0),1),"X")),"")</f>
        <v>335927</v>
      </c>
      <c r="BI213" s="19">
        <f>IFERROR(IF($E213="REC",INDEX(A_Type_Volume!$K:$K,MATCH($D213,A_Type_Volume!$A:$A,0),1),IF($E213="VAM",INDEX(C_Type_Volume!$K:$K,MATCH($D213,C_Type_Volume!$A:$A,0),1),"X")),"")</f>
        <v>260745</v>
      </c>
      <c r="BJ213" s="19">
        <f>IFERROR(IF($E213="REC",INDEX(A_Type_Volume!$L:$L,MATCH($D213,A_Type_Volume!$A:$A,0),1),IF($E213="VAM",INDEX(C_Type_Volume!$L:$L,MATCH($D213,C_Type_Volume!$A:$A,0),1),"X")),"")</f>
        <v>233438</v>
      </c>
      <c r="BK213" s="19">
        <f>IFERROR(IF($E213="REC",INDEX(A_Type_Volume!M:M,MATCH($D213,A_Type_Volume!$A:$A,0),1),IF($E213="VAM",INDEX(C_Type_Volume!M:M,MATCH($D213,C_Type_Volume!$A:$A,0),1),"X")),"")</f>
        <v>218944</v>
      </c>
      <c r="BL213" s="38">
        <f>SUM(Table1[[#This Row],[Jan_AVF]:[Dec_AVF]])</f>
        <v>3671319</v>
      </c>
      <c r="BM213" s="16">
        <f t="shared" si="190"/>
        <v>6772.047547831171</v>
      </c>
      <c r="BN213" s="16">
        <f t="shared" si="191"/>
        <v>6312.5568449378352</v>
      </c>
      <c r="BO213" s="16">
        <f t="shared" si="192"/>
        <v>7275.3553784144724</v>
      </c>
      <c r="BP213" s="16">
        <f t="shared" si="193"/>
        <v>5170.6051729943711</v>
      </c>
      <c r="BQ213" s="16">
        <f t="shared" si="194"/>
        <v>5880.6451577081825</v>
      </c>
      <c r="BR213" s="16">
        <f t="shared" si="195"/>
        <v>6153.2318772786102</v>
      </c>
      <c r="BS213" s="16">
        <f t="shared" si="196"/>
        <v>6031.6853743335905</v>
      </c>
      <c r="BT213" s="16">
        <f t="shared" si="197"/>
        <v>4681.2341347057354</v>
      </c>
      <c r="BU213" s="16">
        <f t="shared" si="198"/>
        <v>6184.6034678599963</v>
      </c>
      <c r="BV213" s="16">
        <f t="shared" si="199"/>
        <v>4800.4609073612864</v>
      </c>
      <c r="BW213" s="16">
        <f t="shared" si="200"/>
        <v>4297.7238040714255</v>
      </c>
      <c r="BX213" s="16">
        <f t="shared" si="201"/>
        <v>4030.8811785511111</v>
      </c>
      <c r="BY213" s="10">
        <f t="shared" si="168"/>
        <v>20359.959771183479</v>
      </c>
      <c r="BZ213" s="10">
        <f t="shared" si="169"/>
        <v>17204.482207981164</v>
      </c>
      <c r="CA213" s="10">
        <f t="shared" si="170"/>
        <v>16897.522976899323</v>
      </c>
      <c r="CB213" s="10">
        <f t="shared" si="171"/>
        <v>13129.065889983824</v>
      </c>
      <c r="CC213" s="10">
        <f>IFERROR(Table1[[#This Row],[Labor
Saving]]*Table1[[#This Row],[Annual Volume]],"")</f>
        <v>14121.668544627451</v>
      </c>
      <c r="CD213" s="10">
        <f>IFERROR(Table1[[#This Row],[Annual Volume]]*Table1[[#This Row],[Yield
Saving]],"")</f>
        <v>53469.362301420333</v>
      </c>
      <c r="CE213" s="10">
        <f>IFERROR(Table1[[#This Row],[Annual Volume]]*Table1[[#This Row],[Material
Saving]],"")</f>
        <v>0</v>
      </c>
      <c r="CF213" s="10">
        <f>IFERROR(Table1[[#This Row],[OH
Saving]]*Table1[[#This Row],[Annual Volume]],"")</f>
        <v>0</v>
      </c>
      <c r="CG213" s="10">
        <f>SUM(Table1[[#This Row],[Labor_ASV]:[OH_ASV]])</f>
        <v>67591.030846047783</v>
      </c>
    </row>
    <row r="214" spans="1:85" x14ac:dyDescent="0.3">
      <c r="A214" t="str">
        <f>Table1[[#This Row],[Project Name]]&amp;Table1[[#This Row],[Part Number]]</f>
        <v>New Etching Chemical Diammonium CeriumR72</v>
      </c>
      <c r="B214" t="str">
        <f>IFERROR(Table1[[#This Row],[Project Number]]&amp;Table1[[#This Row],[Part Number]],"")</f>
        <v>AME25-072R72</v>
      </c>
      <c r="C214" s="22" t="s">
        <v>119</v>
      </c>
      <c r="D214" s="24" t="s">
        <v>310</v>
      </c>
      <c r="E214" s="25" t="s">
        <v>58</v>
      </c>
      <c r="F214" s="6">
        <f>INDEX(Proj_Reg!G:G,MATCH($C214,Proj_Reg!$B:$B,0),1)</f>
        <v>46266</v>
      </c>
      <c r="G214" s="6">
        <f>INDEX(Proj_Reg!H:H,MATCH($C214,Proj_Reg!$B:$B,0),1)</f>
        <v>46600</v>
      </c>
      <c r="H214" s="6" t="str">
        <f>IF(INDEX(Proj_Reg!C:C,MATCH($C214,Proj_Reg!$B:$B,0),1)=0,"",INDEX(Proj_Reg!C:C,MATCH($C214,Proj_Reg!$B:$B,0),1))</f>
        <v>Wet Etching</v>
      </c>
      <c r="I214" s="6" t="str">
        <f>IF(INDEX(Proj_Reg!D:D,MATCH($C214,Proj_Reg!$B:$B,0),1)=0,"",INDEX(Proj_Reg!D:D,MATCH($C214,Proj_Reg!$B:$B,0),1))</f>
        <v>XWP</v>
      </c>
      <c r="J214" s="6" t="str">
        <f>INDEX(Proj_Reg!E:E,MATCH($C214,Proj_Reg!$B:$B,0),1)</f>
        <v>New Etching Chemical Diammonium Cerium</v>
      </c>
      <c r="K214" s="21">
        <v>3.8464836601307191E-3</v>
      </c>
      <c r="L214" s="21">
        <v>1.4564074192795651E-2</v>
      </c>
      <c r="M214" s="21">
        <v>0</v>
      </c>
      <c r="N214" s="21">
        <v>0</v>
      </c>
      <c r="O214" s="11">
        <f>SUM(Table1[[#This Row],[Labor
Saving]:[OH
Saving]])</f>
        <v>1.8410557852926369E-2</v>
      </c>
      <c r="Q214" s="40">
        <f t="shared" si="152"/>
        <v>0</v>
      </c>
      <c r="R214" s="40">
        <f t="shared" si="153"/>
        <v>0</v>
      </c>
      <c r="S214" s="40">
        <f t="shared" si="154"/>
        <v>0</v>
      </c>
      <c r="T214" s="40">
        <f t="shared" si="155"/>
        <v>0</v>
      </c>
      <c r="U214" s="40">
        <f t="shared" si="156"/>
        <v>0</v>
      </c>
      <c r="V214" s="40">
        <f t="shared" si="157"/>
        <v>0</v>
      </c>
      <c r="W214" s="40">
        <f t="shared" si="158"/>
        <v>0</v>
      </c>
      <c r="X214" s="40">
        <f t="shared" si="159"/>
        <v>0</v>
      </c>
      <c r="Y214" s="40">
        <f t="shared" si="160"/>
        <v>394640.39999999997</v>
      </c>
      <c r="Z214" s="40">
        <f t="shared" si="161"/>
        <v>430915</v>
      </c>
      <c r="AA214" s="40">
        <f t="shared" si="162"/>
        <v>412407</v>
      </c>
      <c r="AB214" s="40">
        <f t="shared" si="163"/>
        <v>333152</v>
      </c>
      <c r="AC214" s="37">
        <f>SUM(Table1[[#This Row],[Jan]:[Dec]])</f>
        <v>1571114.4</v>
      </c>
      <c r="AD214" s="15">
        <f t="shared" si="172"/>
        <v>0</v>
      </c>
      <c r="AE214" s="15">
        <f t="shared" si="173"/>
        <v>0</v>
      </c>
      <c r="AF214" s="15">
        <f t="shared" si="174"/>
        <v>0</v>
      </c>
      <c r="AG214" s="15">
        <f t="shared" si="175"/>
        <v>0</v>
      </c>
      <c r="AH214" s="15">
        <f t="shared" si="176"/>
        <v>0</v>
      </c>
      <c r="AI214" s="15">
        <f t="shared" si="177"/>
        <v>0</v>
      </c>
      <c r="AJ214" s="15">
        <f t="shared" si="178"/>
        <v>0</v>
      </c>
      <c r="AK214" s="15">
        <f t="shared" si="179"/>
        <v>0</v>
      </c>
      <c r="AL214" s="15">
        <f t="shared" si="180"/>
        <v>7265.5499153020028</v>
      </c>
      <c r="AM214" s="15">
        <f t="shared" si="181"/>
        <v>7933.3855371937661</v>
      </c>
      <c r="AN214" s="15">
        <f t="shared" si="182"/>
        <v>7592.6429324518049</v>
      </c>
      <c r="AO214" s="15">
        <f t="shared" si="183"/>
        <v>6133.514169818126</v>
      </c>
      <c r="AP214" s="10">
        <f t="shared" si="184"/>
        <v>0</v>
      </c>
      <c r="AQ214" s="10">
        <f t="shared" si="185"/>
        <v>0</v>
      </c>
      <c r="AR214" s="10">
        <f t="shared" si="186"/>
        <v>7265.5499153020028</v>
      </c>
      <c r="AS214" s="10">
        <f t="shared" si="187"/>
        <v>21659.542639463696</v>
      </c>
      <c r="AT214" s="10" t="b">
        <f t="shared" si="188"/>
        <v>1</v>
      </c>
      <c r="AU214" s="10">
        <f t="shared" si="164"/>
        <v>6043.2658677960781</v>
      </c>
      <c r="AV214" s="10">
        <f t="shared" si="165"/>
        <v>22881.826686969624</v>
      </c>
      <c r="AW214" s="10">
        <f t="shared" si="166"/>
        <v>0</v>
      </c>
      <c r="AX214" s="10">
        <f t="shared" si="167"/>
        <v>0</v>
      </c>
      <c r="AY214" s="10">
        <f t="shared" si="189"/>
        <v>28925.092554765703</v>
      </c>
      <c r="AZ214" s="19">
        <f>IFERROR(IF($E214="REC",INDEX(A_Type_Volume!$B:$B,MATCH($D214,A_Type_Volume!$A:$A,0),1),IF($E214="VAM",INDEX(C_Type_Volume!$B:$B,MATCH($D214,C_Type_Volume!$A:$A,0),1),"X")),"")</f>
        <v>426689</v>
      </c>
      <c r="BA214" s="19">
        <f>IFERROR(IF($E214="REC",INDEX(A_Type_Volume!$C:$C,MATCH($D214,A_Type_Volume!$A:$A,0),1),IF($E214="VAM",INDEX(C_Type_Volume!$C:$C,MATCH($D214,C_Type_Volume!$A:$A,0),1),"X")),"")</f>
        <v>595954</v>
      </c>
      <c r="BB214" s="19">
        <f>IFERROR(IF($E214="REC",INDEX(A_Type_Volume!$D:$D,MATCH($D214,A_Type_Volume!$A:$A,0),1),IF($E214="VAM",INDEX(C_Type_Volume!$D:$D,MATCH($D214,C_Type_Volume!$A:$A,0),1),"X")),"")</f>
        <v>602169</v>
      </c>
      <c r="BC214" s="19">
        <f>IFERROR(IF($E214="REC",INDEX(A_Type_Volume!$E:$E,MATCH($D214,A_Type_Volume!$A:$A,0),1),IF($E214="VAM",INDEX(C_Type_Volume!$E:$E,MATCH($D214,C_Type_Volume!$A:$A,0),1),"X")),"")</f>
        <v>448478</v>
      </c>
      <c r="BD214" s="19">
        <f>IFERROR(IF($E214="REC",INDEX(A_Type_Volume!$F:$F,MATCH($D214,A_Type_Volume!$A:$A,0),1),IF($E214="VAM",INDEX(C_Type_Volume!$F:$F,MATCH($D214,C_Type_Volume!$A:$A,0),1),"X")),"")</f>
        <v>524517</v>
      </c>
      <c r="BE214" s="19">
        <f>IFERROR(IF($E214="REC",INDEX(A_Type_Volume!$G:$G,MATCH($D214,A_Type_Volume!$A:$A,0),1),IF($E214="VAM",INDEX(C_Type_Volume!$G:$G,MATCH($D214,C_Type_Volume!$A:$A,0),1),"X")),"")</f>
        <v>551468</v>
      </c>
      <c r="BF214" s="19">
        <f>IFERROR(IF($E214="REC",INDEX(A_Type_Volume!$H:$H,MATCH($D214,A_Type_Volume!$A:$A,0),1),IF($E214="VAM",INDEX(C_Type_Volume!$H:$H,MATCH($D214,C_Type_Volume!$A:$A,0),1),"X")),"")</f>
        <v>524552</v>
      </c>
      <c r="BG214" s="19">
        <f>IFERROR(IF($E214="REC",INDEX(A_Type_Volume!$I:$I,MATCH($D214,A_Type_Volume!$A:$A,0),1),IF($E214="VAM",INDEX(C_Type_Volume!$I:$I,MATCH($D214,C_Type_Volume!$A:$A,0),1),"X")),"")</f>
        <v>433669</v>
      </c>
      <c r="BH214" s="19">
        <f>IFERROR(IF($E214="REC",INDEX(A_Type_Volume!$J:$J,MATCH($D214,A_Type_Volume!$A:$A,0),1),IF($E214="VAM",INDEX(C_Type_Volume!$J:$J,MATCH($D214,C_Type_Volume!$A:$A,0),1),"X")),"")</f>
        <v>563772</v>
      </c>
      <c r="BI214" s="19">
        <f>IFERROR(IF($E214="REC",INDEX(A_Type_Volume!$K:$K,MATCH($D214,A_Type_Volume!$A:$A,0),1),IF($E214="VAM",INDEX(C_Type_Volume!$K:$K,MATCH($D214,C_Type_Volume!$A:$A,0),1),"X")),"")</f>
        <v>430915</v>
      </c>
      <c r="BJ214" s="19">
        <f>IFERROR(IF($E214="REC",INDEX(A_Type_Volume!$L:$L,MATCH($D214,A_Type_Volume!$A:$A,0),1),IF($E214="VAM",INDEX(C_Type_Volume!$L:$L,MATCH($D214,C_Type_Volume!$A:$A,0),1),"X")),"")</f>
        <v>412407</v>
      </c>
      <c r="BK214" s="19">
        <f>IFERROR(IF($E214="REC",INDEX(A_Type_Volume!M:M,MATCH($D214,A_Type_Volume!$A:$A,0),1),IF($E214="VAM",INDEX(C_Type_Volume!M:M,MATCH($D214,C_Type_Volume!$A:$A,0),1),"X")),"")</f>
        <v>333152</v>
      </c>
      <c r="BL214" s="38">
        <f>SUM(Table1[[#This Row],[Jan_AVF]:[Dec_AVF]])</f>
        <v>5847742</v>
      </c>
      <c r="BM214" s="16">
        <f t="shared" si="190"/>
        <v>7855.5825197073</v>
      </c>
      <c r="BN214" s="16">
        <f t="shared" si="191"/>
        <v>10971.845594682882</v>
      </c>
      <c r="BO214" s="16">
        <f t="shared" si="192"/>
        <v>11086.267211738819</v>
      </c>
      <c r="BP214" s="16">
        <f t="shared" si="193"/>
        <v>8256.7301647647128</v>
      </c>
      <c r="BQ214" s="16">
        <f t="shared" si="194"/>
        <v>9656.6505733433805</v>
      </c>
      <c r="BR214" s="16">
        <f t="shared" si="195"/>
        <v>10152.8335180376</v>
      </c>
      <c r="BS214" s="16">
        <f t="shared" si="196"/>
        <v>9657.2949428682332</v>
      </c>
      <c r="BT214" s="16">
        <f t="shared" si="197"/>
        <v>7984.0882135207257</v>
      </c>
      <c r="BU214" s="16">
        <f t="shared" si="198"/>
        <v>10379.357021860005</v>
      </c>
      <c r="BV214" s="16">
        <f t="shared" si="199"/>
        <v>7933.3855371937661</v>
      </c>
      <c r="BW214" s="16">
        <f t="shared" si="200"/>
        <v>7592.6429324518049</v>
      </c>
      <c r="BX214" s="16">
        <f t="shared" si="201"/>
        <v>6133.514169818126</v>
      </c>
      <c r="BY214" s="10">
        <f t="shared" si="168"/>
        <v>29913.695326129004</v>
      </c>
      <c r="BZ214" s="10">
        <f t="shared" si="169"/>
        <v>28066.214256145693</v>
      </c>
      <c r="CA214" s="10">
        <f t="shared" si="170"/>
        <v>28020.740178248961</v>
      </c>
      <c r="CB214" s="10">
        <f t="shared" si="171"/>
        <v>21659.542639463696</v>
      </c>
      <c r="CC214" s="10">
        <f>IFERROR(Table1[[#This Row],[Labor
Saving]]*Table1[[#This Row],[Annual Volume]],"")</f>
        <v>22493.244051660131</v>
      </c>
      <c r="CD214" s="10">
        <f>IFERROR(Table1[[#This Row],[Annual Volume]]*Table1[[#This Row],[Yield
Saving]],"")</f>
        <v>85166.94834832722</v>
      </c>
      <c r="CE214" s="10">
        <f>IFERROR(Table1[[#This Row],[Annual Volume]]*Table1[[#This Row],[Material
Saving]],"")</f>
        <v>0</v>
      </c>
      <c r="CF214" s="10">
        <f>IFERROR(Table1[[#This Row],[OH
Saving]]*Table1[[#This Row],[Annual Volume]],"")</f>
        <v>0</v>
      </c>
      <c r="CG214" s="10">
        <f>SUM(Table1[[#This Row],[Labor_ASV]:[OH_ASV]])</f>
        <v>107660.19239998735</v>
      </c>
    </row>
    <row r="215" spans="1:85" x14ac:dyDescent="0.3">
      <c r="A215" t="str">
        <f>Table1[[#This Row],[Project Name]]&amp;Table1[[#This Row],[Part Number]]</f>
        <v>Plasma Dry Etching AuR1</v>
      </c>
      <c r="B215" t="str">
        <f>IFERROR(Table1[[#This Row],[Project Number]]&amp;Table1[[#This Row],[Part Number]],"")</f>
        <v>AME25-084R1</v>
      </c>
      <c r="C215" s="22" t="s">
        <v>131</v>
      </c>
      <c r="D215" s="24" t="s">
        <v>239</v>
      </c>
      <c r="E215" s="25" t="s">
        <v>58</v>
      </c>
      <c r="F215" s="6">
        <f>INDEX(Proj_Reg!G:G,MATCH($C215,Proj_Reg!$B:$B,0),1)</f>
        <v>46266</v>
      </c>
      <c r="G215" s="6">
        <f>INDEX(Proj_Reg!H:H,MATCH($C215,Proj_Reg!$B:$B,0),1)</f>
        <v>46600</v>
      </c>
      <c r="H215" s="6" t="str">
        <f>IF(INDEX(Proj_Reg!C:C,MATCH($C215,Proj_Reg!$B:$B,0),1)=0,"",INDEX(Proj_Reg!C:C,MATCH($C215,Proj_Reg!$B:$B,0),1))</f>
        <v>Wet Etching</v>
      </c>
      <c r="I215" s="6" t="str">
        <f>IF(INDEX(Proj_Reg!D:D,MATCH($C215,Proj_Reg!$B:$B,0),1)=0,"",INDEX(Proj_Reg!D:D,MATCH($C215,Proj_Reg!$B:$B,0),1))</f>
        <v>XWP</v>
      </c>
      <c r="J215" s="6" t="str">
        <f>INDEX(Proj_Reg!E:E,MATCH($C215,Proj_Reg!$B:$B,0),1)</f>
        <v>Plasma Dry Etching Au</v>
      </c>
      <c r="K215" s="21">
        <v>3.8464836601307191E-3</v>
      </c>
      <c r="L215" s="21">
        <v>1.4564074192795651E-2</v>
      </c>
      <c r="M215" s="21">
        <v>0</v>
      </c>
      <c r="N215" s="21">
        <v>0</v>
      </c>
      <c r="O215" s="11">
        <f>SUM(Table1[[#This Row],[Labor
Saving]:[OH
Saving]])</f>
        <v>1.8410557852926369E-2</v>
      </c>
      <c r="Q215" s="40">
        <f t="shared" si="152"/>
        <v>0</v>
      </c>
      <c r="R215" s="40">
        <f t="shared" si="153"/>
        <v>0</v>
      </c>
      <c r="S215" s="40">
        <f t="shared" si="154"/>
        <v>0</v>
      </c>
      <c r="T215" s="40">
        <f t="shared" si="155"/>
        <v>0</v>
      </c>
      <c r="U215" s="40">
        <f t="shared" si="156"/>
        <v>0</v>
      </c>
      <c r="V215" s="40">
        <f t="shared" si="157"/>
        <v>0</v>
      </c>
      <c r="W215" s="40">
        <f t="shared" si="158"/>
        <v>0</v>
      </c>
      <c r="X215" s="40">
        <f t="shared" si="159"/>
        <v>0</v>
      </c>
      <c r="Y215" s="40">
        <f t="shared" si="160"/>
        <v>19602.8</v>
      </c>
      <c r="Z215" s="40">
        <f t="shared" si="161"/>
        <v>31701</v>
      </c>
      <c r="AA215" s="40">
        <f t="shared" si="162"/>
        <v>38087</v>
      </c>
      <c r="AB215" s="40">
        <f t="shared" si="163"/>
        <v>10854</v>
      </c>
      <c r="AC215" s="37">
        <f>SUM(Table1[[#This Row],[Jan]:[Dec]])</f>
        <v>100244.8</v>
      </c>
      <c r="AD215" s="15">
        <f t="shared" si="172"/>
        <v>0</v>
      </c>
      <c r="AE215" s="15">
        <f t="shared" si="173"/>
        <v>0</v>
      </c>
      <c r="AF215" s="15">
        <f t="shared" si="174"/>
        <v>0</v>
      </c>
      <c r="AG215" s="15">
        <f t="shared" si="175"/>
        <v>0</v>
      </c>
      <c r="AH215" s="15">
        <f t="shared" si="176"/>
        <v>0</v>
      </c>
      <c r="AI215" s="15">
        <f t="shared" si="177"/>
        <v>0</v>
      </c>
      <c r="AJ215" s="15">
        <f t="shared" si="178"/>
        <v>0</v>
      </c>
      <c r="AK215" s="15">
        <f t="shared" si="179"/>
        <v>0</v>
      </c>
      <c r="AL215" s="15">
        <f t="shared" si="180"/>
        <v>360.89848347934503</v>
      </c>
      <c r="AM215" s="15">
        <f t="shared" si="181"/>
        <v>583.63309449561882</v>
      </c>
      <c r="AN215" s="15">
        <f t="shared" si="182"/>
        <v>701.20291694440664</v>
      </c>
      <c r="AO215" s="15">
        <f t="shared" si="183"/>
        <v>199.82819493566282</v>
      </c>
      <c r="AP215" s="10">
        <f t="shared" si="184"/>
        <v>0</v>
      </c>
      <c r="AQ215" s="10">
        <f t="shared" si="185"/>
        <v>0</v>
      </c>
      <c r="AR215" s="10">
        <f t="shared" si="186"/>
        <v>360.89848347934503</v>
      </c>
      <c r="AS215" s="10">
        <f t="shared" si="187"/>
        <v>1484.6642063756883</v>
      </c>
      <c r="AT215" s="10" t="b">
        <f t="shared" si="188"/>
        <v>1</v>
      </c>
      <c r="AU215" s="10">
        <f t="shared" si="164"/>
        <v>385.58998521307194</v>
      </c>
      <c r="AV215" s="10">
        <f t="shared" si="165"/>
        <v>1459.9727046419614</v>
      </c>
      <c r="AW215" s="10">
        <f t="shared" si="166"/>
        <v>0</v>
      </c>
      <c r="AX215" s="10">
        <f t="shared" si="167"/>
        <v>0</v>
      </c>
      <c r="AY215" s="10">
        <f t="shared" si="189"/>
        <v>1845.5626898550333</v>
      </c>
      <c r="AZ215" s="19">
        <f>IFERROR(IF($E215="REC",INDEX(A_Type_Volume!$B:$B,MATCH($D215,A_Type_Volume!$A:$A,0),1),IF($E215="VAM",INDEX(C_Type_Volume!$B:$B,MATCH($D215,C_Type_Volume!$A:$A,0),1),"X")),"")</f>
        <v>47746</v>
      </c>
      <c r="BA215" s="19">
        <f>IFERROR(IF($E215="REC",INDEX(A_Type_Volume!$C:$C,MATCH($D215,A_Type_Volume!$A:$A,0),1),IF($E215="VAM",INDEX(C_Type_Volume!$C:$C,MATCH($D215,C_Type_Volume!$A:$A,0),1),"X")),"")</f>
        <v>48982</v>
      </c>
      <c r="BB215" s="19">
        <f>IFERROR(IF($E215="REC",INDEX(A_Type_Volume!$D:$D,MATCH($D215,A_Type_Volume!$A:$A,0),1),IF($E215="VAM",INDEX(C_Type_Volume!$D:$D,MATCH($D215,C_Type_Volume!$A:$A,0),1),"X")),"")</f>
        <v>20528</v>
      </c>
      <c r="BC215" s="19">
        <f>IFERROR(IF($E215="REC",INDEX(A_Type_Volume!$E:$E,MATCH($D215,A_Type_Volume!$A:$A,0),1),IF($E215="VAM",INDEX(C_Type_Volume!$E:$E,MATCH($D215,C_Type_Volume!$A:$A,0),1),"X")),"")</f>
        <v>30879</v>
      </c>
      <c r="BD215" s="19">
        <f>IFERROR(IF($E215="REC",INDEX(A_Type_Volume!$F:$F,MATCH($D215,A_Type_Volume!$A:$A,0),1),IF($E215="VAM",INDEX(C_Type_Volume!$F:$F,MATCH($D215,C_Type_Volume!$A:$A,0),1),"X")),"")</f>
        <v>18493</v>
      </c>
      <c r="BE215" s="19">
        <f>IFERROR(IF($E215="REC",INDEX(A_Type_Volume!$G:$G,MATCH($D215,A_Type_Volume!$A:$A,0),1),IF($E215="VAM",INDEX(C_Type_Volume!$G:$G,MATCH($D215,C_Type_Volume!$A:$A,0),1),"X")),"")</f>
        <v>50133</v>
      </c>
      <c r="BF215" s="19">
        <f>IFERROR(IF($E215="REC",INDEX(A_Type_Volume!$H:$H,MATCH($D215,A_Type_Volume!$A:$A,0),1),IF($E215="VAM",INDEX(C_Type_Volume!$H:$H,MATCH($D215,C_Type_Volume!$A:$A,0),1),"X")),"")</f>
        <v>34588</v>
      </c>
      <c r="BG215" s="19">
        <f>IFERROR(IF($E215="REC",INDEX(A_Type_Volume!$I:$I,MATCH($D215,A_Type_Volume!$A:$A,0),1),IF($E215="VAM",INDEX(C_Type_Volume!$I:$I,MATCH($D215,C_Type_Volume!$A:$A,0),1),"X")),"")</f>
        <v>26698</v>
      </c>
      <c r="BH215" s="19">
        <f>IFERROR(IF($E215="REC",INDEX(A_Type_Volume!$J:$J,MATCH($D215,A_Type_Volume!$A:$A,0),1),IF($E215="VAM",INDEX(C_Type_Volume!$J:$J,MATCH($D215,C_Type_Volume!$A:$A,0),1),"X")),"")</f>
        <v>28004</v>
      </c>
      <c r="BI215" s="19">
        <f>IFERROR(IF($E215="REC",INDEX(A_Type_Volume!$K:$K,MATCH($D215,A_Type_Volume!$A:$A,0),1),IF($E215="VAM",INDEX(C_Type_Volume!$K:$K,MATCH($D215,C_Type_Volume!$A:$A,0),1),"X")),"")</f>
        <v>31701</v>
      </c>
      <c r="BJ215" s="19">
        <f>IFERROR(IF($E215="REC",INDEX(A_Type_Volume!$L:$L,MATCH($D215,A_Type_Volume!$A:$A,0),1),IF($E215="VAM",INDEX(C_Type_Volume!$L:$L,MATCH($D215,C_Type_Volume!$A:$A,0),1),"X")),"")</f>
        <v>38087</v>
      </c>
      <c r="BK215" s="19">
        <f>IFERROR(IF($E215="REC",INDEX(A_Type_Volume!M:M,MATCH($D215,A_Type_Volume!$A:$A,0),1),IF($E215="VAM",INDEX(C_Type_Volume!M:M,MATCH($D215,C_Type_Volume!$A:$A,0),1),"X")),"")</f>
        <v>10854</v>
      </c>
      <c r="BL215" s="38">
        <f>SUM(Table1[[#This Row],[Jan_AVF]:[Dec_AVF]])</f>
        <v>386693</v>
      </c>
      <c r="BM215" s="16">
        <f t="shared" si="190"/>
        <v>879.03049524582241</v>
      </c>
      <c r="BN215" s="16">
        <f t="shared" si="191"/>
        <v>901.78594475203943</v>
      </c>
      <c r="BO215" s="16">
        <f t="shared" si="192"/>
        <v>377.93193160487249</v>
      </c>
      <c r="BP215" s="16">
        <f t="shared" si="193"/>
        <v>568.49961594051331</v>
      </c>
      <c r="BQ215" s="16">
        <f t="shared" si="194"/>
        <v>340.46644637416733</v>
      </c>
      <c r="BR215" s="16">
        <f t="shared" si="195"/>
        <v>922.9764968407577</v>
      </c>
      <c r="BS215" s="16">
        <f t="shared" si="196"/>
        <v>636.78437501701728</v>
      </c>
      <c r="BT215" s="16">
        <f t="shared" si="197"/>
        <v>491.52507355742819</v>
      </c>
      <c r="BU215" s="16">
        <f t="shared" si="198"/>
        <v>515.56926211335008</v>
      </c>
      <c r="BV215" s="16">
        <f t="shared" si="199"/>
        <v>583.63309449561882</v>
      </c>
      <c r="BW215" s="16">
        <f t="shared" si="200"/>
        <v>701.20291694440664</v>
      </c>
      <c r="BX215" s="16">
        <f t="shared" si="201"/>
        <v>199.82819493566282</v>
      </c>
      <c r="BY215" s="10">
        <f t="shared" si="168"/>
        <v>2158.7483716027346</v>
      </c>
      <c r="BZ215" s="10">
        <f t="shared" si="169"/>
        <v>1831.9425591554382</v>
      </c>
      <c r="CA215" s="10">
        <f t="shared" si="170"/>
        <v>1643.8787106877955</v>
      </c>
      <c r="CB215" s="10">
        <f t="shared" si="171"/>
        <v>1484.6642063756883</v>
      </c>
      <c r="CC215" s="10">
        <f>IFERROR(Table1[[#This Row],[Labor
Saving]]*Table1[[#This Row],[Annual Volume]],"")</f>
        <v>1487.4083059869281</v>
      </c>
      <c r="CD215" s="10">
        <f>IFERROR(Table1[[#This Row],[Annual Volume]]*Table1[[#This Row],[Yield
Saving]],"")</f>
        <v>5631.8255418347289</v>
      </c>
      <c r="CE215" s="10">
        <f>IFERROR(Table1[[#This Row],[Annual Volume]]*Table1[[#This Row],[Material
Saving]],"")</f>
        <v>0</v>
      </c>
      <c r="CF215" s="10">
        <f>IFERROR(Table1[[#This Row],[OH
Saving]]*Table1[[#This Row],[Annual Volume]],"")</f>
        <v>0</v>
      </c>
      <c r="CG215" s="10">
        <f>SUM(Table1[[#This Row],[Labor_ASV]:[OH_ASV]])</f>
        <v>7119.233847821657</v>
      </c>
    </row>
    <row r="216" spans="1:85" x14ac:dyDescent="0.3">
      <c r="A216" t="str">
        <f>Table1[[#This Row],[Project Name]]&amp;Table1[[#This Row],[Part Number]]</f>
        <v>Plasma Dry Etching AuR10</v>
      </c>
      <c r="B216" t="str">
        <f>IFERROR(Table1[[#This Row],[Project Number]]&amp;Table1[[#This Row],[Part Number]],"")</f>
        <v>AME25-084R10</v>
      </c>
      <c r="C216" s="22" t="s">
        <v>131</v>
      </c>
      <c r="D216" s="24" t="s">
        <v>248</v>
      </c>
      <c r="E216" s="25" t="s">
        <v>58</v>
      </c>
      <c r="F216" s="6">
        <f>INDEX(Proj_Reg!G:G,MATCH($C216,Proj_Reg!$B:$B,0),1)</f>
        <v>46266</v>
      </c>
      <c r="G216" s="6">
        <f>INDEX(Proj_Reg!H:H,MATCH($C216,Proj_Reg!$B:$B,0),1)</f>
        <v>46600</v>
      </c>
      <c r="H216" s="6" t="str">
        <f>IF(INDEX(Proj_Reg!C:C,MATCH($C216,Proj_Reg!$B:$B,0),1)=0,"",INDEX(Proj_Reg!C:C,MATCH($C216,Proj_Reg!$B:$B,0),1))</f>
        <v>Wet Etching</v>
      </c>
      <c r="I216" s="6" t="str">
        <f>IF(INDEX(Proj_Reg!D:D,MATCH($C216,Proj_Reg!$B:$B,0),1)=0,"",INDEX(Proj_Reg!D:D,MATCH($C216,Proj_Reg!$B:$B,0),1))</f>
        <v>XWP</v>
      </c>
      <c r="J216" s="6" t="str">
        <f>INDEX(Proj_Reg!E:E,MATCH($C216,Proj_Reg!$B:$B,0),1)</f>
        <v>Plasma Dry Etching Au</v>
      </c>
      <c r="K216" s="21">
        <v>0</v>
      </c>
      <c r="L216" s="21">
        <v>5.0000000000000001E-3</v>
      </c>
      <c r="M216" s="21">
        <v>0</v>
      </c>
      <c r="N216" s="21">
        <v>0</v>
      </c>
      <c r="O216" s="11">
        <f>SUM(Table1[[#This Row],[Labor
Saving]:[OH
Saving]])</f>
        <v>5.0000000000000001E-3</v>
      </c>
      <c r="Q216" s="40">
        <f t="shared" si="152"/>
        <v>0</v>
      </c>
      <c r="R216" s="40">
        <f t="shared" si="153"/>
        <v>0</v>
      </c>
      <c r="S216" s="40">
        <f t="shared" si="154"/>
        <v>0</v>
      </c>
      <c r="T216" s="40">
        <f t="shared" si="155"/>
        <v>0</v>
      </c>
      <c r="U216" s="40">
        <f t="shared" si="156"/>
        <v>0</v>
      </c>
      <c r="V216" s="40">
        <f t="shared" si="157"/>
        <v>0</v>
      </c>
      <c r="W216" s="40">
        <f t="shared" si="158"/>
        <v>0</v>
      </c>
      <c r="X216" s="40">
        <f t="shared" si="159"/>
        <v>0</v>
      </c>
      <c r="Y216" s="40">
        <f t="shared" si="160"/>
        <v>234397.09999999998</v>
      </c>
      <c r="Z216" s="40">
        <f t="shared" si="161"/>
        <v>386300</v>
      </c>
      <c r="AA216" s="40">
        <f t="shared" si="162"/>
        <v>314404</v>
      </c>
      <c r="AB216" s="40">
        <f t="shared" si="163"/>
        <v>261000</v>
      </c>
      <c r="AC216" s="37">
        <f>SUM(Table1[[#This Row],[Jan]:[Dec]])</f>
        <v>1196101.1000000001</v>
      </c>
      <c r="AD216" s="15">
        <f t="shared" si="172"/>
        <v>0</v>
      </c>
      <c r="AE216" s="15">
        <f t="shared" si="173"/>
        <v>0</v>
      </c>
      <c r="AF216" s="15">
        <f t="shared" si="174"/>
        <v>0</v>
      </c>
      <c r="AG216" s="15">
        <f t="shared" si="175"/>
        <v>0</v>
      </c>
      <c r="AH216" s="15">
        <f t="shared" si="176"/>
        <v>0</v>
      </c>
      <c r="AI216" s="15">
        <f t="shared" si="177"/>
        <v>0</v>
      </c>
      <c r="AJ216" s="15">
        <f t="shared" si="178"/>
        <v>0</v>
      </c>
      <c r="AK216" s="15">
        <f t="shared" si="179"/>
        <v>0</v>
      </c>
      <c r="AL216" s="15">
        <f t="shared" si="180"/>
        <v>1171.9855</v>
      </c>
      <c r="AM216" s="15">
        <f t="shared" si="181"/>
        <v>1931.5</v>
      </c>
      <c r="AN216" s="15">
        <f t="shared" si="182"/>
        <v>1572.02</v>
      </c>
      <c r="AO216" s="15">
        <f t="shared" si="183"/>
        <v>1305</v>
      </c>
      <c r="AP216" s="10">
        <f t="shared" si="184"/>
        <v>0</v>
      </c>
      <c r="AQ216" s="10">
        <f t="shared" si="185"/>
        <v>0</v>
      </c>
      <c r="AR216" s="10">
        <f t="shared" si="186"/>
        <v>1171.9855</v>
      </c>
      <c r="AS216" s="10">
        <f t="shared" si="187"/>
        <v>4808.5200000000004</v>
      </c>
      <c r="AT216" s="10" t="b">
        <f t="shared" si="188"/>
        <v>1</v>
      </c>
      <c r="AU216" s="10">
        <f t="shared" si="164"/>
        <v>0</v>
      </c>
      <c r="AV216" s="10">
        <f t="shared" si="165"/>
        <v>5980.5055000000002</v>
      </c>
      <c r="AW216" s="10">
        <f t="shared" si="166"/>
        <v>0</v>
      </c>
      <c r="AX216" s="10">
        <f t="shared" si="167"/>
        <v>0</v>
      </c>
      <c r="AY216" s="10">
        <f t="shared" si="189"/>
        <v>5980.5055000000002</v>
      </c>
      <c r="AZ216" s="19">
        <f>IFERROR(IF($E216="REC",INDEX(A_Type_Volume!$B:$B,MATCH($D216,A_Type_Volume!$A:$A,0),1),IF($E216="VAM",INDEX(C_Type_Volume!$B:$B,MATCH($D216,C_Type_Volume!$A:$A,0),1),"X")),"")</f>
        <v>275638</v>
      </c>
      <c r="BA216" s="19">
        <f>IFERROR(IF($E216="REC",INDEX(A_Type_Volume!$C:$C,MATCH($D216,A_Type_Volume!$A:$A,0),1),IF($E216="VAM",INDEX(C_Type_Volume!$C:$C,MATCH($D216,C_Type_Volume!$A:$A,0),1),"X")),"")</f>
        <v>388856</v>
      </c>
      <c r="BB216" s="19">
        <f>IFERROR(IF($E216="REC",INDEX(A_Type_Volume!$D:$D,MATCH($D216,A_Type_Volume!$A:$A,0),1),IF($E216="VAM",INDEX(C_Type_Volume!$D:$D,MATCH($D216,C_Type_Volume!$A:$A,0),1),"X")),"")</f>
        <v>384875</v>
      </c>
      <c r="BC216" s="19">
        <f>IFERROR(IF($E216="REC",INDEX(A_Type_Volume!$E:$E,MATCH($D216,A_Type_Volume!$A:$A,0),1),IF($E216="VAM",INDEX(C_Type_Volume!$E:$E,MATCH($D216,C_Type_Volume!$A:$A,0),1),"X")),"")</f>
        <v>345666</v>
      </c>
      <c r="BD216" s="19">
        <f>IFERROR(IF($E216="REC",INDEX(A_Type_Volume!$F:$F,MATCH($D216,A_Type_Volume!$A:$A,0),1),IF($E216="VAM",INDEX(C_Type_Volume!$F:$F,MATCH($D216,C_Type_Volume!$A:$A,0),1),"X")),"")</f>
        <v>405189</v>
      </c>
      <c r="BE216" s="19">
        <f>IFERROR(IF($E216="REC",INDEX(A_Type_Volume!$G:$G,MATCH($D216,A_Type_Volume!$A:$A,0),1),IF($E216="VAM",INDEX(C_Type_Volume!$G:$G,MATCH($D216,C_Type_Volume!$A:$A,0),1),"X")),"")</f>
        <v>382989</v>
      </c>
      <c r="BF216" s="19">
        <f>IFERROR(IF($E216="REC",INDEX(A_Type_Volume!$H:$H,MATCH($D216,A_Type_Volume!$A:$A,0),1),IF($E216="VAM",INDEX(C_Type_Volume!$H:$H,MATCH($D216,C_Type_Volume!$A:$A,0),1),"X")),"")</f>
        <v>413576</v>
      </c>
      <c r="BG216" s="19">
        <f>IFERROR(IF($E216="REC",INDEX(A_Type_Volume!$I:$I,MATCH($D216,A_Type_Volume!$A:$A,0),1),IF($E216="VAM",INDEX(C_Type_Volume!$I:$I,MATCH($D216,C_Type_Volume!$A:$A,0),1),"X")),"")</f>
        <v>320506</v>
      </c>
      <c r="BH216" s="19">
        <f>IFERROR(IF($E216="REC",INDEX(A_Type_Volume!$J:$J,MATCH($D216,A_Type_Volume!$A:$A,0),1),IF($E216="VAM",INDEX(C_Type_Volume!$J:$J,MATCH($D216,C_Type_Volume!$A:$A,0),1),"X")),"")</f>
        <v>334853</v>
      </c>
      <c r="BI216" s="19">
        <f>IFERROR(IF($E216="REC",INDEX(A_Type_Volume!$K:$K,MATCH($D216,A_Type_Volume!$A:$A,0),1),IF($E216="VAM",INDEX(C_Type_Volume!$K:$K,MATCH($D216,C_Type_Volume!$A:$A,0),1),"X")),"")</f>
        <v>386300</v>
      </c>
      <c r="BJ216" s="19">
        <f>IFERROR(IF($E216="REC",INDEX(A_Type_Volume!$L:$L,MATCH($D216,A_Type_Volume!$A:$A,0),1),IF($E216="VAM",INDEX(C_Type_Volume!$L:$L,MATCH($D216,C_Type_Volume!$A:$A,0),1),"X")),"")</f>
        <v>314404</v>
      </c>
      <c r="BK216" s="19">
        <f>IFERROR(IF($E216="REC",INDEX(A_Type_Volume!M:M,MATCH($D216,A_Type_Volume!$A:$A,0),1),IF($E216="VAM",INDEX(C_Type_Volume!M:M,MATCH($D216,C_Type_Volume!$A:$A,0),1),"X")),"")</f>
        <v>261000</v>
      </c>
      <c r="BL216" s="38">
        <f>SUM(Table1[[#This Row],[Jan_AVF]:[Dec_AVF]])</f>
        <v>4213852</v>
      </c>
      <c r="BM216" s="16">
        <f t="shared" si="190"/>
        <v>1378.19</v>
      </c>
      <c r="BN216" s="16">
        <f t="shared" si="191"/>
        <v>1944.28</v>
      </c>
      <c r="BO216" s="16">
        <f t="shared" si="192"/>
        <v>1924.375</v>
      </c>
      <c r="BP216" s="16">
        <f t="shared" si="193"/>
        <v>1728.33</v>
      </c>
      <c r="BQ216" s="16">
        <f t="shared" si="194"/>
        <v>2025.9449999999999</v>
      </c>
      <c r="BR216" s="16">
        <f t="shared" si="195"/>
        <v>1914.9449999999999</v>
      </c>
      <c r="BS216" s="16">
        <f t="shared" si="196"/>
        <v>2067.88</v>
      </c>
      <c r="BT216" s="16">
        <f t="shared" si="197"/>
        <v>1602.53</v>
      </c>
      <c r="BU216" s="16">
        <f t="shared" si="198"/>
        <v>1674.2650000000001</v>
      </c>
      <c r="BV216" s="16">
        <f t="shared" si="199"/>
        <v>1931.5</v>
      </c>
      <c r="BW216" s="16">
        <f t="shared" si="200"/>
        <v>1572.02</v>
      </c>
      <c r="BX216" s="16">
        <f t="shared" si="201"/>
        <v>1305</v>
      </c>
      <c r="BY216" s="10">
        <f t="shared" si="168"/>
        <v>5246.8450000000003</v>
      </c>
      <c r="BZ216" s="10">
        <f t="shared" si="169"/>
        <v>5669.2199999999993</v>
      </c>
      <c r="CA216" s="10">
        <f t="shared" si="170"/>
        <v>5344.6750000000002</v>
      </c>
      <c r="CB216" s="10">
        <f t="shared" si="171"/>
        <v>4808.5200000000004</v>
      </c>
      <c r="CC216" s="10">
        <f>IFERROR(Table1[[#This Row],[Labor
Saving]]*Table1[[#This Row],[Annual Volume]],"")</f>
        <v>0</v>
      </c>
      <c r="CD216" s="10">
        <f>IFERROR(Table1[[#This Row],[Annual Volume]]*Table1[[#This Row],[Yield
Saving]],"")</f>
        <v>21069.260000000002</v>
      </c>
      <c r="CE216" s="10">
        <f>IFERROR(Table1[[#This Row],[Annual Volume]]*Table1[[#This Row],[Material
Saving]],"")</f>
        <v>0</v>
      </c>
      <c r="CF216" s="10">
        <f>IFERROR(Table1[[#This Row],[OH
Saving]]*Table1[[#This Row],[Annual Volume]],"")</f>
        <v>0</v>
      </c>
      <c r="CG216" s="10">
        <f>SUM(Table1[[#This Row],[Labor_ASV]:[OH_ASV]])</f>
        <v>21069.260000000002</v>
      </c>
    </row>
    <row r="217" spans="1:85" x14ac:dyDescent="0.3">
      <c r="A217" t="str">
        <f>Table1[[#This Row],[Project Name]]&amp;Table1[[#This Row],[Part Number]]</f>
        <v>Plasma Dry Etching AuR15</v>
      </c>
      <c r="B217" t="str">
        <f>IFERROR(Table1[[#This Row],[Project Number]]&amp;Table1[[#This Row],[Part Number]],"")</f>
        <v>AME25-084R15</v>
      </c>
      <c r="C217" s="22" t="s">
        <v>131</v>
      </c>
      <c r="D217" s="24" t="s">
        <v>253</v>
      </c>
      <c r="E217" s="25" t="s">
        <v>58</v>
      </c>
      <c r="F217" s="6">
        <f>INDEX(Proj_Reg!G:G,MATCH($C217,Proj_Reg!$B:$B,0),1)</f>
        <v>46266</v>
      </c>
      <c r="G217" s="6">
        <f>INDEX(Proj_Reg!H:H,MATCH($C217,Proj_Reg!$B:$B,0),1)</f>
        <v>46600</v>
      </c>
      <c r="H217" s="6" t="str">
        <f>IF(INDEX(Proj_Reg!C:C,MATCH($C217,Proj_Reg!$B:$B,0),1)=0,"",INDEX(Proj_Reg!C:C,MATCH($C217,Proj_Reg!$B:$B,0),1))</f>
        <v>Wet Etching</v>
      </c>
      <c r="I217" s="6" t="str">
        <f>IF(INDEX(Proj_Reg!D:D,MATCH($C217,Proj_Reg!$B:$B,0),1)=0,"",INDEX(Proj_Reg!D:D,MATCH($C217,Proj_Reg!$B:$B,0),1))</f>
        <v>XWP</v>
      </c>
      <c r="J217" s="6" t="str">
        <f>INDEX(Proj_Reg!E:E,MATCH($C217,Proj_Reg!$B:$B,0),1)</f>
        <v>Plasma Dry Etching Au</v>
      </c>
      <c r="K217" s="21">
        <v>0</v>
      </c>
      <c r="L217" s="21">
        <v>5.0000000000000001E-3</v>
      </c>
      <c r="M217" s="21">
        <v>0</v>
      </c>
      <c r="N217" s="21">
        <v>0</v>
      </c>
      <c r="O217" s="11">
        <f>SUM(Table1[[#This Row],[Labor
Saving]:[OH
Saving]])</f>
        <v>5.0000000000000001E-3</v>
      </c>
      <c r="Q217" s="40">
        <f t="shared" si="152"/>
        <v>0</v>
      </c>
      <c r="R217" s="40">
        <f t="shared" si="153"/>
        <v>0</v>
      </c>
      <c r="S217" s="40">
        <f t="shared" si="154"/>
        <v>0</v>
      </c>
      <c r="T217" s="40">
        <f t="shared" si="155"/>
        <v>0</v>
      </c>
      <c r="U217" s="40">
        <f t="shared" si="156"/>
        <v>0</v>
      </c>
      <c r="V217" s="40">
        <f t="shared" si="157"/>
        <v>0</v>
      </c>
      <c r="W217" s="40">
        <f t="shared" si="158"/>
        <v>0</v>
      </c>
      <c r="X217" s="40">
        <f t="shared" si="159"/>
        <v>0</v>
      </c>
      <c r="Y217" s="40">
        <f t="shared" si="160"/>
        <v>94500</v>
      </c>
      <c r="Z217" s="40">
        <f t="shared" si="161"/>
        <v>126000</v>
      </c>
      <c r="AA217" s="40">
        <f t="shared" si="162"/>
        <v>117000</v>
      </c>
      <c r="AB217" s="40">
        <f t="shared" si="163"/>
        <v>123015</v>
      </c>
      <c r="AC217" s="37">
        <f>SUM(Table1[[#This Row],[Jan]:[Dec]])</f>
        <v>460515</v>
      </c>
      <c r="AD217" s="15">
        <f t="shared" si="172"/>
        <v>0</v>
      </c>
      <c r="AE217" s="15">
        <f t="shared" si="173"/>
        <v>0</v>
      </c>
      <c r="AF217" s="15">
        <f t="shared" si="174"/>
        <v>0</v>
      </c>
      <c r="AG217" s="15">
        <f t="shared" si="175"/>
        <v>0</v>
      </c>
      <c r="AH217" s="15">
        <f t="shared" si="176"/>
        <v>0</v>
      </c>
      <c r="AI217" s="15">
        <f t="shared" si="177"/>
        <v>0</v>
      </c>
      <c r="AJ217" s="15">
        <f t="shared" si="178"/>
        <v>0</v>
      </c>
      <c r="AK217" s="15">
        <f t="shared" si="179"/>
        <v>0</v>
      </c>
      <c r="AL217" s="15">
        <f t="shared" si="180"/>
        <v>472.5</v>
      </c>
      <c r="AM217" s="15">
        <f t="shared" si="181"/>
        <v>630</v>
      </c>
      <c r="AN217" s="15">
        <f t="shared" si="182"/>
        <v>585</v>
      </c>
      <c r="AO217" s="15">
        <f t="shared" si="183"/>
        <v>615.07500000000005</v>
      </c>
      <c r="AP217" s="10">
        <f t="shared" si="184"/>
        <v>0</v>
      </c>
      <c r="AQ217" s="10">
        <f t="shared" si="185"/>
        <v>0</v>
      </c>
      <c r="AR217" s="10">
        <f t="shared" si="186"/>
        <v>472.5</v>
      </c>
      <c r="AS217" s="10">
        <f t="shared" si="187"/>
        <v>1830.075</v>
      </c>
      <c r="AT217" s="10" t="b">
        <f t="shared" si="188"/>
        <v>1</v>
      </c>
      <c r="AU217" s="10">
        <f t="shared" si="164"/>
        <v>0</v>
      </c>
      <c r="AV217" s="10">
        <f t="shared" si="165"/>
        <v>2302.5750000000003</v>
      </c>
      <c r="AW217" s="10">
        <f t="shared" si="166"/>
        <v>0</v>
      </c>
      <c r="AX217" s="10">
        <f t="shared" si="167"/>
        <v>0</v>
      </c>
      <c r="AY217" s="10">
        <f t="shared" si="189"/>
        <v>2302.5750000000003</v>
      </c>
      <c r="AZ217" s="19">
        <f>IFERROR(IF($E217="REC",INDEX(A_Type_Volume!$B:$B,MATCH($D217,A_Type_Volume!$A:$A,0),1),IF($E217="VAM",INDEX(C_Type_Volume!$B:$B,MATCH($D217,C_Type_Volume!$A:$A,0),1),"X")),"")</f>
        <v>241500</v>
      </c>
      <c r="BA217" s="19">
        <f>IFERROR(IF($E217="REC",INDEX(A_Type_Volume!$C:$C,MATCH($D217,A_Type_Volume!$A:$A,0),1),IF($E217="VAM",INDEX(C_Type_Volume!$C:$C,MATCH($D217,C_Type_Volume!$A:$A,0),1),"X")),"")</f>
        <v>241500</v>
      </c>
      <c r="BB217" s="19">
        <f>IFERROR(IF($E217="REC",INDEX(A_Type_Volume!$D:$D,MATCH($D217,A_Type_Volume!$A:$A,0),1),IF($E217="VAM",INDEX(C_Type_Volume!$D:$D,MATCH($D217,C_Type_Volume!$A:$A,0),1),"X")),"")</f>
        <v>241500</v>
      </c>
      <c r="BC217" s="19">
        <f>IFERROR(IF($E217="REC",INDEX(A_Type_Volume!$E:$E,MATCH($D217,A_Type_Volume!$A:$A,0),1),IF($E217="VAM",INDEX(C_Type_Volume!$E:$E,MATCH($D217,C_Type_Volume!$A:$A,0),1),"X")),"")</f>
        <v>231000</v>
      </c>
      <c r="BD217" s="19">
        <f>IFERROR(IF($E217="REC",INDEX(A_Type_Volume!$F:$F,MATCH($D217,A_Type_Volume!$A:$A,0),1),IF($E217="VAM",INDEX(C_Type_Volume!$F:$F,MATCH($D217,C_Type_Volume!$A:$A,0),1),"X")),"")</f>
        <v>252000</v>
      </c>
      <c r="BE217" s="19">
        <f>IFERROR(IF($E217="REC",INDEX(A_Type_Volume!$G:$G,MATCH($D217,A_Type_Volume!$A:$A,0),1),IF($E217="VAM",INDEX(C_Type_Volume!$G:$G,MATCH($D217,C_Type_Volume!$A:$A,0),1),"X")),"")</f>
        <v>252000</v>
      </c>
      <c r="BF217" s="19">
        <f>IFERROR(IF($E217="REC",INDEX(A_Type_Volume!$H:$H,MATCH($D217,A_Type_Volume!$A:$A,0),1),IF($E217="VAM",INDEX(C_Type_Volume!$H:$H,MATCH($D217,C_Type_Volume!$A:$A,0),1),"X")),"")</f>
        <v>178500</v>
      </c>
      <c r="BG217" s="19">
        <f>IFERROR(IF($E217="REC",INDEX(A_Type_Volume!$I:$I,MATCH($D217,A_Type_Volume!$A:$A,0),1),IF($E217="VAM",INDEX(C_Type_Volume!$I:$I,MATCH($D217,C_Type_Volume!$A:$A,0),1),"X")),"")</f>
        <v>117000</v>
      </c>
      <c r="BH217" s="19">
        <f>IFERROR(IF($E217="REC",INDEX(A_Type_Volume!$J:$J,MATCH($D217,A_Type_Volume!$A:$A,0),1),IF($E217="VAM",INDEX(C_Type_Volume!$J:$J,MATCH($D217,C_Type_Volume!$A:$A,0),1),"X")),"")</f>
        <v>135000</v>
      </c>
      <c r="BI217" s="19">
        <f>IFERROR(IF($E217="REC",INDEX(A_Type_Volume!$K:$K,MATCH($D217,A_Type_Volume!$A:$A,0),1),IF($E217="VAM",INDEX(C_Type_Volume!$K:$K,MATCH($D217,C_Type_Volume!$A:$A,0),1),"X")),"")</f>
        <v>126000</v>
      </c>
      <c r="BJ217" s="19">
        <f>IFERROR(IF($E217="REC",INDEX(A_Type_Volume!$L:$L,MATCH($D217,A_Type_Volume!$A:$A,0),1),IF($E217="VAM",INDEX(C_Type_Volume!$L:$L,MATCH($D217,C_Type_Volume!$A:$A,0),1),"X")),"")</f>
        <v>117000</v>
      </c>
      <c r="BK217" s="19">
        <f>IFERROR(IF($E217="REC",INDEX(A_Type_Volume!M:M,MATCH($D217,A_Type_Volume!$A:$A,0),1),IF($E217="VAM",INDEX(C_Type_Volume!M:M,MATCH($D217,C_Type_Volume!$A:$A,0),1),"X")),"")</f>
        <v>123015</v>
      </c>
      <c r="BL217" s="38">
        <f>SUM(Table1[[#This Row],[Jan_AVF]:[Dec_AVF]])</f>
        <v>2256015</v>
      </c>
      <c r="BM217" s="16">
        <f t="shared" si="190"/>
        <v>1207.5</v>
      </c>
      <c r="BN217" s="16">
        <f t="shared" si="191"/>
        <v>1207.5</v>
      </c>
      <c r="BO217" s="16">
        <f t="shared" si="192"/>
        <v>1207.5</v>
      </c>
      <c r="BP217" s="16">
        <f t="shared" si="193"/>
        <v>1155</v>
      </c>
      <c r="BQ217" s="16">
        <f t="shared" si="194"/>
        <v>1260</v>
      </c>
      <c r="BR217" s="16">
        <f t="shared" si="195"/>
        <v>1260</v>
      </c>
      <c r="BS217" s="16">
        <f t="shared" si="196"/>
        <v>892.5</v>
      </c>
      <c r="BT217" s="16">
        <f t="shared" si="197"/>
        <v>585</v>
      </c>
      <c r="BU217" s="16">
        <f t="shared" si="198"/>
        <v>675</v>
      </c>
      <c r="BV217" s="16">
        <f t="shared" si="199"/>
        <v>630</v>
      </c>
      <c r="BW217" s="16">
        <f t="shared" si="200"/>
        <v>585</v>
      </c>
      <c r="BX217" s="16">
        <f t="shared" si="201"/>
        <v>615.07500000000005</v>
      </c>
      <c r="BY217" s="10">
        <f t="shared" si="168"/>
        <v>3622.5</v>
      </c>
      <c r="BZ217" s="10">
        <f t="shared" si="169"/>
        <v>3675</v>
      </c>
      <c r="CA217" s="10">
        <f t="shared" si="170"/>
        <v>2152.5</v>
      </c>
      <c r="CB217" s="10">
        <f t="shared" si="171"/>
        <v>1830.075</v>
      </c>
      <c r="CC217" s="10">
        <f>IFERROR(Table1[[#This Row],[Labor
Saving]]*Table1[[#This Row],[Annual Volume]],"")</f>
        <v>0</v>
      </c>
      <c r="CD217" s="10">
        <f>IFERROR(Table1[[#This Row],[Annual Volume]]*Table1[[#This Row],[Yield
Saving]],"")</f>
        <v>11280.075000000001</v>
      </c>
      <c r="CE217" s="10">
        <f>IFERROR(Table1[[#This Row],[Annual Volume]]*Table1[[#This Row],[Material
Saving]],"")</f>
        <v>0</v>
      </c>
      <c r="CF217" s="10">
        <f>IFERROR(Table1[[#This Row],[OH
Saving]]*Table1[[#This Row],[Annual Volume]],"")</f>
        <v>0</v>
      </c>
      <c r="CG217" s="10">
        <f>SUM(Table1[[#This Row],[Labor_ASV]:[OH_ASV]])</f>
        <v>11280.075000000001</v>
      </c>
    </row>
    <row r="218" spans="1:85" x14ac:dyDescent="0.3">
      <c r="A218" t="str">
        <f>Table1[[#This Row],[Project Name]]&amp;Table1[[#This Row],[Part Number]]</f>
        <v>Plasma Dry Etching AuR16</v>
      </c>
      <c r="B218" t="str">
        <f>IFERROR(Table1[[#This Row],[Project Number]]&amp;Table1[[#This Row],[Part Number]],"")</f>
        <v>AME25-084R16</v>
      </c>
      <c r="C218" s="22" t="s">
        <v>131</v>
      </c>
      <c r="D218" s="24" t="s">
        <v>254</v>
      </c>
      <c r="E218" s="25" t="s">
        <v>58</v>
      </c>
      <c r="F218" s="6">
        <f>INDEX(Proj_Reg!G:G,MATCH($C218,Proj_Reg!$B:$B,0),1)</f>
        <v>46266</v>
      </c>
      <c r="G218" s="6">
        <f>INDEX(Proj_Reg!H:H,MATCH($C218,Proj_Reg!$B:$B,0),1)</f>
        <v>46600</v>
      </c>
      <c r="H218" s="6" t="str">
        <f>IF(INDEX(Proj_Reg!C:C,MATCH($C218,Proj_Reg!$B:$B,0),1)=0,"",INDEX(Proj_Reg!C:C,MATCH($C218,Proj_Reg!$B:$B,0),1))</f>
        <v>Wet Etching</v>
      </c>
      <c r="I218" s="6" t="str">
        <f>IF(INDEX(Proj_Reg!D:D,MATCH($C218,Proj_Reg!$B:$B,0),1)=0,"",INDEX(Proj_Reg!D:D,MATCH($C218,Proj_Reg!$B:$B,0),1))</f>
        <v>XWP</v>
      </c>
      <c r="J218" s="6" t="str">
        <f>INDEX(Proj_Reg!E:E,MATCH($C218,Proj_Reg!$B:$B,0),1)</f>
        <v>Plasma Dry Etching Au</v>
      </c>
      <c r="K218" s="21">
        <v>0</v>
      </c>
      <c r="L218" s="21">
        <v>5.0000000000000001E-3</v>
      </c>
      <c r="M218" s="21">
        <v>0</v>
      </c>
      <c r="N218" s="21">
        <v>0</v>
      </c>
      <c r="O218" s="11">
        <f>SUM(Table1[[#This Row],[Labor
Saving]:[OH
Saving]])</f>
        <v>5.0000000000000001E-3</v>
      </c>
      <c r="Q218" s="40">
        <f t="shared" si="152"/>
        <v>0</v>
      </c>
      <c r="R218" s="40">
        <f t="shared" si="153"/>
        <v>0</v>
      </c>
      <c r="S218" s="40">
        <f t="shared" si="154"/>
        <v>0</v>
      </c>
      <c r="T218" s="40">
        <f t="shared" si="155"/>
        <v>0</v>
      </c>
      <c r="U218" s="40">
        <f t="shared" si="156"/>
        <v>0</v>
      </c>
      <c r="V218" s="40">
        <f t="shared" si="157"/>
        <v>0</v>
      </c>
      <c r="W218" s="40">
        <f t="shared" si="158"/>
        <v>0</v>
      </c>
      <c r="X218" s="40">
        <f t="shared" si="159"/>
        <v>0</v>
      </c>
      <c r="Y218" s="40">
        <f t="shared" si="160"/>
        <v>101507</v>
      </c>
      <c r="Z218" s="40">
        <f t="shared" si="161"/>
        <v>208321</v>
      </c>
      <c r="AA218" s="40">
        <f t="shared" si="162"/>
        <v>169550</v>
      </c>
      <c r="AB218" s="40">
        <f t="shared" si="163"/>
        <v>141303</v>
      </c>
      <c r="AC218" s="37">
        <f>SUM(Table1[[#This Row],[Jan]:[Dec]])</f>
        <v>620681</v>
      </c>
      <c r="AD218" s="15">
        <f t="shared" si="172"/>
        <v>0</v>
      </c>
      <c r="AE218" s="15">
        <f t="shared" si="173"/>
        <v>0</v>
      </c>
      <c r="AF218" s="15">
        <f t="shared" si="174"/>
        <v>0</v>
      </c>
      <c r="AG218" s="15">
        <f t="shared" si="175"/>
        <v>0</v>
      </c>
      <c r="AH218" s="15">
        <f t="shared" si="176"/>
        <v>0</v>
      </c>
      <c r="AI218" s="15">
        <f t="shared" si="177"/>
        <v>0</v>
      </c>
      <c r="AJ218" s="15">
        <f t="shared" si="178"/>
        <v>0</v>
      </c>
      <c r="AK218" s="15">
        <f t="shared" si="179"/>
        <v>0</v>
      </c>
      <c r="AL218" s="15">
        <f t="shared" si="180"/>
        <v>507.53500000000003</v>
      </c>
      <c r="AM218" s="15">
        <f t="shared" si="181"/>
        <v>1041.605</v>
      </c>
      <c r="AN218" s="15">
        <f t="shared" si="182"/>
        <v>847.75</v>
      </c>
      <c r="AO218" s="15">
        <f t="shared" si="183"/>
        <v>706.51499999999999</v>
      </c>
      <c r="AP218" s="10">
        <f t="shared" si="184"/>
        <v>0</v>
      </c>
      <c r="AQ218" s="10">
        <f t="shared" si="185"/>
        <v>0</v>
      </c>
      <c r="AR218" s="10">
        <f t="shared" si="186"/>
        <v>507.53500000000003</v>
      </c>
      <c r="AS218" s="10">
        <f t="shared" si="187"/>
        <v>2595.87</v>
      </c>
      <c r="AT218" s="10" t="b">
        <f t="shared" si="188"/>
        <v>1</v>
      </c>
      <c r="AU218" s="10">
        <f t="shared" si="164"/>
        <v>0</v>
      </c>
      <c r="AV218" s="10">
        <f t="shared" si="165"/>
        <v>3103.4050000000002</v>
      </c>
      <c r="AW218" s="10">
        <f t="shared" si="166"/>
        <v>0</v>
      </c>
      <c r="AX218" s="10">
        <f t="shared" si="167"/>
        <v>0</v>
      </c>
      <c r="AY218" s="10">
        <f t="shared" si="189"/>
        <v>3103.4050000000002</v>
      </c>
      <c r="AZ218" s="19">
        <f>IFERROR(IF($E218="REC",INDEX(A_Type_Volume!$B:$B,MATCH($D218,A_Type_Volume!$A:$A,0),1),IF($E218="VAM",INDEX(C_Type_Volume!$B:$B,MATCH($D218,C_Type_Volume!$A:$A,0),1),"X")),"")</f>
        <v>185678</v>
      </c>
      <c r="BA218" s="19">
        <f>IFERROR(IF($E218="REC",INDEX(A_Type_Volume!$C:$C,MATCH($D218,A_Type_Volume!$A:$A,0),1),IF($E218="VAM",INDEX(C_Type_Volume!$C:$C,MATCH($D218,C_Type_Volume!$A:$A,0),1),"X")),"")</f>
        <v>236471</v>
      </c>
      <c r="BB218" s="19">
        <f>IFERROR(IF($E218="REC",INDEX(A_Type_Volume!$D:$D,MATCH($D218,A_Type_Volume!$A:$A,0),1),IF($E218="VAM",INDEX(C_Type_Volume!$D:$D,MATCH($D218,C_Type_Volume!$A:$A,0),1),"X")),"")</f>
        <v>232314</v>
      </c>
      <c r="BC218" s="19">
        <f>IFERROR(IF($E218="REC",INDEX(A_Type_Volume!$E:$E,MATCH($D218,A_Type_Volume!$A:$A,0),1),IF($E218="VAM",INDEX(C_Type_Volume!$E:$E,MATCH($D218,C_Type_Volume!$A:$A,0),1),"X")),"")</f>
        <v>201153</v>
      </c>
      <c r="BD218" s="19">
        <f>IFERROR(IF($E218="REC",INDEX(A_Type_Volume!$F:$F,MATCH($D218,A_Type_Volume!$A:$A,0),1),IF($E218="VAM",INDEX(C_Type_Volume!$F:$F,MATCH($D218,C_Type_Volume!$A:$A,0),1),"X")),"")</f>
        <v>212833</v>
      </c>
      <c r="BE218" s="19">
        <f>IFERROR(IF($E218="REC",INDEX(A_Type_Volume!$G:$G,MATCH($D218,A_Type_Volume!$A:$A,0),1),IF($E218="VAM",INDEX(C_Type_Volume!$G:$G,MATCH($D218,C_Type_Volume!$A:$A,0),1),"X")),"")</f>
        <v>186755</v>
      </c>
      <c r="BF218" s="19">
        <f>IFERROR(IF($E218="REC",INDEX(A_Type_Volume!$H:$H,MATCH($D218,A_Type_Volume!$A:$A,0),1),IF($E218="VAM",INDEX(C_Type_Volume!$H:$H,MATCH($D218,C_Type_Volume!$A:$A,0),1),"X")),"")</f>
        <v>172743</v>
      </c>
      <c r="BG218" s="19">
        <f>IFERROR(IF($E218="REC",INDEX(A_Type_Volume!$I:$I,MATCH($D218,A_Type_Volume!$A:$A,0),1),IF($E218="VAM",INDEX(C_Type_Volume!$I:$I,MATCH($D218,C_Type_Volume!$A:$A,0),1),"X")),"")</f>
        <v>138246</v>
      </c>
      <c r="BH218" s="19">
        <f>IFERROR(IF($E218="REC",INDEX(A_Type_Volume!$J:$J,MATCH($D218,A_Type_Volume!$A:$A,0),1),IF($E218="VAM",INDEX(C_Type_Volume!$J:$J,MATCH($D218,C_Type_Volume!$A:$A,0),1),"X")),"")</f>
        <v>145010</v>
      </c>
      <c r="BI218" s="19">
        <f>IFERROR(IF($E218="REC",INDEX(A_Type_Volume!$K:$K,MATCH($D218,A_Type_Volume!$A:$A,0),1),IF($E218="VAM",INDEX(C_Type_Volume!$K:$K,MATCH($D218,C_Type_Volume!$A:$A,0),1),"X")),"")</f>
        <v>208321</v>
      </c>
      <c r="BJ218" s="19">
        <f>IFERROR(IF($E218="REC",INDEX(A_Type_Volume!$L:$L,MATCH($D218,A_Type_Volume!$A:$A,0),1),IF($E218="VAM",INDEX(C_Type_Volume!$L:$L,MATCH($D218,C_Type_Volume!$A:$A,0),1),"X")),"")</f>
        <v>169550</v>
      </c>
      <c r="BK218" s="19">
        <f>IFERROR(IF($E218="REC",INDEX(A_Type_Volume!M:M,MATCH($D218,A_Type_Volume!$A:$A,0),1),IF($E218="VAM",INDEX(C_Type_Volume!M:M,MATCH($D218,C_Type_Volume!$A:$A,0),1),"X")),"")</f>
        <v>141303</v>
      </c>
      <c r="BL218" s="38">
        <f>SUM(Table1[[#This Row],[Jan_AVF]:[Dec_AVF]])</f>
        <v>2230377</v>
      </c>
      <c r="BM218" s="16">
        <f t="shared" si="190"/>
        <v>928.39</v>
      </c>
      <c r="BN218" s="16">
        <f t="shared" si="191"/>
        <v>1182.355</v>
      </c>
      <c r="BO218" s="16">
        <f t="shared" si="192"/>
        <v>1161.57</v>
      </c>
      <c r="BP218" s="16">
        <f t="shared" si="193"/>
        <v>1005.765</v>
      </c>
      <c r="BQ218" s="16">
        <f t="shared" si="194"/>
        <v>1064.165</v>
      </c>
      <c r="BR218" s="16">
        <f t="shared" si="195"/>
        <v>933.77499999999998</v>
      </c>
      <c r="BS218" s="16">
        <f t="shared" si="196"/>
        <v>863.71500000000003</v>
      </c>
      <c r="BT218" s="16">
        <f t="shared" si="197"/>
        <v>691.23</v>
      </c>
      <c r="BU218" s="16">
        <f t="shared" si="198"/>
        <v>725.05000000000007</v>
      </c>
      <c r="BV218" s="16">
        <f t="shared" si="199"/>
        <v>1041.605</v>
      </c>
      <c r="BW218" s="16">
        <f t="shared" si="200"/>
        <v>847.75</v>
      </c>
      <c r="BX218" s="16">
        <f t="shared" si="201"/>
        <v>706.51499999999999</v>
      </c>
      <c r="BY218" s="10">
        <f t="shared" si="168"/>
        <v>3272.3149999999996</v>
      </c>
      <c r="BZ218" s="10">
        <f t="shared" si="169"/>
        <v>3003.7049999999999</v>
      </c>
      <c r="CA218" s="10">
        <f t="shared" si="170"/>
        <v>2279.9950000000003</v>
      </c>
      <c r="CB218" s="10">
        <f t="shared" si="171"/>
        <v>2595.87</v>
      </c>
      <c r="CC218" s="10">
        <f>IFERROR(Table1[[#This Row],[Labor
Saving]]*Table1[[#This Row],[Annual Volume]],"")</f>
        <v>0</v>
      </c>
      <c r="CD218" s="10">
        <f>IFERROR(Table1[[#This Row],[Annual Volume]]*Table1[[#This Row],[Yield
Saving]],"")</f>
        <v>11151.885</v>
      </c>
      <c r="CE218" s="10">
        <f>IFERROR(Table1[[#This Row],[Annual Volume]]*Table1[[#This Row],[Material
Saving]],"")</f>
        <v>0</v>
      </c>
      <c r="CF218" s="10">
        <f>IFERROR(Table1[[#This Row],[OH
Saving]]*Table1[[#This Row],[Annual Volume]],"")</f>
        <v>0</v>
      </c>
      <c r="CG218" s="10">
        <f>SUM(Table1[[#This Row],[Labor_ASV]:[OH_ASV]])</f>
        <v>11151.885</v>
      </c>
    </row>
    <row r="219" spans="1:85" x14ac:dyDescent="0.3">
      <c r="A219" t="str">
        <f>Table1[[#This Row],[Project Name]]&amp;Table1[[#This Row],[Part Number]]</f>
        <v>Plasma Dry Etching AuR19</v>
      </c>
      <c r="B219" t="str">
        <f>IFERROR(Table1[[#This Row],[Project Number]]&amp;Table1[[#This Row],[Part Number]],"")</f>
        <v>AME25-084R19</v>
      </c>
      <c r="C219" s="22" t="s">
        <v>131</v>
      </c>
      <c r="D219" s="24" t="s">
        <v>257</v>
      </c>
      <c r="E219" s="25" t="s">
        <v>58</v>
      </c>
      <c r="F219" s="6">
        <f>INDEX(Proj_Reg!G:G,MATCH($C219,Proj_Reg!$B:$B,0),1)</f>
        <v>46266</v>
      </c>
      <c r="G219" s="6">
        <f>INDEX(Proj_Reg!H:H,MATCH($C219,Proj_Reg!$B:$B,0),1)</f>
        <v>46600</v>
      </c>
      <c r="H219" s="6" t="str">
        <f>IF(INDEX(Proj_Reg!C:C,MATCH($C219,Proj_Reg!$B:$B,0),1)=0,"",INDEX(Proj_Reg!C:C,MATCH($C219,Proj_Reg!$B:$B,0),1))</f>
        <v>Wet Etching</v>
      </c>
      <c r="I219" s="6" t="str">
        <f>IF(INDEX(Proj_Reg!D:D,MATCH($C219,Proj_Reg!$B:$B,0),1)=0,"",INDEX(Proj_Reg!D:D,MATCH($C219,Proj_Reg!$B:$B,0),1))</f>
        <v>XWP</v>
      </c>
      <c r="J219" s="6" t="str">
        <f>INDEX(Proj_Reg!E:E,MATCH($C219,Proj_Reg!$B:$B,0),1)</f>
        <v>Plasma Dry Etching Au</v>
      </c>
      <c r="K219" s="21">
        <v>0</v>
      </c>
      <c r="L219" s="21">
        <v>5.0000000000000001E-3</v>
      </c>
      <c r="M219" s="21">
        <v>0</v>
      </c>
      <c r="N219" s="21">
        <v>0</v>
      </c>
      <c r="O219" s="11">
        <f>SUM(Table1[[#This Row],[Labor
Saving]:[OH
Saving]])</f>
        <v>5.0000000000000001E-3</v>
      </c>
      <c r="Q219" s="40">
        <f t="shared" si="152"/>
        <v>0</v>
      </c>
      <c r="R219" s="40">
        <f t="shared" si="153"/>
        <v>0</v>
      </c>
      <c r="S219" s="40">
        <f t="shared" si="154"/>
        <v>0</v>
      </c>
      <c r="T219" s="40">
        <f t="shared" si="155"/>
        <v>0</v>
      </c>
      <c r="U219" s="40">
        <f t="shared" si="156"/>
        <v>0</v>
      </c>
      <c r="V219" s="40">
        <f t="shared" si="157"/>
        <v>0</v>
      </c>
      <c r="W219" s="40">
        <f t="shared" si="158"/>
        <v>0</v>
      </c>
      <c r="X219" s="40">
        <f t="shared" si="159"/>
        <v>0</v>
      </c>
      <c r="Y219" s="40">
        <f t="shared" si="160"/>
        <v>131023.9</v>
      </c>
      <c r="Z219" s="40">
        <f t="shared" si="161"/>
        <v>188697</v>
      </c>
      <c r="AA219" s="40">
        <f t="shared" si="162"/>
        <v>153578</v>
      </c>
      <c r="AB219" s="40">
        <f t="shared" si="163"/>
        <v>168949</v>
      </c>
      <c r="AC219" s="37">
        <f>SUM(Table1[[#This Row],[Jan]:[Dec]])</f>
        <v>642247.9</v>
      </c>
      <c r="AD219" s="15">
        <f t="shared" si="172"/>
        <v>0</v>
      </c>
      <c r="AE219" s="15">
        <f t="shared" si="173"/>
        <v>0</v>
      </c>
      <c r="AF219" s="15">
        <f t="shared" si="174"/>
        <v>0</v>
      </c>
      <c r="AG219" s="15">
        <f t="shared" si="175"/>
        <v>0</v>
      </c>
      <c r="AH219" s="15">
        <f t="shared" si="176"/>
        <v>0</v>
      </c>
      <c r="AI219" s="15">
        <f t="shared" si="177"/>
        <v>0</v>
      </c>
      <c r="AJ219" s="15">
        <f t="shared" si="178"/>
        <v>0</v>
      </c>
      <c r="AK219" s="15">
        <f t="shared" si="179"/>
        <v>0</v>
      </c>
      <c r="AL219" s="15">
        <f t="shared" si="180"/>
        <v>655.11950000000002</v>
      </c>
      <c r="AM219" s="15">
        <f t="shared" si="181"/>
        <v>943.48500000000001</v>
      </c>
      <c r="AN219" s="15">
        <f t="shared" si="182"/>
        <v>767.89</v>
      </c>
      <c r="AO219" s="15">
        <f t="shared" si="183"/>
        <v>844.745</v>
      </c>
      <c r="AP219" s="10">
        <f t="shared" si="184"/>
        <v>0</v>
      </c>
      <c r="AQ219" s="10">
        <f t="shared" si="185"/>
        <v>0</v>
      </c>
      <c r="AR219" s="10">
        <f t="shared" si="186"/>
        <v>655.11950000000002</v>
      </c>
      <c r="AS219" s="10">
        <f t="shared" si="187"/>
        <v>2556.12</v>
      </c>
      <c r="AT219" s="10" t="b">
        <f t="shared" si="188"/>
        <v>1</v>
      </c>
      <c r="AU219" s="10">
        <f t="shared" si="164"/>
        <v>0</v>
      </c>
      <c r="AV219" s="10">
        <f t="shared" si="165"/>
        <v>3211.2395000000001</v>
      </c>
      <c r="AW219" s="10">
        <f t="shared" si="166"/>
        <v>0</v>
      </c>
      <c r="AX219" s="10">
        <f t="shared" si="167"/>
        <v>0</v>
      </c>
      <c r="AY219" s="10">
        <f t="shared" si="189"/>
        <v>3211.2395000000001</v>
      </c>
      <c r="AZ219" s="19">
        <f>IFERROR(IF($E219="REC",INDEX(A_Type_Volume!$B:$B,MATCH($D219,A_Type_Volume!$A:$A,0),1),IF($E219="VAM",INDEX(C_Type_Volume!$B:$B,MATCH($D219,C_Type_Volume!$A:$A,0),1),"X")),"")</f>
        <v>126725</v>
      </c>
      <c r="BA219" s="19">
        <f>IFERROR(IF($E219="REC",INDEX(A_Type_Volume!$C:$C,MATCH($D219,A_Type_Volume!$A:$A,0),1),IF($E219="VAM",INDEX(C_Type_Volume!$C:$C,MATCH($D219,C_Type_Volume!$A:$A,0),1),"X")),"")</f>
        <v>174051</v>
      </c>
      <c r="BB219" s="19">
        <f>IFERROR(IF($E219="REC",INDEX(A_Type_Volume!$D:$D,MATCH($D219,A_Type_Volume!$A:$A,0),1),IF($E219="VAM",INDEX(C_Type_Volume!$D:$D,MATCH($D219,C_Type_Volume!$A:$A,0),1),"X")),"")</f>
        <v>182840</v>
      </c>
      <c r="BC219" s="19">
        <f>IFERROR(IF($E219="REC",INDEX(A_Type_Volume!$E:$E,MATCH($D219,A_Type_Volume!$A:$A,0),1),IF($E219="VAM",INDEX(C_Type_Volume!$E:$E,MATCH($D219,C_Type_Volume!$A:$A,0),1),"X")),"")</f>
        <v>155688</v>
      </c>
      <c r="BD219" s="19">
        <f>IFERROR(IF($E219="REC",INDEX(A_Type_Volume!$F:$F,MATCH($D219,A_Type_Volume!$A:$A,0),1),IF($E219="VAM",INDEX(C_Type_Volume!$F:$F,MATCH($D219,C_Type_Volume!$A:$A,0),1),"X")),"")</f>
        <v>179681</v>
      </c>
      <c r="BE219" s="19">
        <f>IFERROR(IF($E219="REC",INDEX(A_Type_Volume!$G:$G,MATCH($D219,A_Type_Volume!$A:$A,0),1),IF($E219="VAM",INDEX(C_Type_Volume!$G:$G,MATCH($D219,C_Type_Volume!$A:$A,0),1),"X")),"")</f>
        <v>213234</v>
      </c>
      <c r="BF219" s="19">
        <f>IFERROR(IF($E219="REC",INDEX(A_Type_Volume!$H:$H,MATCH($D219,A_Type_Volume!$A:$A,0),1),IF($E219="VAM",INDEX(C_Type_Volume!$H:$H,MATCH($D219,C_Type_Volume!$A:$A,0),1),"X")),"")</f>
        <v>181769</v>
      </c>
      <c r="BG219" s="19">
        <f>IFERROR(IF($E219="REC",INDEX(A_Type_Volume!$I:$I,MATCH($D219,A_Type_Volume!$A:$A,0),1),IF($E219="VAM",INDEX(C_Type_Volume!$I:$I,MATCH($D219,C_Type_Volume!$A:$A,0),1),"X")),"")</f>
        <v>140305</v>
      </c>
      <c r="BH219" s="19">
        <f>IFERROR(IF($E219="REC",INDEX(A_Type_Volume!$J:$J,MATCH($D219,A_Type_Volume!$A:$A,0),1),IF($E219="VAM",INDEX(C_Type_Volume!$J:$J,MATCH($D219,C_Type_Volume!$A:$A,0),1),"X")),"")</f>
        <v>187177</v>
      </c>
      <c r="BI219" s="19">
        <f>IFERROR(IF($E219="REC",INDEX(A_Type_Volume!$K:$K,MATCH($D219,A_Type_Volume!$A:$A,0),1),IF($E219="VAM",INDEX(C_Type_Volume!$K:$K,MATCH($D219,C_Type_Volume!$A:$A,0),1),"X")),"")</f>
        <v>188697</v>
      </c>
      <c r="BJ219" s="19">
        <f>IFERROR(IF($E219="REC",INDEX(A_Type_Volume!$L:$L,MATCH($D219,A_Type_Volume!$A:$A,0),1),IF($E219="VAM",INDEX(C_Type_Volume!$L:$L,MATCH($D219,C_Type_Volume!$A:$A,0),1),"X")),"")</f>
        <v>153578</v>
      </c>
      <c r="BK219" s="19">
        <f>IFERROR(IF($E219="REC",INDEX(A_Type_Volume!M:M,MATCH($D219,A_Type_Volume!$A:$A,0),1),IF($E219="VAM",INDEX(C_Type_Volume!M:M,MATCH($D219,C_Type_Volume!$A:$A,0),1),"X")),"")</f>
        <v>168949</v>
      </c>
      <c r="BL219" s="38">
        <f>SUM(Table1[[#This Row],[Jan_AVF]:[Dec_AVF]])</f>
        <v>2052694</v>
      </c>
      <c r="BM219" s="16">
        <f t="shared" si="190"/>
        <v>633.625</v>
      </c>
      <c r="BN219" s="16">
        <f t="shared" si="191"/>
        <v>870.255</v>
      </c>
      <c r="BO219" s="16">
        <f t="shared" si="192"/>
        <v>914.2</v>
      </c>
      <c r="BP219" s="16">
        <f t="shared" si="193"/>
        <v>778.44</v>
      </c>
      <c r="BQ219" s="16">
        <f t="shared" si="194"/>
        <v>898.40499999999997</v>
      </c>
      <c r="BR219" s="16">
        <f t="shared" si="195"/>
        <v>1066.17</v>
      </c>
      <c r="BS219" s="16">
        <f t="shared" si="196"/>
        <v>908.84500000000003</v>
      </c>
      <c r="BT219" s="16">
        <f t="shared" si="197"/>
        <v>701.52499999999998</v>
      </c>
      <c r="BU219" s="16">
        <f t="shared" si="198"/>
        <v>935.88499999999999</v>
      </c>
      <c r="BV219" s="16">
        <f t="shared" si="199"/>
        <v>943.48500000000001</v>
      </c>
      <c r="BW219" s="16">
        <f t="shared" si="200"/>
        <v>767.89</v>
      </c>
      <c r="BX219" s="16">
        <f t="shared" si="201"/>
        <v>844.745</v>
      </c>
      <c r="BY219" s="10">
        <f t="shared" si="168"/>
        <v>2418.08</v>
      </c>
      <c r="BZ219" s="10">
        <f t="shared" si="169"/>
        <v>2743.0150000000003</v>
      </c>
      <c r="CA219" s="10">
        <f t="shared" si="170"/>
        <v>2546.2550000000001</v>
      </c>
      <c r="CB219" s="10">
        <f t="shared" si="171"/>
        <v>2556.12</v>
      </c>
      <c r="CC219" s="10">
        <f>IFERROR(Table1[[#This Row],[Labor
Saving]]*Table1[[#This Row],[Annual Volume]],"")</f>
        <v>0</v>
      </c>
      <c r="CD219" s="10">
        <f>IFERROR(Table1[[#This Row],[Annual Volume]]*Table1[[#This Row],[Yield
Saving]],"")</f>
        <v>10263.469999999999</v>
      </c>
      <c r="CE219" s="10">
        <f>IFERROR(Table1[[#This Row],[Annual Volume]]*Table1[[#This Row],[Material
Saving]],"")</f>
        <v>0</v>
      </c>
      <c r="CF219" s="10">
        <f>IFERROR(Table1[[#This Row],[OH
Saving]]*Table1[[#This Row],[Annual Volume]],"")</f>
        <v>0</v>
      </c>
      <c r="CG219" s="10">
        <f>SUM(Table1[[#This Row],[Labor_ASV]:[OH_ASV]])</f>
        <v>10263.469999999999</v>
      </c>
    </row>
    <row r="220" spans="1:85" x14ac:dyDescent="0.3">
      <c r="A220" t="str">
        <f>Table1[[#This Row],[Project Name]]&amp;Table1[[#This Row],[Part Number]]</f>
        <v>Plasma Dry Etching AuR22</v>
      </c>
      <c r="B220" t="str">
        <f>IFERROR(Table1[[#This Row],[Project Number]]&amp;Table1[[#This Row],[Part Number]],"")</f>
        <v>AME25-084R22</v>
      </c>
      <c r="C220" s="22" t="s">
        <v>131</v>
      </c>
      <c r="D220" s="24" t="s">
        <v>260</v>
      </c>
      <c r="E220" s="25" t="s">
        <v>58</v>
      </c>
      <c r="F220" s="6">
        <f>INDEX(Proj_Reg!G:G,MATCH($C220,Proj_Reg!$B:$B,0),1)</f>
        <v>46266</v>
      </c>
      <c r="G220" s="6">
        <f>INDEX(Proj_Reg!H:H,MATCH($C220,Proj_Reg!$B:$B,0),1)</f>
        <v>46600</v>
      </c>
      <c r="H220" s="6" t="str">
        <f>IF(INDEX(Proj_Reg!C:C,MATCH($C220,Proj_Reg!$B:$B,0),1)=0,"",INDEX(Proj_Reg!C:C,MATCH($C220,Proj_Reg!$B:$B,0),1))</f>
        <v>Wet Etching</v>
      </c>
      <c r="I220" s="6" t="str">
        <f>IF(INDEX(Proj_Reg!D:D,MATCH($C220,Proj_Reg!$B:$B,0),1)=0,"",INDEX(Proj_Reg!D:D,MATCH($C220,Proj_Reg!$B:$B,0),1))</f>
        <v>XWP</v>
      </c>
      <c r="J220" s="6" t="str">
        <f>INDEX(Proj_Reg!E:E,MATCH($C220,Proj_Reg!$B:$B,0),1)</f>
        <v>Plasma Dry Etching Au</v>
      </c>
      <c r="K220" s="21">
        <v>0</v>
      </c>
      <c r="L220" s="21">
        <v>5.0000000000000001E-3</v>
      </c>
      <c r="M220" s="21">
        <v>0</v>
      </c>
      <c r="N220" s="21">
        <v>0</v>
      </c>
      <c r="O220" s="11">
        <f>SUM(Table1[[#This Row],[Labor
Saving]:[OH
Saving]])</f>
        <v>5.0000000000000001E-3</v>
      </c>
      <c r="Q220" s="40">
        <f t="shared" si="152"/>
        <v>0</v>
      </c>
      <c r="R220" s="40">
        <f t="shared" si="153"/>
        <v>0</v>
      </c>
      <c r="S220" s="40">
        <f t="shared" si="154"/>
        <v>0</v>
      </c>
      <c r="T220" s="40">
        <f t="shared" si="155"/>
        <v>0</v>
      </c>
      <c r="U220" s="40">
        <f t="shared" si="156"/>
        <v>0</v>
      </c>
      <c r="V220" s="40">
        <f t="shared" si="157"/>
        <v>0</v>
      </c>
      <c r="W220" s="40">
        <f t="shared" si="158"/>
        <v>0</v>
      </c>
      <c r="X220" s="40">
        <f t="shared" si="159"/>
        <v>0</v>
      </c>
      <c r="Y220" s="40">
        <f t="shared" si="160"/>
        <v>111691.29999999999</v>
      </c>
      <c r="Z220" s="40">
        <f t="shared" si="161"/>
        <v>150957</v>
      </c>
      <c r="AA220" s="40">
        <f t="shared" si="162"/>
        <v>122862</v>
      </c>
      <c r="AB220" s="40">
        <f t="shared" si="163"/>
        <v>102393</v>
      </c>
      <c r="AC220" s="37">
        <f>SUM(Table1[[#This Row],[Jan]:[Dec]])</f>
        <v>487903.3</v>
      </c>
      <c r="AD220" s="15">
        <f t="shared" si="172"/>
        <v>0</v>
      </c>
      <c r="AE220" s="15">
        <f t="shared" si="173"/>
        <v>0</v>
      </c>
      <c r="AF220" s="15">
        <f t="shared" si="174"/>
        <v>0</v>
      </c>
      <c r="AG220" s="15">
        <f t="shared" si="175"/>
        <v>0</v>
      </c>
      <c r="AH220" s="15">
        <f t="shared" si="176"/>
        <v>0</v>
      </c>
      <c r="AI220" s="15">
        <f t="shared" si="177"/>
        <v>0</v>
      </c>
      <c r="AJ220" s="15">
        <f t="shared" si="178"/>
        <v>0</v>
      </c>
      <c r="AK220" s="15">
        <f t="shared" si="179"/>
        <v>0</v>
      </c>
      <c r="AL220" s="15">
        <f t="shared" si="180"/>
        <v>558.45650000000001</v>
      </c>
      <c r="AM220" s="15">
        <f t="shared" si="181"/>
        <v>754.78499999999997</v>
      </c>
      <c r="AN220" s="15">
        <f t="shared" si="182"/>
        <v>614.31000000000006</v>
      </c>
      <c r="AO220" s="15">
        <f t="shared" si="183"/>
        <v>511.96500000000003</v>
      </c>
      <c r="AP220" s="10">
        <f t="shared" si="184"/>
        <v>0</v>
      </c>
      <c r="AQ220" s="10">
        <f t="shared" si="185"/>
        <v>0</v>
      </c>
      <c r="AR220" s="10">
        <f t="shared" si="186"/>
        <v>558.45650000000001</v>
      </c>
      <c r="AS220" s="10">
        <f t="shared" si="187"/>
        <v>1881.06</v>
      </c>
      <c r="AT220" s="10" t="b">
        <f t="shared" si="188"/>
        <v>1</v>
      </c>
      <c r="AU220" s="10">
        <f t="shared" si="164"/>
        <v>0</v>
      </c>
      <c r="AV220" s="10">
        <f t="shared" si="165"/>
        <v>2439.5165000000002</v>
      </c>
      <c r="AW220" s="10">
        <f t="shared" si="166"/>
        <v>0</v>
      </c>
      <c r="AX220" s="10">
        <f t="shared" si="167"/>
        <v>0</v>
      </c>
      <c r="AY220" s="10">
        <f t="shared" si="189"/>
        <v>2439.5165000000002</v>
      </c>
      <c r="AZ220" s="19">
        <f>IFERROR(IF($E220="REC",INDEX(A_Type_Volume!$B:$B,MATCH($D220,A_Type_Volume!$A:$A,0),1),IF($E220="VAM",INDEX(C_Type_Volume!$B:$B,MATCH($D220,C_Type_Volume!$A:$A,0),1),"X")),"")</f>
        <v>144935</v>
      </c>
      <c r="BA220" s="19">
        <f>IFERROR(IF($E220="REC",INDEX(A_Type_Volume!$C:$C,MATCH($D220,A_Type_Volume!$A:$A,0),1),IF($E220="VAM",INDEX(C_Type_Volume!$C:$C,MATCH($D220,C_Type_Volume!$A:$A,0),1),"X")),"")</f>
        <v>190803</v>
      </c>
      <c r="BB220" s="19">
        <f>IFERROR(IF($E220="REC",INDEX(A_Type_Volume!$D:$D,MATCH($D220,A_Type_Volume!$A:$A,0),1),IF($E220="VAM",INDEX(C_Type_Volume!$D:$D,MATCH($D220,C_Type_Volume!$A:$A,0),1),"X")),"")</f>
        <v>203899</v>
      </c>
      <c r="BC220" s="19">
        <f>IFERROR(IF($E220="REC",INDEX(A_Type_Volume!$E:$E,MATCH($D220,A_Type_Volume!$A:$A,0),1),IF($E220="VAM",INDEX(C_Type_Volume!$E:$E,MATCH($D220,C_Type_Volume!$A:$A,0),1),"X")),"")</f>
        <v>163952</v>
      </c>
      <c r="BD220" s="19">
        <f>IFERROR(IF($E220="REC",INDEX(A_Type_Volume!$F:$F,MATCH($D220,A_Type_Volume!$A:$A,0),1),IF($E220="VAM",INDEX(C_Type_Volume!$F:$F,MATCH($D220,C_Type_Volume!$A:$A,0),1),"X")),"")</f>
        <v>198728</v>
      </c>
      <c r="BE220" s="19">
        <f>IFERROR(IF($E220="REC",INDEX(A_Type_Volume!$G:$G,MATCH($D220,A_Type_Volume!$A:$A,0),1),IF($E220="VAM",INDEX(C_Type_Volume!$G:$G,MATCH($D220,C_Type_Volume!$A:$A,0),1),"X")),"")</f>
        <v>181772</v>
      </c>
      <c r="BF220" s="19">
        <f>IFERROR(IF($E220="REC",INDEX(A_Type_Volume!$H:$H,MATCH($D220,A_Type_Volume!$A:$A,0),1),IF($E220="VAM",INDEX(C_Type_Volume!$H:$H,MATCH($D220,C_Type_Volume!$A:$A,0),1),"X")),"")</f>
        <v>197070</v>
      </c>
      <c r="BG220" s="19">
        <f>IFERROR(IF($E220="REC",INDEX(A_Type_Volume!$I:$I,MATCH($D220,A_Type_Volume!$A:$A,0),1),IF($E220="VAM",INDEX(C_Type_Volume!$I:$I,MATCH($D220,C_Type_Volume!$A:$A,0),1),"X")),"")</f>
        <v>152116</v>
      </c>
      <c r="BH220" s="19">
        <f>IFERROR(IF($E220="REC",INDEX(A_Type_Volume!$J:$J,MATCH($D220,A_Type_Volume!$A:$A,0),1),IF($E220="VAM",INDEX(C_Type_Volume!$J:$J,MATCH($D220,C_Type_Volume!$A:$A,0),1),"X")),"")</f>
        <v>159559</v>
      </c>
      <c r="BI220" s="19">
        <f>IFERROR(IF($E220="REC",INDEX(A_Type_Volume!$K:$K,MATCH($D220,A_Type_Volume!$A:$A,0),1),IF($E220="VAM",INDEX(C_Type_Volume!$K:$K,MATCH($D220,C_Type_Volume!$A:$A,0),1),"X")),"")</f>
        <v>150957</v>
      </c>
      <c r="BJ220" s="19">
        <f>IFERROR(IF($E220="REC",INDEX(A_Type_Volume!$L:$L,MATCH($D220,A_Type_Volume!$A:$A,0),1),IF($E220="VAM",INDEX(C_Type_Volume!$L:$L,MATCH($D220,C_Type_Volume!$A:$A,0),1),"X")),"")</f>
        <v>122862</v>
      </c>
      <c r="BK220" s="19">
        <f>IFERROR(IF($E220="REC",INDEX(A_Type_Volume!M:M,MATCH($D220,A_Type_Volume!$A:$A,0),1),IF($E220="VAM",INDEX(C_Type_Volume!M:M,MATCH($D220,C_Type_Volume!$A:$A,0),1),"X")),"")</f>
        <v>102393</v>
      </c>
      <c r="BL220" s="38">
        <f>SUM(Table1[[#This Row],[Jan_AVF]:[Dec_AVF]])</f>
        <v>1969046</v>
      </c>
      <c r="BM220" s="16">
        <f t="shared" si="190"/>
        <v>724.67500000000007</v>
      </c>
      <c r="BN220" s="16">
        <f t="shared" si="191"/>
        <v>954.01499999999999</v>
      </c>
      <c r="BO220" s="16">
        <f t="shared" si="192"/>
        <v>1019.495</v>
      </c>
      <c r="BP220" s="16">
        <f t="shared" si="193"/>
        <v>819.76</v>
      </c>
      <c r="BQ220" s="16">
        <f t="shared" si="194"/>
        <v>993.64</v>
      </c>
      <c r="BR220" s="16">
        <f t="shared" si="195"/>
        <v>908.86</v>
      </c>
      <c r="BS220" s="16">
        <f t="shared" si="196"/>
        <v>985.35</v>
      </c>
      <c r="BT220" s="16">
        <f t="shared" si="197"/>
        <v>760.58</v>
      </c>
      <c r="BU220" s="16">
        <f t="shared" si="198"/>
        <v>797.79500000000007</v>
      </c>
      <c r="BV220" s="16">
        <f t="shared" si="199"/>
        <v>754.78499999999997</v>
      </c>
      <c r="BW220" s="16">
        <f t="shared" si="200"/>
        <v>614.31000000000006</v>
      </c>
      <c r="BX220" s="16">
        <f t="shared" si="201"/>
        <v>511.96500000000003</v>
      </c>
      <c r="BY220" s="10">
        <f t="shared" si="168"/>
        <v>2698.1849999999999</v>
      </c>
      <c r="BZ220" s="10">
        <f t="shared" si="169"/>
        <v>2722.26</v>
      </c>
      <c r="CA220" s="10">
        <f t="shared" si="170"/>
        <v>2543.7250000000004</v>
      </c>
      <c r="CB220" s="10">
        <f t="shared" si="171"/>
        <v>1881.06</v>
      </c>
      <c r="CC220" s="10">
        <f>IFERROR(Table1[[#This Row],[Labor
Saving]]*Table1[[#This Row],[Annual Volume]],"")</f>
        <v>0</v>
      </c>
      <c r="CD220" s="10">
        <f>IFERROR(Table1[[#This Row],[Annual Volume]]*Table1[[#This Row],[Yield
Saving]],"")</f>
        <v>9845.23</v>
      </c>
      <c r="CE220" s="10">
        <f>IFERROR(Table1[[#This Row],[Annual Volume]]*Table1[[#This Row],[Material
Saving]],"")</f>
        <v>0</v>
      </c>
      <c r="CF220" s="10">
        <f>IFERROR(Table1[[#This Row],[OH
Saving]]*Table1[[#This Row],[Annual Volume]],"")</f>
        <v>0</v>
      </c>
      <c r="CG220" s="10">
        <f>SUM(Table1[[#This Row],[Labor_ASV]:[OH_ASV]])</f>
        <v>9845.23</v>
      </c>
    </row>
    <row r="221" spans="1:85" x14ac:dyDescent="0.3">
      <c r="A221" t="str">
        <f>Table1[[#This Row],[Project Name]]&amp;Table1[[#This Row],[Part Number]]</f>
        <v>Plasma Dry Etching AuR59</v>
      </c>
      <c r="B221" t="str">
        <f>IFERROR(Table1[[#This Row],[Project Number]]&amp;Table1[[#This Row],[Part Number]],"")</f>
        <v>AME25-084R59</v>
      </c>
      <c r="C221" s="22" t="s">
        <v>131</v>
      </c>
      <c r="D221" s="24" t="s">
        <v>297</v>
      </c>
      <c r="E221" s="25" t="s">
        <v>58</v>
      </c>
      <c r="F221" s="6">
        <f>INDEX(Proj_Reg!G:G,MATCH($C221,Proj_Reg!$B:$B,0),1)</f>
        <v>46266</v>
      </c>
      <c r="G221" s="6">
        <f>INDEX(Proj_Reg!H:H,MATCH($C221,Proj_Reg!$B:$B,0),1)</f>
        <v>46600</v>
      </c>
      <c r="H221" s="6" t="str">
        <f>IF(INDEX(Proj_Reg!C:C,MATCH($C221,Proj_Reg!$B:$B,0),1)=0,"",INDEX(Proj_Reg!C:C,MATCH($C221,Proj_Reg!$B:$B,0),1))</f>
        <v>Wet Etching</v>
      </c>
      <c r="I221" s="6" t="str">
        <f>IF(INDEX(Proj_Reg!D:D,MATCH($C221,Proj_Reg!$B:$B,0),1)=0,"",INDEX(Proj_Reg!D:D,MATCH($C221,Proj_Reg!$B:$B,0),1))</f>
        <v>XWP</v>
      </c>
      <c r="J221" s="6" t="str">
        <f>INDEX(Proj_Reg!E:E,MATCH($C221,Proj_Reg!$B:$B,0),1)</f>
        <v>Plasma Dry Etching Au</v>
      </c>
      <c r="K221" s="21">
        <v>0</v>
      </c>
      <c r="L221" s="21">
        <v>5.0000000000000001E-3</v>
      </c>
      <c r="M221" s="21">
        <v>0</v>
      </c>
      <c r="N221" s="21">
        <v>0</v>
      </c>
      <c r="O221" s="11">
        <f>SUM(Table1[[#This Row],[Labor
Saving]:[OH
Saving]])</f>
        <v>5.0000000000000001E-3</v>
      </c>
      <c r="Q221" s="40">
        <f t="shared" si="152"/>
        <v>0</v>
      </c>
      <c r="R221" s="40">
        <f t="shared" si="153"/>
        <v>0</v>
      </c>
      <c r="S221" s="40">
        <f t="shared" si="154"/>
        <v>0</v>
      </c>
      <c r="T221" s="40">
        <f t="shared" si="155"/>
        <v>0</v>
      </c>
      <c r="U221" s="40">
        <f t="shared" si="156"/>
        <v>0</v>
      </c>
      <c r="V221" s="40">
        <f t="shared" si="157"/>
        <v>0</v>
      </c>
      <c r="W221" s="40">
        <f t="shared" si="158"/>
        <v>0</v>
      </c>
      <c r="X221" s="40">
        <f t="shared" si="159"/>
        <v>0</v>
      </c>
      <c r="Y221" s="40">
        <f t="shared" si="160"/>
        <v>30804.899999999998</v>
      </c>
      <c r="Z221" s="40">
        <f t="shared" si="161"/>
        <v>49816</v>
      </c>
      <c r="AA221" s="40">
        <f t="shared" si="162"/>
        <v>40545</v>
      </c>
      <c r="AB221" s="40">
        <f t="shared" si="163"/>
        <v>33790</v>
      </c>
      <c r="AC221" s="37">
        <f>SUM(Table1[[#This Row],[Jan]:[Dec]])</f>
        <v>154955.9</v>
      </c>
      <c r="AD221" s="15">
        <f t="shared" si="172"/>
        <v>0</v>
      </c>
      <c r="AE221" s="15">
        <f t="shared" si="173"/>
        <v>0</v>
      </c>
      <c r="AF221" s="15">
        <f t="shared" si="174"/>
        <v>0</v>
      </c>
      <c r="AG221" s="15">
        <f t="shared" si="175"/>
        <v>0</v>
      </c>
      <c r="AH221" s="15">
        <f t="shared" si="176"/>
        <v>0</v>
      </c>
      <c r="AI221" s="15">
        <f t="shared" si="177"/>
        <v>0</v>
      </c>
      <c r="AJ221" s="15">
        <f t="shared" si="178"/>
        <v>0</v>
      </c>
      <c r="AK221" s="15">
        <f t="shared" si="179"/>
        <v>0</v>
      </c>
      <c r="AL221" s="15">
        <f t="shared" si="180"/>
        <v>154.02449999999999</v>
      </c>
      <c r="AM221" s="15">
        <f t="shared" si="181"/>
        <v>249.08</v>
      </c>
      <c r="AN221" s="15">
        <f t="shared" si="182"/>
        <v>202.72499999999999</v>
      </c>
      <c r="AO221" s="15">
        <f t="shared" si="183"/>
        <v>168.95000000000002</v>
      </c>
      <c r="AP221" s="10">
        <f t="shared" si="184"/>
        <v>0</v>
      </c>
      <c r="AQ221" s="10">
        <f t="shared" si="185"/>
        <v>0</v>
      </c>
      <c r="AR221" s="10">
        <f t="shared" si="186"/>
        <v>154.02449999999999</v>
      </c>
      <c r="AS221" s="10">
        <f t="shared" si="187"/>
        <v>620.755</v>
      </c>
      <c r="AT221" s="10" t="b">
        <f t="shared" si="188"/>
        <v>1</v>
      </c>
      <c r="AU221" s="10">
        <f t="shared" si="164"/>
        <v>0</v>
      </c>
      <c r="AV221" s="10">
        <f t="shared" si="165"/>
        <v>774.77949999999998</v>
      </c>
      <c r="AW221" s="10">
        <f t="shared" si="166"/>
        <v>0</v>
      </c>
      <c r="AX221" s="10">
        <f t="shared" si="167"/>
        <v>0</v>
      </c>
      <c r="AY221" s="10">
        <f t="shared" si="189"/>
        <v>774.77949999999998</v>
      </c>
      <c r="AZ221" s="19">
        <f>IFERROR(IF($E221="REC",INDEX(A_Type_Volume!$B:$B,MATCH($D221,A_Type_Volume!$A:$A,0),1),IF($E221="VAM",INDEX(C_Type_Volume!$B:$B,MATCH($D221,C_Type_Volume!$A:$A,0),1),"X")),"")</f>
        <v>47746</v>
      </c>
      <c r="BA221" s="19">
        <f>IFERROR(IF($E221="REC",INDEX(A_Type_Volume!$C:$C,MATCH($D221,A_Type_Volume!$A:$A,0),1),IF($E221="VAM",INDEX(C_Type_Volume!$C:$C,MATCH($D221,C_Type_Volume!$A:$A,0),1),"X")),"")</f>
        <v>0</v>
      </c>
      <c r="BB221" s="19">
        <f>IFERROR(IF($E221="REC",INDEX(A_Type_Volume!$D:$D,MATCH($D221,A_Type_Volume!$A:$A,0),1),IF($E221="VAM",INDEX(C_Type_Volume!$D:$D,MATCH($D221,C_Type_Volume!$A:$A,0),1),"X")),"")</f>
        <v>51321</v>
      </c>
      <c r="BC221" s="19">
        <f>IFERROR(IF($E221="REC",INDEX(A_Type_Volume!$E:$E,MATCH($D221,A_Type_Volume!$A:$A,0),1),IF($E221="VAM",INDEX(C_Type_Volume!$E:$E,MATCH($D221,C_Type_Volume!$A:$A,0),1),"X")),"")</f>
        <v>48524</v>
      </c>
      <c r="BD221" s="19">
        <f>IFERROR(IF($E221="REC",INDEX(A_Type_Volume!$F:$F,MATCH($D221,A_Type_Volume!$A:$A,0),1),IF($E221="VAM",INDEX(C_Type_Volume!$F:$F,MATCH($D221,C_Type_Volume!$A:$A,0),1),"X")),"")</f>
        <v>55478</v>
      </c>
      <c r="BE221" s="19">
        <f>IFERROR(IF($E221="REC",INDEX(A_Type_Volume!$G:$G,MATCH($D221,A_Type_Volume!$A:$A,0),1),IF($E221="VAM",INDEX(C_Type_Volume!$G:$G,MATCH($D221,C_Type_Volume!$A:$A,0),1),"X")),"")</f>
        <v>50133</v>
      </c>
      <c r="BF221" s="19">
        <f>IFERROR(IF($E221="REC",INDEX(A_Type_Volume!$H:$H,MATCH($D221,A_Type_Volume!$A:$A,0),1),IF($E221="VAM",INDEX(C_Type_Volume!$H:$H,MATCH($D221,C_Type_Volume!$A:$A,0),1),"X")),"")</f>
        <v>54353</v>
      </c>
      <c r="BG221" s="19">
        <f>IFERROR(IF($E221="REC",INDEX(A_Type_Volume!$I:$I,MATCH($D221,A_Type_Volume!$A:$A,0),1),IF($E221="VAM",INDEX(C_Type_Volume!$I:$I,MATCH($D221,C_Type_Volume!$A:$A,0),1),"X")),"")</f>
        <v>41954</v>
      </c>
      <c r="BH221" s="19">
        <f>IFERROR(IF($E221="REC",INDEX(A_Type_Volume!$J:$J,MATCH($D221,A_Type_Volume!$A:$A,0),1),IF($E221="VAM",INDEX(C_Type_Volume!$J:$J,MATCH($D221,C_Type_Volume!$A:$A,0),1),"X")),"")</f>
        <v>44007</v>
      </c>
      <c r="BI221" s="19">
        <f>IFERROR(IF($E221="REC",INDEX(A_Type_Volume!$K:$K,MATCH($D221,A_Type_Volume!$A:$A,0),1),IF($E221="VAM",INDEX(C_Type_Volume!$K:$K,MATCH($D221,C_Type_Volume!$A:$A,0),1),"X")),"")</f>
        <v>49816</v>
      </c>
      <c r="BJ221" s="19">
        <f>IFERROR(IF($E221="REC",INDEX(A_Type_Volume!$L:$L,MATCH($D221,A_Type_Volume!$A:$A,0),1),IF($E221="VAM",INDEX(C_Type_Volume!$L:$L,MATCH($D221,C_Type_Volume!$A:$A,0),1),"X")),"")</f>
        <v>40545</v>
      </c>
      <c r="BK221" s="19">
        <f>IFERROR(IF($E221="REC",INDEX(A_Type_Volume!M:M,MATCH($D221,A_Type_Volume!$A:$A,0),1),IF($E221="VAM",INDEX(C_Type_Volume!M:M,MATCH($D221,C_Type_Volume!$A:$A,0),1),"X")),"")</f>
        <v>33790</v>
      </c>
      <c r="BL221" s="38">
        <f>SUM(Table1[[#This Row],[Jan_AVF]:[Dec_AVF]])</f>
        <v>517667</v>
      </c>
      <c r="BM221" s="16">
        <f t="shared" si="190"/>
        <v>238.73000000000002</v>
      </c>
      <c r="BN221" s="16">
        <f t="shared" si="191"/>
        <v>0</v>
      </c>
      <c r="BO221" s="16">
        <f t="shared" si="192"/>
        <v>256.60500000000002</v>
      </c>
      <c r="BP221" s="16">
        <f t="shared" si="193"/>
        <v>242.62</v>
      </c>
      <c r="BQ221" s="16">
        <f t="shared" si="194"/>
        <v>277.39</v>
      </c>
      <c r="BR221" s="16">
        <f t="shared" si="195"/>
        <v>250.66499999999999</v>
      </c>
      <c r="BS221" s="16">
        <f t="shared" si="196"/>
        <v>271.76499999999999</v>
      </c>
      <c r="BT221" s="16">
        <f t="shared" si="197"/>
        <v>209.77</v>
      </c>
      <c r="BU221" s="16">
        <f t="shared" si="198"/>
        <v>220.035</v>
      </c>
      <c r="BV221" s="16">
        <f t="shared" si="199"/>
        <v>249.08</v>
      </c>
      <c r="BW221" s="16">
        <f t="shared" si="200"/>
        <v>202.72499999999999</v>
      </c>
      <c r="BX221" s="16">
        <f t="shared" si="201"/>
        <v>168.95000000000002</v>
      </c>
      <c r="BY221" s="10">
        <f t="shared" si="168"/>
        <v>495.33500000000004</v>
      </c>
      <c r="BZ221" s="10">
        <f t="shared" si="169"/>
        <v>770.67499999999995</v>
      </c>
      <c r="CA221" s="10">
        <f t="shared" si="170"/>
        <v>701.56999999999994</v>
      </c>
      <c r="CB221" s="10">
        <f t="shared" si="171"/>
        <v>620.755</v>
      </c>
      <c r="CC221" s="10">
        <f>IFERROR(Table1[[#This Row],[Labor
Saving]]*Table1[[#This Row],[Annual Volume]],"")</f>
        <v>0</v>
      </c>
      <c r="CD221" s="10">
        <f>IFERROR(Table1[[#This Row],[Annual Volume]]*Table1[[#This Row],[Yield
Saving]],"")</f>
        <v>2588.335</v>
      </c>
      <c r="CE221" s="10">
        <f>IFERROR(Table1[[#This Row],[Annual Volume]]*Table1[[#This Row],[Material
Saving]],"")</f>
        <v>0</v>
      </c>
      <c r="CF221" s="10">
        <f>IFERROR(Table1[[#This Row],[OH
Saving]]*Table1[[#This Row],[Annual Volume]],"")</f>
        <v>0</v>
      </c>
      <c r="CG221" s="10">
        <f>SUM(Table1[[#This Row],[Labor_ASV]:[OH_ASV]])</f>
        <v>2588.335</v>
      </c>
    </row>
    <row r="222" spans="1:85" x14ac:dyDescent="0.3">
      <c r="A222" t="str">
        <f>Table1[[#This Row],[Project Name]]&amp;Table1[[#This Row],[Part Number]]</f>
        <v>Plasma Dry Etching AuR62</v>
      </c>
      <c r="B222" t="str">
        <f>IFERROR(Table1[[#This Row],[Project Number]]&amp;Table1[[#This Row],[Part Number]],"")</f>
        <v>AME25-084R62</v>
      </c>
      <c r="C222" s="22" t="s">
        <v>131</v>
      </c>
      <c r="D222" s="24" t="s">
        <v>300</v>
      </c>
      <c r="E222" s="25" t="s">
        <v>58</v>
      </c>
      <c r="F222" s="6">
        <f>INDEX(Proj_Reg!G:G,MATCH($C222,Proj_Reg!$B:$B,0),1)</f>
        <v>46266</v>
      </c>
      <c r="G222" s="6">
        <f>INDEX(Proj_Reg!H:H,MATCH($C222,Proj_Reg!$B:$B,0),1)</f>
        <v>46600</v>
      </c>
      <c r="H222" s="6" t="str">
        <f>IF(INDEX(Proj_Reg!C:C,MATCH($C222,Proj_Reg!$B:$B,0),1)=0,"",INDEX(Proj_Reg!C:C,MATCH($C222,Proj_Reg!$B:$B,0),1))</f>
        <v>Wet Etching</v>
      </c>
      <c r="I222" s="6" t="str">
        <f>IF(INDEX(Proj_Reg!D:D,MATCH($C222,Proj_Reg!$B:$B,0),1)=0,"",INDEX(Proj_Reg!D:D,MATCH($C222,Proj_Reg!$B:$B,0),1))</f>
        <v>XWP</v>
      </c>
      <c r="J222" s="6" t="str">
        <f>INDEX(Proj_Reg!E:E,MATCH($C222,Proj_Reg!$B:$B,0),1)</f>
        <v>Plasma Dry Etching Au</v>
      </c>
      <c r="K222" s="21">
        <v>0</v>
      </c>
      <c r="L222" s="21">
        <v>5.0000000000000001E-3</v>
      </c>
      <c r="M222" s="21">
        <v>0</v>
      </c>
      <c r="N222" s="21">
        <v>0</v>
      </c>
      <c r="O222" s="11">
        <f>SUM(Table1[[#This Row],[Labor
Saving]:[OH
Saving]])</f>
        <v>5.0000000000000001E-3</v>
      </c>
      <c r="Q222" s="40">
        <f t="shared" si="152"/>
        <v>0</v>
      </c>
      <c r="R222" s="40">
        <f t="shared" si="153"/>
        <v>0</v>
      </c>
      <c r="S222" s="40">
        <f t="shared" si="154"/>
        <v>0</v>
      </c>
      <c r="T222" s="40">
        <f t="shared" si="155"/>
        <v>0</v>
      </c>
      <c r="U222" s="40">
        <f t="shared" si="156"/>
        <v>0</v>
      </c>
      <c r="V222" s="40">
        <f t="shared" si="157"/>
        <v>0</v>
      </c>
      <c r="W222" s="40">
        <f t="shared" si="158"/>
        <v>0</v>
      </c>
      <c r="X222" s="40">
        <f t="shared" si="159"/>
        <v>0</v>
      </c>
      <c r="Y222" s="40">
        <f t="shared" si="160"/>
        <v>0</v>
      </c>
      <c r="Z222" s="40">
        <f t="shared" si="161"/>
        <v>0</v>
      </c>
      <c r="AA222" s="40">
        <f t="shared" si="162"/>
        <v>0</v>
      </c>
      <c r="AB222" s="40">
        <f t="shared" si="163"/>
        <v>0</v>
      </c>
      <c r="AC222" s="37">
        <f>SUM(Table1[[#This Row],[Jan]:[Dec]])</f>
        <v>0</v>
      </c>
      <c r="AD222" s="15">
        <f t="shared" si="172"/>
        <v>0</v>
      </c>
      <c r="AE222" s="15">
        <f t="shared" si="173"/>
        <v>0</v>
      </c>
      <c r="AF222" s="15">
        <f t="shared" si="174"/>
        <v>0</v>
      </c>
      <c r="AG222" s="15">
        <f t="shared" si="175"/>
        <v>0</v>
      </c>
      <c r="AH222" s="15">
        <f t="shared" si="176"/>
        <v>0</v>
      </c>
      <c r="AI222" s="15">
        <f t="shared" si="177"/>
        <v>0</v>
      </c>
      <c r="AJ222" s="15">
        <f t="shared" si="178"/>
        <v>0</v>
      </c>
      <c r="AK222" s="15">
        <f t="shared" si="179"/>
        <v>0</v>
      </c>
      <c r="AL222" s="15">
        <f t="shared" si="180"/>
        <v>0</v>
      </c>
      <c r="AM222" s="15">
        <f t="shared" si="181"/>
        <v>0</v>
      </c>
      <c r="AN222" s="15">
        <f t="shared" si="182"/>
        <v>0</v>
      </c>
      <c r="AO222" s="15">
        <f t="shared" si="183"/>
        <v>0</v>
      </c>
      <c r="AP222" s="10">
        <f t="shared" si="184"/>
        <v>0</v>
      </c>
      <c r="AQ222" s="10">
        <f t="shared" si="185"/>
        <v>0</v>
      </c>
      <c r="AR222" s="10">
        <f t="shared" si="186"/>
        <v>0</v>
      </c>
      <c r="AS222" s="10">
        <f t="shared" si="187"/>
        <v>0</v>
      </c>
      <c r="AT222" s="10" t="b">
        <f t="shared" si="188"/>
        <v>1</v>
      </c>
      <c r="AU222" s="10">
        <f t="shared" si="164"/>
        <v>0</v>
      </c>
      <c r="AV222" s="10">
        <f t="shared" si="165"/>
        <v>0</v>
      </c>
      <c r="AW222" s="10">
        <f t="shared" si="166"/>
        <v>0</v>
      </c>
      <c r="AX222" s="10">
        <f t="shared" si="167"/>
        <v>0</v>
      </c>
      <c r="AY222" s="10">
        <f t="shared" si="189"/>
        <v>0</v>
      </c>
      <c r="AZ222" s="19">
        <f>IFERROR(IF($E222="REC",INDEX(A_Type_Volume!$B:$B,MATCH($D222,A_Type_Volume!$A:$A,0),1),IF($E222="VAM",INDEX(C_Type_Volume!$B:$B,MATCH($D222,C_Type_Volume!$A:$A,0),1),"X")),"")</f>
        <v>0</v>
      </c>
      <c r="BA222" s="19">
        <f>IFERROR(IF($E222="REC",INDEX(A_Type_Volume!$C:$C,MATCH($D222,A_Type_Volume!$A:$A,0),1),IF($E222="VAM",INDEX(C_Type_Volume!$C:$C,MATCH($D222,C_Type_Volume!$A:$A,0),1),"X")),"")</f>
        <v>0</v>
      </c>
      <c r="BB222" s="19">
        <f>IFERROR(IF($E222="REC",INDEX(A_Type_Volume!$D:$D,MATCH($D222,A_Type_Volume!$A:$A,0),1),IF($E222="VAM",INDEX(C_Type_Volume!$D:$D,MATCH($D222,C_Type_Volume!$A:$A,0),1),"X")),"")</f>
        <v>0</v>
      </c>
      <c r="BC222" s="19">
        <f>IFERROR(IF($E222="REC",INDEX(A_Type_Volume!$E:$E,MATCH($D222,A_Type_Volume!$A:$A,0),1),IF($E222="VAM",INDEX(C_Type_Volume!$E:$E,MATCH($D222,C_Type_Volume!$A:$A,0),1),"X")),"")</f>
        <v>0</v>
      </c>
      <c r="BD222" s="19">
        <f>IFERROR(IF($E222="REC",INDEX(A_Type_Volume!$F:$F,MATCH($D222,A_Type_Volume!$A:$A,0),1),IF($E222="VAM",INDEX(C_Type_Volume!$F:$F,MATCH($D222,C_Type_Volume!$A:$A,0),1),"X")),"")</f>
        <v>0</v>
      </c>
      <c r="BE222" s="19">
        <f>IFERROR(IF($E222="REC",INDEX(A_Type_Volume!$G:$G,MATCH($D222,A_Type_Volume!$A:$A,0),1),IF($E222="VAM",INDEX(C_Type_Volume!$G:$G,MATCH($D222,C_Type_Volume!$A:$A,0),1),"X")),"")</f>
        <v>0</v>
      </c>
      <c r="BF222" s="19">
        <f>IFERROR(IF($E222="REC",INDEX(A_Type_Volume!$H:$H,MATCH($D222,A_Type_Volume!$A:$A,0),1),IF($E222="VAM",INDEX(C_Type_Volume!$H:$H,MATCH($D222,C_Type_Volume!$A:$A,0),1),"X")),"")</f>
        <v>0</v>
      </c>
      <c r="BG222" s="19">
        <f>IFERROR(IF($E222="REC",INDEX(A_Type_Volume!$I:$I,MATCH($D222,A_Type_Volume!$A:$A,0),1),IF($E222="VAM",INDEX(C_Type_Volume!$I:$I,MATCH($D222,C_Type_Volume!$A:$A,0),1),"X")),"")</f>
        <v>0</v>
      </c>
      <c r="BH222" s="19">
        <f>IFERROR(IF($E222="REC",INDEX(A_Type_Volume!$J:$J,MATCH($D222,A_Type_Volume!$A:$A,0),1),IF($E222="VAM",INDEX(C_Type_Volume!$J:$J,MATCH($D222,C_Type_Volume!$A:$A,0),1),"X")),"")</f>
        <v>0</v>
      </c>
      <c r="BI222" s="19">
        <f>IFERROR(IF($E222="REC",INDEX(A_Type_Volume!$K:$K,MATCH($D222,A_Type_Volume!$A:$A,0),1),IF($E222="VAM",INDEX(C_Type_Volume!$K:$K,MATCH($D222,C_Type_Volume!$A:$A,0),1),"X")),"")</f>
        <v>0</v>
      </c>
      <c r="BJ222" s="19">
        <f>IFERROR(IF($E222="REC",INDEX(A_Type_Volume!$L:$L,MATCH($D222,A_Type_Volume!$A:$A,0),1),IF($E222="VAM",INDEX(C_Type_Volume!$L:$L,MATCH($D222,C_Type_Volume!$A:$A,0),1),"X")),"")</f>
        <v>0</v>
      </c>
      <c r="BK222" s="19">
        <f>IFERROR(IF($E222="REC",INDEX(A_Type_Volume!M:M,MATCH($D222,A_Type_Volume!$A:$A,0),1),IF($E222="VAM",INDEX(C_Type_Volume!M:M,MATCH($D222,C_Type_Volume!$A:$A,0),1),"X")),"")</f>
        <v>0</v>
      </c>
      <c r="BL222" s="38">
        <f>SUM(Table1[[#This Row],[Jan_AVF]:[Dec_AVF]])</f>
        <v>0</v>
      </c>
      <c r="BM222" s="16">
        <f t="shared" si="190"/>
        <v>0</v>
      </c>
      <c r="BN222" s="16">
        <f t="shared" si="191"/>
        <v>0</v>
      </c>
      <c r="BO222" s="16">
        <f t="shared" si="192"/>
        <v>0</v>
      </c>
      <c r="BP222" s="16">
        <f t="shared" si="193"/>
        <v>0</v>
      </c>
      <c r="BQ222" s="16">
        <f t="shared" si="194"/>
        <v>0</v>
      </c>
      <c r="BR222" s="16">
        <f t="shared" si="195"/>
        <v>0</v>
      </c>
      <c r="BS222" s="16">
        <f t="shared" si="196"/>
        <v>0</v>
      </c>
      <c r="BT222" s="16">
        <f t="shared" si="197"/>
        <v>0</v>
      </c>
      <c r="BU222" s="16">
        <f t="shared" si="198"/>
        <v>0</v>
      </c>
      <c r="BV222" s="16">
        <f t="shared" si="199"/>
        <v>0</v>
      </c>
      <c r="BW222" s="16">
        <f t="shared" si="200"/>
        <v>0</v>
      </c>
      <c r="BX222" s="16">
        <f t="shared" si="201"/>
        <v>0</v>
      </c>
      <c r="BY222" s="10">
        <f t="shared" si="168"/>
        <v>0</v>
      </c>
      <c r="BZ222" s="10">
        <f t="shared" si="169"/>
        <v>0</v>
      </c>
      <c r="CA222" s="10">
        <f t="shared" si="170"/>
        <v>0</v>
      </c>
      <c r="CB222" s="10">
        <f t="shared" si="171"/>
        <v>0</v>
      </c>
      <c r="CC222" s="10">
        <f>IFERROR(Table1[[#This Row],[Labor
Saving]]*Table1[[#This Row],[Annual Volume]],"")</f>
        <v>0</v>
      </c>
      <c r="CD222" s="10">
        <f>IFERROR(Table1[[#This Row],[Annual Volume]]*Table1[[#This Row],[Yield
Saving]],"")</f>
        <v>0</v>
      </c>
      <c r="CE222" s="10">
        <f>IFERROR(Table1[[#This Row],[Annual Volume]]*Table1[[#This Row],[Material
Saving]],"")</f>
        <v>0</v>
      </c>
      <c r="CF222" s="10">
        <f>IFERROR(Table1[[#This Row],[OH
Saving]]*Table1[[#This Row],[Annual Volume]],"")</f>
        <v>0</v>
      </c>
      <c r="CG222" s="10">
        <f>SUM(Table1[[#This Row],[Labor_ASV]:[OH_ASV]])</f>
        <v>0</v>
      </c>
    </row>
    <row r="223" spans="1:85" x14ac:dyDescent="0.3">
      <c r="A223" t="str">
        <f>Table1[[#This Row],[Project Name]]&amp;Table1[[#This Row],[Part Number]]</f>
        <v>Plasma Dry Etching AuR63</v>
      </c>
      <c r="B223" t="str">
        <f>IFERROR(Table1[[#This Row],[Project Number]]&amp;Table1[[#This Row],[Part Number]],"")</f>
        <v>AME25-084R63</v>
      </c>
      <c r="C223" s="22" t="s">
        <v>131</v>
      </c>
      <c r="D223" s="24" t="s">
        <v>301</v>
      </c>
      <c r="E223" s="25" t="s">
        <v>58</v>
      </c>
      <c r="F223" s="6">
        <f>INDEX(Proj_Reg!G:G,MATCH($C223,Proj_Reg!$B:$B,0),1)</f>
        <v>46266</v>
      </c>
      <c r="G223" s="6">
        <f>INDEX(Proj_Reg!H:H,MATCH($C223,Proj_Reg!$B:$B,0),1)</f>
        <v>46600</v>
      </c>
      <c r="H223" s="6" t="str">
        <f>IF(INDEX(Proj_Reg!C:C,MATCH($C223,Proj_Reg!$B:$B,0),1)=0,"",INDEX(Proj_Reg!C:C,MATCH($C223,Proj_Reg!$B:$B,0),1))</f>
        <v>Wet Etching</v>
      </c>
      <c r="I223" s="6" t="str">
        <f>IF(INDEX(Proj_Reg!D:D,MATCH($C223,Proj_Reg!$B:$B,0),1)=0,"",INDEX(Proj_Reg!D:D,MATCH($C223,Proj_Reg!$B:$B,0),1))</f>
        <v>XWP</v>
      </c>
      <c r="J223" s="6" t="str">
        <f>INDEX(Proj_Reg!E:E,MATCH($C223,Proj_Reg!$B:$B,0),1)</f>
        <v>Plasma Dry Etching Au</v>
      </c>
      <c r="K223" s="21">
        <v>0</v>
      </c>
      <c r="L223" s="21">
        <v>5.0000000000000001E-3</v>
      </c>
      <c r="M223" s="21">
        <v>0</v>
      </c>
      <c r="N223" s="21">
        <v>0</v>
      </c>
      <c r="O223" s="11">
        <f>SUM(Table1[[#This Row],[Labor
Saving]:[OH
Saving]])</f>
        <v>5.0000000000000001E-3</v>
      </c>
      <c r="Q223" s="40">
        <f t="shared" si="152"/>
        <v>0</v>
      </c>
      <c r="R223" s="40">
        <f t="shared" si="153"/>
        <v>0</v>
      </c>
      <c r="S223" s="40">
        <f t="shared" si="154"/>
        <v>0</v>
      </c>
      <c r="T223" s="40">
        <f t="shared" si="155"/>
        <v>0</v>
      </c>
      <c r="U223" s="40">
        <f t="shared" si="156"/>
        <v>0</v>
      </c>
      <c r="V223" s="40">
        <f t="shared" si="157"/>
        <v>0</v>
      </c>
      <c r="W223" s="40">
        <f t="shared" si="158"/>
        <v>0</v>
      </c>
      <c r="X223" s="40">
        <f t="shared" si="159"/>
        <v>0</v>
      </c>
      <c r="Y223" s="40">
        <f t="shared" si="160"/>
        <v>0</v>
      </c>
      <c r="Z223" s="40">
        <f t="shared" si="161"/>
        <v>0</v>
      </c>
      <c r="AA223" s="40">
        <f t="shared" si="162"/>
        <v>0</v>
      </c>
      <c r="AB223" s="40">
        <f t="shared" si="163"/>
        <v>0</v>
      </c>
      <c r="AC223" s="37">
        <f>SUM(Table1[[#This Row],[Jan]:[Dec]])</f>
        <v>0</v>
      </c>
      <c r="AD223" s="15">
        <f t="shared" si="172"/>
        <v>0</v>
      </c>
      <c r="AE223" s="15">
        <f t="shared" si="173"/>
        <v>0</v>
      </c>
      <c r="AF223" s="15">
        <f t="shared" si="174"/>
        <v>0</v>
      </c>
      <c r="AG223" s="15">
        <f t="shared" si="175"/>
        <v>0</v>
      </c>
      <c r="AH223" s="15">
        <f t="shared" si="176"/>
        <v>0</v>
      </c>
      <c r="AI223" s="15">
        <f t="shared" si="177"/>
        <v>0</v>
      </c>
      <c r="AJ223" s="15">
        <f t="shared" si="178"/>
        <v>0</v>
      </c>
      <c r="AK223" s="15">
        <f t="shared" si="179"/>
        <v>0</v>
      </c>
      <c r="AL223" s="15">
        <f t="shared" si="180"/>
        <v>0</v>
      </c>
      <c r="AM223" s="15">
        <f t="shared" si="181"/>
        <v>0</v>
      </c>
      <c r="AN223" s="15">
        <f t="shared" si="182"/>
        <v>0</v>
      </c>
      <c r="AO223" s="15">
        <f t="shared" si="183"/>
        <v>0</v>
      </c>
      <c r="AP223" s="10">
        <f t="shared" si="184"/>
        <v>0</v>
      </c>
      <c r="AQ223" s="10">
        <f t="shared" si="185"/>
        <v>0</v>
      </c>
      <c r="AR223" s="10">
        <f t="shared" si="186"/>
        <v>0</v>
      </c>
      <c r="AS223" s="10">
        <f t="shared" si="187"/>
        <v>0</v>
      </c>
      <c r="AT223" s="10" t="b">
        <f t="shared" si="188"/>
        <v>1</v>
      </c>
      <c r="AU223" s="10">
        <f t="shared" si="164"/>
        <v>0</v>
      </c>
      <c r="AV223" s="10">
        <f t="shared" si="165"/>
        <v>0</v>
      </c>
      <c r="AW223" s="10">
        <f t="shared" si="166"/>
        <v>0</v>
      </c>
      <c r="AX223" s="10">
        <f t="shared" si="167"/>
        <v>0</v>
      </c>
      <c r="AY223" s="10">
        <f t="shared" si="189"/>
        <v>0</v>
      </c>
      <c r="AZ223" s="19">
        <f>IFERROR(IF($E223="REC",INDEX(A_Type_Volume!$B:$B,MATCH($D223,A_Type_Volume!$A:$A,0),1),IF($E223="VAM",INDEX(C_Type_Volume!$B:$B,MATCH($D223,C_Type_Volume!$A:$A,0),1),"X")),"")</f>
        <v>0</v>
      </c>
      <c r="BA223" s="19">
        <f>IFERROR(IF($E223="REC",INDEX(A_Type_Volume!$C:$C,MATCH($D223,A_Type_Volume!$A:$A,0),1),IF($E223="VAM",INDEX(C_Type_Volume!$C:$C,MATCH($D223,C_Type_Volume!$A:$A,0),1),"X")),"")</f>
        <v>0</v>
      </c>
      <c r="BB223" s="19">
        <f>IFERROR(IF($E223="REC",INDEX(A_Type_Volume!$D:$D,MATCH($D223,A_Type_Volume!$A:$A,0),1),IF($E223="VAM",INDEX(C_Type_Volume!$D:$D,MATCH($D223,C_Type_Volume!$A:$A,0),1),"X")),"")</f>
        <v>0</v>
      </c>
      <c r="BC223" s="19">
        <f>IFERROR(IF($E223="REC",INDEX(A_Type_Volume!$E:$E,MATCH($D223,A_Type_Volume!$A:$A,0),1),IF($E223="VAM",INDEX(C_Type_Volume!$E:$E,MATCH($D223,C_Type_Volume!$A:$A,0),1),"X")),"")</f>
        <v>0</v>
      </c>
      <c r="BD223" s="19">
        <f>IFERROR(IF($E223="REC",INDEX(A_Type_Volume!$F:$F,MATCH($D223,A_Type_Volume!$A:$A,0),1),IF($E223="VAM",INDEX(C_Type_Volume!$F:$F,MATCH($D223,C_Type_Volume!$A:$A,0),1),"X")),"")</f>
        <v>0</v>
      </c>
      <c r="BE223" s="19">
        <f>IFERROR(IF($E223="REC",INDEX(A_Type_Volume!$G:$G,MATCH($D223,A_Type_Volume!$A:$A,0),1),IF($E223="VAM",INDEX(C_Type_Volume!$G:$G,MATCH($D223,C_Type_Volume!$A:$A,0),1),"X")),"")</f>
        <v>0</v>
      </c>
      <c r="BF223" s="19">
        <f>IFERROR(IF($E223="REC",INDEX(A_Type_Volume!$H:$H,MATCH($D223,A_Type_Volume!$A:$A,0),1),IF($E223="VAM",INDEX(C_Type_Volume!$H:$H,MATCH($D223,C_Type_Volume!$A:$A,0),1),"X")),"")</f>
        <v>0</v>
      </c>
      <c r="BG223" s="19">
        <f>IFERROR(IF($E223="REC",INDEX(A_Type_Volume!$I:$I,MATCH($D223,A_Type_Volume!$A:$A,0),1),IF($E223="VAM",INDEX(C_Type_Volume!$I:$I,MATCH($D223,C_Type_Volume!$A:$A,0),1),"X")),"")</f>
        <v>0</v>
      </c>
      <c r="BH223" s="19">
        <f>IFERROR(IF($E223="REC",INDEX(A_Type_Volume!$J:$J,MATCH($D223,A_Type_Volume!$A:$A,0),1),IF($E223="VAM",INDEX(C_Type_Volume!$J:$J,MATCH($D223,C_Type_Volume!$A:$A,0),1),"X")),"")</f>
        <v>0</v>
      </c>
      <c r="BI223" s="19">
        <f>IFERROR(IF($E223="REC",INDEX(A_Type_Volume!$K:$K,MATCH($D223,A_Type_Volume!$A:$A,0),1),IF($E223="VAM",INDEX(C_Type_Volume!$K:$K,MATCH($D223,C_Type_Volume!$A:$A,0),1),"X")),"")</f>
        <v>0</v>
      </c>
      <c r="BJ223" s="19">
        <f>IFERROR(IF($E223="REC",INDEX(A_Type_Volume!$L:$L,MATCH($D223,A_Type_Volume!$A:$A,0),1),IF($E223="VAM",INDEX(C_Type_Volume!$L:$L,MATCH($D223,C_Type_Volume!$A:$A,0),1),"X")),"")</f>
        <v>0</v>
      </c>
      <c r="BK223" s="19">
        <f>IFERROR(IF($E223="REC",INDEX(A_Type_Volume!M:M,MATCH($D223,A_Type_Volume!$A:$A,0),1),IF($E223="VAM",INDEX(C_Type_Volume!M:M,MATCH($D223,C_Type_Volume!$A:$A,0),1),"X")),"")</f>
        <v>0</v>
      </c>
      <c r="BL223" s="38">
        <f>SUM(Table1[[#This Row],[Jan_AVF]:[Dec_AVF]])</f>
        <v>0</v>
      </c>
      <c r="BM223" s="16">
        <f t="shared" si="190"/>
        <v>0</v>
      </c>
      <c r="BN223" s="16">
        <f t="shared" si="191"/>
        <v>0</v>
      </c>
      <c r="BO223" s="16">
        <f t="shared" si="192"/>
        <v>0</v>
      </c>
      <c r="BP223" s="16">
        <f t="shared" si="193"/>
        <v>0</v>
      </c>
      <c r="BQ223" s="16">
        <f t="shared" si="194"/>
        <v>0</v>
      </c>
      <c r="BR223" s="16">
        <f t="shared" si="195"/>
        <v>0</v>
      </c>
      <c r="BS223" s="16">
        <f t="shared" si="196"/>
        <v>0</v>
      </c>
      <c r="BT223" s="16">
        <f t="shared" si="197"/>
        <v>0</v>
      </c>
      <c r="BU223" s="16">
        <f t="shared" si="198"/>
        <v>0</v>
      </c>
      <c r="BV223" s="16">
        <f t="shared" si="199"/>
        <v>0</v>
      </c>
      <c r="BW223" s="16">
        <f t="shared" si="200"/>
        <v>0</v>
      </c>
      <c r="BX223" s="16">
        <f t="shared" si="201"/>
        <v>0</v>
      </c>
      <c r="BY223" s="10">
        <f t="shared" si="168"/>
        <v>0</v>
      </c>
      <c r="BZ223" s="10">
        <f t="shared" si="169"/>
        <v>0</v>
      </c>
      <c r="CA223" s="10">
        <f t="shared" si="170"/>
        <v>0</v>
      </c>
      <c r="CB223" s="10">
        <f t="shared" si="171"/>
        <v>0</v>
      </c>
      <c r="CC223" s="10">
        <f>IFERROR(Table1[[#This Row],[Labor
Saving]]*Table1[[#This Row],[Annual Volume]],"")</f>
        <v>0</v>
      </c>
      <c r="CD223" s="10">
        <f>IFERROR(Table1[[#This Row],[Annual Volume]]*Table1[[#This Row],[Yield
Saving]],"")</f>
        <v>0</v>
      </c>
      <c r="CE223" s="10">
        <f>IFERROR(Table1[[#This Row],[Annual Volume]]*Table1[[#This Row],[Material
Saving]],"")</f>
        <v>0</v>
      </c>
      <c r="CF223" s="10">
        <f>IFERROR(Table1[[#This Row],[OH
Saving]]*Table1[[#This Row],[Annual Volume]],"")</f>
        <v>0</v>
      </c>
      <c r="CG223" s="10">
        <f>SUM(Table1[[#This Row],[Labor_ASV]:[OH_ASV]])</f>
        <v>0</v>
      </c>
    </row>
    <row r="224" spans="1:85" x14ac:dyDescent="0.3">
      <c r="A224" t="str">
        <f>Table1[[#This Row],[Project Name]]&amp;Table1[[#This Row],[Part Number]]</f>
        <v>Plasma Dry Etching AuR64</v>
      </c>
      <c r="B224" t="str">
        <f>IFERROR(Table1[[#This Row],[Project Number]]&amp;Table1[[#This Row],[Part Number]],"")</f>
        <v>AME25-084R64</v>
      </c>
      <c r="C224" s="22" t="s">
        <v>131</v>
      </c>
      <c r="D224" s="24" t="s">
        <v>302</v>
      </c>
      <c r="E224" s="25" t="s">
        <v>58</v>
      </c>
      <c r="F224" s="6">
        <f>INDEX(Proj_Reg!G:G,MATCH($C224,Proj_Reg!$B:$B,0),1)</f>
        <v>46266</v>
      </c>
      <c r="G224" s="6">
        <f>INDEX(Proj_Reg!H:H,MATCH($C224,Proj_Reg!$B:$B,0),1)</f>
        <v>46600</v>
      </c>
      <c r="H224" s="6" t="str">
        <f>IF(INDEX(Proj_Reg!C:C,MATCH($C224,Proj_Reg!$B:$B,0),1)=0,"",INDEX(Proj_Reg!C:C,MATCH($C224,Proj_Reg!$B:$B,0),1))</f>
        <v>Wet Etching</v>
      </c>
      <c r="I224" s="6" t="str">
        <f>IF(INDEX(Proj_Reg!D:D,MATCH($C224,Proj_Reg!$B:$B,0),1)=0,"",INDEX(Proj_Reg!D:D,MATCH($C224,Proj_Reg!$B:$B,0),1))</f>
        <v>XWP</v>
      </c>
      <c r="J224" s="6" t="str">
        <f>INDEX(Proj_Reg!E:E,MATCH($C224,Proj_Reg!$B:$B,0),1)</f>
        <v>Plasma Dry Etching Au</v>
      </c>
      <c r="K224" s="21">
        <v>0</v>
      </c>
      <c r="L224" s="21">
        <v>5.0000000000000001E-3</v>
      </c>
      <c r="M224" s="21">
        <v>0</v>
      </c>
      <c r="N224" s="21">
        <v>0</v>
      </c>
      <c r="O224" s="11">
        <f>SUM(Table1[[#This Row],[Labor
Saving]:[OH
Saving]])</f>
        <v>5.0000000000000001E-3</v>
      </c>
      <c r="Q224" s="40">
        <f t="shared" si="152"/>
        <v>0</v>
      </c>
      <c r="R224" s="40">
        <f t="shared" si="153"/>
        <v>0</v>
      </c>
      <c r="S224" s="40">
        <f t="shared" si="154"/>
        <v>0</v>
      </c>
      <c r="T224" s="40">
        <f t="shared" si="155"/>
        <v>0</v>
      </c>
      <c r="U224" s="40">
        <f t="shared" si="156"/>
        <v>0</v>
      </c>
      <c r="V224" s="40">
        <f t="shared" si="157"/>
        <v>0</v>
      </c>
      <c r="W224" s="40">
        <f t="shared" si="158"/>
        <v>0</v>
      </c>
      <c r="X224" s="40">
        <f t="shared" si="159"/>
        <v>0</v>
      </c>
      <c r="Y224" s="40">
        <f t="shared" si="160"/>
        <v>214701.19999999998</v>
      </c>
      <c r="Z224" s="40">
        <f t="shared" si="161"/>
        <v>286819</v>
      </c>
      <c r="AA224" s="40">
        <f t="shared" si="162"/>
        <v>221152</v>
      </c>
      <c r="AB224" s="40">
        <f t="shared" si="163"/>
        <v>194547</v>
      </c>
      <c r="AC224" s="37">
        <f>SUM(Table1[[#This Row],[Jan]:[Dec]])</f>
        <v>917219.2</v>
      </c>
      <c r="AD224" s="15">
        <f t="shared" si="172"/>
        <v>0</v>
      </c>
      <c r="AE224" s="15">
        <f t="shared" si="173"/>
        <v>0</v>
      </c>
      <c r="AF224" s="15">
        <f t="shared" si="174"/>
        <v>0</v>
      </c>
      <c r="AG224" s="15">
        <f t="shared" si="175"/>
        <v>0</v>
      </c>
      <c r="AH224" s="15">
        <f t="shared" si="176"/>
        <v>0</v>
      </c>
      <c r="AI224" s="15">
        <f t="shared" si="177"/>
        <v>0</v>
      </c>
      <c r="AJ224" s="15">
        <f t="shared" si="178"/>
        <v>0</v>
      </c>
      <c r="AK224" s="15">
        <f t="shared" si="179"/>
        <v>0</v>
      </c>
      <c r="AL224" s="15">
        <f t="shared" si="180"/>
        <v>1073.5059999999999</v>
      </c>
      <c r="AM224" s="15">
        <f t="shared" si="181"/>
        <v>1434.095</v>
      </c>
      <c r="AN224" s="15">
        <f t="shared" si="182"/>
        <v>1105.76</v>
      </c>
      <c r="AO224" s="15">
        <f t="shared" si="183"/>
        <v>972.73500000000001</v>
      </c>
      <c r="AP224" s="10">
        <f t="shared" si="184"/>
        <v>0</v>
      </c>
      <c r="AQ224" s="10">
        <f t="shared" si="185"/>
        <v>0</v>
      </c>
      <c r="AR224" s="10">
        <f t="shared" si="186"/>
        <v>1073.5059999999999</v>
      </c>
      <c r="AS224" s="10">
        <f t="shared" si="187"/>
        <v>3512.59</v>
      </c>
      <c r="AT224" s="10" t="b">
        <f t="shared" si="188"/>
        <v>1</v>
      </c>
      <c r="AU224" s="10">
        <f t="shared" si="164"/>
        <v>0</v>
      </c>
      <c r="AV224" s="10">
        <f t="shared" si="165"/>
        <v>4586.0959999999995</v>
      </c>
      <c r="AW224" s="10">
        <f t="shared" si="166"/>
        <v>0</v>
      </c>
      <c r="AX224" s="10">
        <f t="shared" si="167"/>
        <v>0</v>
      </c>
      <c r="AY224" s="10">
        <f t="shared" si="189"/>
        <v>4586.0959999999995</v>
      </c>
      <c r="AZ224" s="19">
        <f>IFERROR(IF($E224="REC",INDEX(A_Type_Volume!$B:$B,MATCH($D224,A_Type_Volume!$A:$A,0),1),IF($E224="VAM",INDEX(C_Type_Volume!$B:$B,MATCH($D224,C_Type_Volume!$A:$A,0),1),"X")),"")</f>
        <v>331567</v>
      </c>
      <c r="BA224" s="19">
        <f>IFERROR(IF($E224="REC",INDEX(A_Type_Volume!$C:$C,MATCH($D224,A_Type_Volume!$A:$A,0),1),IF($E224="VAM",INDEX(C_Type_Volume!$C:$C,MATCH($D224,C_Type_Volume!$A:$A,0),1),"X")),"")</f>
        <v>342877</v>
      </c>
      <c r="BB224" s="19">
        <f>IFERROR(IF($E224="REC",INDEX(A_Type_Volume!$D:$D,MATCH($D224,A_Type_Volume!$A:$A,0),1),IF($E224="VAM",INDEX(C_Type_Volume!$D:$D,MATCH($D224,C_Type_Volume!$A:$A,0),1),"X")),"")</f>
        <v>395173</v>
      </c>
      <c r="BC224" s="19">
        <f>IFERROR(IF($E224="REC",INDEX(A_Type_Volume!$E:$E,MATCH($D224,A_Type_Volume!$A:$A,0),1),IF($E224="VAM",INDEX(C_Type_Volume!$E:$E,MATCH($D224,C_Type_Volume!$A:$A,0),1),"X")),"")</f>
        <v>280850</v>
      </c>
      <c r="BD224" s="19">
        <f>IFERROR(IF($E224="REC",INDEX(A_Type_Volume!$F:$F,MATCH($D224,A_Type_Volume!$A:$A,0),1),IF($E224="VAM",INDEX(C_Type_Volume!$F:$F,MATCH($D224,C_Type_Volume!$A:$A,0),1),"X")),"")</f>
        <v>319417</v>
      </c>
      <c r="BE224" s="19">
        <f>IFERROR(IF($E224="REC",INDEX(A_Type_Volume!$G:$G,MATCH($D224,A_Type_Volume!$A:$A,0),1),IF($E224="VAM",INDEX(C_Type_Volume!$G:$G,MATCH($D224,C_Type_Volume!$A:$A,0),1),"X")),"")</f>
        <v>334223</v>
      </c>
      <c r="BF224" s="19">
        <f>IFERROR(IF($E224="REC",INDEX(A_Type_Volume!$H:$H,MATCH($D224,A_Type_Volume!$A:$A,0),1),IF($E224="VAM",INDEX(C_Type_Volume!$H:$H,MATCH($D224,C_Type_Volume!$A:$A,0),1),"X")),"")</f>
        <v>301411</v>
      </c>
      <c r="BG224" s="19">
        <f>IFERROR(IF($E224="REC",INDEX(A_Type_Volume!$I:$I,MATCH($D224,A_Type_Volume!$A:$A,0),1),IF($E224="VAM",INDEX(C_Type_Volume!$I:$I,MATCH($D224,C_Type_Volume!$A:$A,0),1),"X")),"")</f>
        <v>228842</v>
      </c>
      <c r="BH224" s="19">
        <f>IFERROR(IF($E224="REC",INDEX(A_Type_Volume!$J:$J,MATCH($D224,A_Type_Volume!$A:$A,0),1),IF($E224="VAM",INDEX(C_Type_Volume!$J:$J,MATCH($D224,C_Type_Volume!$A:$A,0),1),"X")),"")</f>
        <v>306716</v>
      </c>
      <c r="BI224" s="19">
        <f>IFERROR(IF($E224="REC",INDEX(A_Type_Volume!$K:$K,MATCH($D224,A_Type_Volume!$A:$A,0),1),IF($E224="VAM",INDEX(C_Type_Volume!$K:$K,MATCH($D224,C_Type_Volume!$A:$A,0),1),"X")),"")</f>
        <v>286819</v>
      </c>
      <c r="BJ224" s="19">
        <f>IFERROR(IF($E224="REC",INDEX(A_Type_Volume!$L:$L,MATCH($D224,A_Type_Volume!$A:$A,0),1),IF($E224="VAM",INDEX(C_Type_Volume!$L:$L,MATCH($D224,C_Type_Volume!$A:$A,0),1),"X")),"")</f>
        <v>221152</v>
      </c>
      <c r="BK224" s="19">
        <f>IFERROR(IF($E224="REC",INDEX(A_Type_Volume!M:M,MATCH($D224,A_Type_Volume!$A:$A,0),1),IF($E224="VAM",INDEX(C_Type_Volume!M:M,MATCH($D224,C_Type_Volume!$A:$A,0),1),"X")),"")</f>
        <v>194547</v>
      </c>
      <c r="BL224" s="38">
        <f>SUM(Table1[[#This Row],[Jan_AVF]:[Dec_AVF]])</f>
        <v>3543594</v>
      </c>
      <c r="BM224" s="16">
        <f t="shared" si="190"/>
        <v>1657.835</v>
      </c>
      <c r="BN224" s="16">
        <f t="shared" si="191"/>
        <v>1714.385</v>
      </c>
      <c r="BO224" s="16">
        <f t="shared" si="192"/>
        <v>1975.865</v>
      </c>
      <c r="BP224" s="16">
        <f t="shared" si="193"/>
        <v>1404.25</v>
      </c>
      <c r="BQ224" s="16">
        <f t="shared" si="194"/>
        <v>1597.085</v>
      </c>
      <c r="BR224" s="16">
        <f t="shared" si="195"/>
        <v>1671.115</v>
      </c>
      <c r="BS224" s="16">
        <f t="shared" si="196"/>
        <v>1507.0550000000001</v>
      </c>
      <c r="BT224" s="16">
        <f t="shared" si="197"/>
        <v>1144.21</v>
      </c>
      <c r="BU224" s="16">
        <f t="shared" si="198"/>
        <v>1533.58</v>
      </c>
      <c r="BV224" s="16">
        <f t="shared" si="199"/>
        <v>1434.095</v>
      </c>
      <c r="BW224" s="16">
        <f t="shared" si="200"/>
        <v>1105.76</v>
      </c>
      <c r="BX224" s="16">
        <f t="shared" si="201"/>
        <v>972.73500000000001</v>
      </c>
      <c r="BY224" s="10">
        <f t="shared" si="168"/>
        <v>5348.085</v>
      </c>
      <c r="BZ224" s="10">
        <f t="shared" si="169"/>
        <v>4672.45</v>
      </c>
      <c r="CA224" s="10">
        <f t="shared" si="170"/>
        <v>4184.8450000000003</v>
      </c>
      <c r="CB224" s="10">
        <f t="shared" si="171"/>
        <v>3512.59</v>
      </c>
      <c r="CC224" s="10">
        <f>IFERROR(Table1[[#This Row],[Labor
Saving]]*Table1[[#This Row],[Annual Volume]],"")</f>
        <v>0</v>
      </c>
      <c r="CD224" s="10">
        <f>IFERROR(Table1[[#This Row],[Annual Volume]]*Table1[[#This Row],[Yield
Saving]],"")</f>
        <v>17717.97</v>
      </c>
      <c r="CE224" s="10">
        <f>IFERROR(Table1[[#This Row],[Annual Volume]]*Table1[[#This Row],[Material
Saving]],"")</f>
        <v>0</v>
      </c>
      <c r="CF224" s="10">
        <f>IFERROR(Table1[[#This Row],[OH
Saving]]*Table1[[#This Row],[Annual Volume]],"")</f>
        <v>0</v>
      </c>
      <c r="CG224" s="10">
        <f>SUM(Table1[[#This Row],[Labor_ASV]:[OH_ASV]])</f>
        <v>17717.97</v>
      </c>
    </row>
    <row r="225" spans="1:85" x14ac:dyDescent="0.3">
      <c r="A225" t="str">
        <f>Table1[[#This Row],[Project Name]]&amp;Table1[[#This Row],[Part Number]]</f>
        <v>Plasma Dry Etching TaNR67</v>
      </c>
      <c r="B225" t="str">
        <f>IFERROR(Table1[[#This Row],[Project Number]]&amp;Table1[[#This Row],[Part Number]],"")</f>
        <v>AME25-083R67</v>
      </c>
      <c r="C225" s="22" t="s">
        <v>130</v>
      </c>
      <c r="D225" s="24" t="s">
        <v>305</v>
      </c>
      <c r="E225" s="25" t="s">
        <v>58</v>
      </c>
      <c r="F225" s="6">
        <f>INDEX(Proj_Reg!G:G,MATCH($C225,Proj_Reg!$B:$B,0),1)</f>
        <v>45962</v>
      </c>
      <c r="G225" s="6">
        <f>INDEX(Proj_Reg!H:H,MATCH($C225,Proj_Reg!$B:$B,0),1)</f>
        <v>46296</v>
      </c>
      <c r="H225" s="6" t="str">
        <f>IF(INDEX(Proj_Reg!C:C,MATCH($C225,Proj_Reg!$B:$B,0),1)=0,"",INDEX(Proj_Reg!C:C,MATCH($C225,Proj_Reg!$B:$B,0),1))</f>
        <v>Wet Etching</v>
      </c>
      <c r="I225" s="6" t="str">
        <f>IF(INDEX(Proj_Reg!D:D,MATCH($C225,Proj_Reg!$B:$B,0),1)=0,"",INDEX(Proj_Reg!D:D,MATCH($C225,Proj_Reg!$B:$B,0),1))</f>
        <v>XWP</v>
      </c>
      <c r="J225" s="6" t="str">
        <f>INDEX(Proj_Reg!E:E,MATCH($C225,Proj_Reg!$B:$B,0),1)</f>
        <v>Plasma Dry Etching TaN</v>
      </c>
      <c r="K225" s="21">
        <v>0</v>
      </c>
      <c r="L225" s="21">
        <v>5.0000000000000001E-3</v>
      </c>
      <c r="M225" s="21">
        <v>0</v>
      </c>
      <c r="N225" s="21">
        <v>0</v>
      </c>
      <c r="O225" s="11">
        <f>SUM(Table1[[#This Row],[Labor
Saving]:[OH
Saving]])</f>
        <v>5.0000000000000001E-3</v>
      </c>
      <c r="Q225" s="40">
        <f t="shared" si="152"/>
        <v>350135</v>
      </c>
      <c r="R225" s="40">
        <f t="shared" si="153"/>
        <v>251443</v>
      </c>
      <c r="S225" s="40">
        <f t="shared" si="154"/>
        <v>342141</v>
      </c>
      <c r="T225" s="40">
        <f t="shared" si="155"/>
        <v>354371</v>
      </c>
      <c r="U225" s="40">
        <f t="shared" si="156"/>
        <v>405156</v>
      </c>
      <c r="V225" s="40">
        <f t="shared" si="157"/>
        <v>366126</v>
      </c>
      <c r="W225" s="40">
        <f t="shared" si="158"/>
        <v>384308</v>
      </c>
      <c r="X225" s="40">
        <f t="shared" si="159"/>
        <v>296642</v>
      </c>
      <c r="Y225" s="40">
        <f t="shared" si="160"/>
        <v>311156</v>
      </c>
      <c r="Z225" s="40">
        <f t="shared" si="161"/>
        <v>349965</v>
      </c>
      <c r="AA225" s="40">
        <f t="shared" si="162"/>
        <v>0</v>
      </c>
      <c r="AB225" s="40">
        <f t="shared" si="163"/>
        <v>0</v>
      </c>
      <c r="AC225" s="37">
        <f>SUM(Table1[[#This Row],[Jan]:[Dec]])</f>
        <v>3411443</v>
      </c>
      <c r="AD225" s="15">
        <f t="shared" si="172"/>
        <v>1750.675</v>
      </c>
      <c r="AE225" s="15">
        <f t="shared" si="173"/>
        <v>1257.2149999999999</v>
      </c>
      <c r="AF225" s="15">
        <f t="shared" si="174"/>
        <v>1710.7049999999999</v>
      </c>
      <c r="AG225" s="15">
        <f t="shared" si="175"/>
        <v>1771.855</v>
      </c>
      <c r="AH225" s="15">
        <f t="shared" si="176"/>
        <v>2025.78</v>
      </c>
      <c r="AI225" s="15">
        <f t="shared" si="177"/>
        <v>1830.63</v>
      </c>
      <c r="AJ225" s="15">
        <f t="shared" si="178"/>
        <v>1921.54</v>
      </c>
      <c r="AK225" s="15">
        <f t="shared" si="179"/>
        <v>1483.21</v>
      </c>
      <c r="AL225" s="15">
        <f t="shared" si="180"/>
        <v>1555.78</v>
      </c>
      <c r="AM225" s="15">
        <f t="shared" si="181"/>
        <v>1749.825</v>
      </c>
      <c r="AN225" s="15">
        <f t="shared" si="182"/>
        <v>0</v>
      </c>
      <c r="AO225" s="15">
        <f t="shared" si="183"/>
        <v>0</v>
      </c>
      <c r="AP225" s="10">
        <f t="shared" si="184"/>
        <v>4718.5949999999993</v>
      </c>
      <c r="AQ225" s="10">
        <f t="shared" si="185"/>
        <v>5628.2650000000003</v>
      </c>
      <c r="AR225" s="10">
        <f t="shared" si="186"/>
        <v>4960.53</v>
      </c>
      <c r="AS225" s="10">
        <f t="shared" si="187"/>
        <v>1749.825</v>
      </c>
      <c r="AT225" s="10" t="b">
        <f t="shared" si="188"/>
        <v>1</v>
      </c>
      <c r="AU225" s="10">
        <f t="shared" si="164"/>
        <v>0</v>
      </c>
      <c r="AV225" s="10">
        <f t="shared" si="165"/>
        <v>17057.215</v>
      </c>
      <c r="AW225" s="10">
        <f t="shared" si="166"/>
        <v>0</v>
      </c>
      <c r="AX225" s="10">
        <f t="shared" si="167"/>
        <v>0</v>
      </c>
      <c r="AY225" s="10">
        <f t="shared" si="189"/>
        <v>17057.215</v>
      </c>
      <c r="AZ225" s="19">
        <f>IFERROR(IF($E225="REC",INDEX(A_Type_Volume!$B:$B,MATCH($D225,A_Type_Volume!$A:$A,0),1),IF($E225="VAM",INDEX(C_Type_Volume!$B:$B,MATCH($D225,C_Type_Volume!$A:$A,0),1),"X")),"")</f>
        <v>350135</v>
      </c>
      <c r="BA225" s="19">
        <f>IFERROR(IF($E225="REC",INDEX(A_Type_Volume!$C:$C,MATCH($D225,A_Type_Volume!$A:$A,0),1),IF($E225="VAM",INDEX(C_Type_Volume!$C:$C,MATCH($D225,C_Type_Volume!$A:$A,0),1),"X")),"")</f>
        <v>251443</v>
      </c>
      <c r="BB225" s="19">
        <f>IFERROR(IF($E225="REC",INDEX(A_Type_Volume!$D:$D,MATCH($D225,A_Type_Volume!$A:$A,0),1),IF($E225="VAM",INDEX(C_Type_Volume!$D:$D,MATCH($D225,C_Type_Volume!$A:$A,0),1),"X")),"")</f>
        <v>342141</v>
      </c>
      <c r="BC225" s="19">
        <f>IFERROR(IF($E225="REC",INDEX(A_Type_Volume!$E:$E,MATCH($D225,A_Type_Volume!$A:$A,0),1),IF($E225="VAM",INDEX(C_Type_Volume!$E:$E,MATCH($D225,C_Type_Volume!$A:$A,0),1),"X")),"")</f>
        <v>354371</v>
      </c>
      <c r="BD225" s="19">
        <f>IFERROR(IF($E225="REC",INDEX(A_Type_Volume!$F:$F,MATCH($D225,A_Type_Volume!$A:$A,0),1),IF($E225="VAM",INDEX(C_Type_Volume!$F:$F,MATCH($D225,C_Type_Volume!$A:$A,0),1),"X")),"")</f>
        <v>405156</v>
      </c>
      <c r="BE225" s="19">
        <f>IFERROR(IF($E225="REC",INDEX(A_Type_Volume!$G:$G,MATCH($D225,A_Type_Volume!$A:$A,0),1),IF($E225="VAM",INDEX(C_Type_Volume!$G:$G,MATCH($D225,C_Type_Volume!$A:$A,0),1),"X")),"")</f>
        <v>366126</v>
      </c>
      <c r="BF225" s="19">
        <f>IFERROR(IF($E225="REC",INDEX(A_Type_Volume!$H:$H,MATCH($D225,A_Type_Volume!$A:$A,0),1),IF($E225="VAM",INDEX(C_Type_Volume!$H:$H,MATCH($D225,C_Type_Volume!$A:$A,0),1),"X")),"")</f>
        <v>384308</v>
      </c>
      <c r="BG225" s="19">
        <f>IFERROR(IF($E225="REC",INDEX(A_Type_Volume!$I:$I,MATCH($D225,A_Type_Volume!$A:$A,0),1),IF($E225="VAM",INDEX(C_Type_Volume!$I:$I,MATCH($D225,C_Type_Volume!$A:$A,0),1),"X")),"")</f>
        <v>296642</v>
      </c>
      <c r="BH225" s="19">
        <f>IFERROR(IF($E225="REC",INDEX(A_Type_Volume!$J:$J,MATCH($D225,A_Type_Volume!$A:$A,0),1),IF($E225="VAM",INDEX(C_Type_Volume!$J:$J,MATCH($D225,C_Type_Volume!$A:$A,0),1),"X")),"")</f>
        <v>311156</v>
      </c>
      <c r="BI225" s="19">
        <f>IFERROR(IF($E225="REC",INDEX(A_Type_Volume!$K:$K,MATCH($D225,A_Type_Volume!$A:$A,0),1),IF($E225="VAM",INDEX(C_Type_Volume!$K:$K,MATCH($D225,C_Type_Volume!$A:$A,0),1),"X")),"")</f>
        <v>349965</v>
      </c>
      <c r="BJ225" s="19">
        <f>IFERROR(IF($E225="REC",INDEX(A_Type_Volume!$L:$L,MATCH($D225,A_Type_Volume!$A:$A,0),1),IF($E225="VAM",INDEX(C_Type_Volume!$L:$L,MATCH($D225,C_Type_Volume!$A:$A,0),1),"X")),"")</f>
        <v>284831</v>
      </c>
      <c r="BK225" s="19">
        <f>IFERROR(IF($E225="REC",INDEX(A_Type_Volume!M:M,MATCH($D225,A_Type_Volume!$A:$A,0),1),IF($E225="VAM",INDEX(C_Type_Volume!M:M,MATCH($D225,C_Type_Volume!$A:$A,0),1),"X")),"")</f>
        <v>237378</v>
      </c>
      <c r="BL225" s="38">
        <f>SUM(Table1[[#This Row],[Jan_AVF]:[Dec_AVF]])</f>
        <v>3933652</v>
      </c>
      <c r="BM225" s="16">
        <f t="shared" si="190"/>
        <v>1750.675</v>
      </c>
      <c r="BN225" s="16">
        <f t="shared" si="191"/>
        <v>1257.2149999999999</v>
      </c>
      <c r="BO225" s="16">
        <f t="shared" si="192"/>
        <v>1710.7049999999999</v>
      </c>
      <c r="BP225" s="16">
        <f t="shared" si="193"/>
        <v>1771.855</v>
      </c>
      <c r="BQ225" s="16">
        <f t="shared" si="194"/>
        <v>2025.78</v>
      </c>
      <c r="BR225" s="16">
        <f t="shared" si="195"/>
        <v>1830.63</v>
      </c>
      <c r="BS225" s="16">
        <f t="shared" si="196"/>
        <v>1921.54</v>
      </c>
      <c r="BT225" s="16">
        <f t="shared" si="197"/>
        <v>1483.21</v>
      </c>
      <c r="BU225" s="16">
        <f t="shared" si="198"/>
        <v>1555.78</v>
      </c>
      <c r="BV225" s="16">
        <f t="shared" si="199"/>
        <v>1749.825</v>
      </c>
      <c r="BW225" s="16">
        <f t="shared" si="200"/>
        <v>1424.155</v>
      </c>
      <c r="BX225" s="16">
        <f t="shared" si="201"/>
        <v>1186.8900000000001</v>
      </c>
      <c r="BY225" s="10">
        <f t="shared" si="168"/>
        <v>4718.5949999999993</v>
      </c>
      <c r="BZ225" s="10">
        <f t="shared" si="169"/>
        <v>5628.2650000000003</v>
      </c>
      <c r="CA225" s="10">
        <f t="shared" si="170"/>
        <v>4960.53</v>
      </c>
      <c r="CB225" s="10">
        <f t="shared" si="171"/>
        <v>4360.87</v>
      </c>
      <c r="CC225" s="10">
        <f>IFERROR(Table1[[#This Row],[Labor
Saving]]*Table1[[#This Row],[Annual Volume]],"")</f>
        <v>0</v>
      </c>
      <c r="CD225" s="10">
        <f>IFERROR(Table1[[#This Row],[Annual Volume]]*Table1[[#This Row],[Yield
Saving]],"")</f>
        <v>19668.260000000002</v>
      </c>
      <c r="CE225" s="10">
        <f>IFERROR(Table1[[#This Row],[Annual Volume]]*Table1[[#This Row],[Material
Saving]],"")</f>
        <v>0</v>
      </c>
      <c r="CF225" s="10">
        <f>IFERROR(Table1[[#This Row],[OH
Saving]]*Table1[[#This Row],[Annual Volume]],"")</f>
        <v>0</v>
      </c>
      <c r="CG225" s="10">
        <f>SUM(Table1[[#This Row],[Labor_ASV]:[OH_ASV]])</f>
        <v>19668.260000000002</v>
      </c>
    </row>
    <row r="226" spans="1:85" x14ac:dyDescent="0.3">
      <c r="A226" t="str">
        <f>Table1[[#This Row],[Project Name]]&amp;Table1[[#This Row],[Part Number]]</f>
        <v>Plasma Dry Etching AuR70</v>
      </c>
      <c r="B226" t="str">
        <f>IFERROR(Table1[[#This Row],[Project Number]]&amp;Table1[[#This Row],[Part Number]],"")</f>
        <v>AME25-084R70</v>
      </c>
      <c r="C226" s="22" t="s">
        <v>131</v>
      </c>
      <c r="D226" s="24" t="s">
        <v>308</v>
      </c>
      <c r="E226" s="25" t="s">
        <v>58</v>
      </c>
      <c r="F226" s="6">
        <f>INDEX(Proj_Reg!G:G,MATCH($C226,Proj_Reg!$B:$B,0),1)</f>
        <v>46266</v>
      </c>
      <c r="G226" s="6">
        <f>INDEX(Proj_Reg!H:H,MATCH($C226,Proj_Reg!$B:$B,0),1)</f>
        <v>46600</v>
      </c>
      <c r="H226" s="6" t="str">
        <f>IF(INDEX(Proj_Reg!C:C,MATCH($C226,Proj_Reg!$B:$B,0),1)=0,"",INDEX(Proj_Reg!C:C,MATCH($C226,Proj_Reg!$B:$B,0),1))</f>
        <v>Wet Etching</v>
      </c>
      <c r="I226" s="6" t="str">
        <f>IF(INDEX(Proj_Reg!D:D,MATCH($C226,Proj_Reg!$B:$B,0),1)=0,"",INDEX(Proj_Reg!D:D,MATCH($C226,Proj_Reg!$B:$B,0),1))</f>
        <v>XWP</v>
      </c>
      <c r="J226" s="6" t="str">
        <f>INDEX(Proj_Reg!E:E,MATCH($C226,Proj_Reg!$B:$B,0),1)</f>
        <v>Plasma Dry Etching Au</v>
      </c>
      <c r="K226" s="21">
        <v>0</v>
      </c>
      <c r="L226" s="21">
        <v>5.0000000000000001E-3</v>
      </c>
      <c r="M226" s="21">
        <v>0</v>
      </c>
      <c r="N226" s="21">
        <v>0</v>
      </c>
      <c r="O226" s="11">
        <f>SUM(Table1[[#This Row],[Labor
Saving]:[OH
Saving]])</f>
        <v>5.0000000000000001E-3</v>
      </c>
      <c r="Q226" s="40">
        <f t="shared" si="152"/>
        <v>0</v>
      </c>
      <c r="R226" s="40">
        <f t="shared" si="153"/>
        <v>0</v>
      </c>
      <c r="S226" s="40">
        <f t="shared" si="154"/>
        <v>0</v>
      </c>
      <c r="T226" s="40">
        <f t="shared" si="155"/>
        <v>0</v>
      </c>
      <c r="U226" s="40">
        <f t="shared" si="156"/>
        <v>0</v>
      </c>
      <c r="V226" s="40">
        <f t="shared" si="157"/>
        <v>0</v>
      </c>
      <c r="W226" s="40">
        <f t="shared" si="158"/>
        <v>0</v>
      </c>
      <c r="X226" s="40">
        <f t="shared" si="159"/>
        <v>0</v>
      </c>
      <c r="Y226" s="40">
        <f t="shared" si="160"/>
        <v>360324.3</v>
      </c>
      <c r="Z226" s="40">
        <f t="shared" si="161"/>
        <v>474006</v>
      </c>
      <c r="AA226" s="40">
        <f t="shared" si="162"/>
        <v>390702</v>
      </c>
      <c r="AB226" s="40">
        <f t="shared" si="163"/>
        <v>296029</v>
      </c>
      <c r="AC226" s="37">
        <f>SUM(Table1[[#This Row],[Jan]:[Dec]])</f>
        <v>1521061.3</v>
      </c>
      <c r="AD226" s="15">
        <f t="shared" si="172"/>
        <v>0</v>
      </c>
      <c r="AE226" s="15">
        <f t="shared" si="173"/>
        <v>0</v>
      </c>
      <c r="AF226" s="15">
        <f t="shared" si="174"/>
        <v>0</v>
      </c>
      <c r="AG226" s="15">
        <f t="shared" si="175"/>
        <v>0</v>
      </c>
      <c r="AH226" s="15">
        <f t="shared" si="176"/>
        <v>0</v>
      </c>
      <c r="AI226" s="15">
        <f t="shared" si="177"/>
        <v>0</v>
      </c>
      <c r="AJ226" s="15">
        <f t="shared" si="178"/>
        <v>0</v>
      </c>
      <c r="AK226" s="15">
        <f t="shared" si="179"/>
        <v>0</v>
      </c>
      <c r="AL226" s="15">
        <f t="shared" si="180"/>
        <v>1801.6215</v>
      </c>
      <c r="AM226" s="15">
        <f t="shared" si="181"/>
        <v>2370.0300000000002</v>
      </c>
      <c r="AN226" s="15">
        <f t="shared" si="182"/>
        <v>1953.51</v>
      </c>
      <c r="AO226" s="15">
        <f t="shared" si="183"/>
        <v>1480.145</v>
      </c>
      <c r="AP226" s="10">
        <f t="shared" si="184"/>
        <v>0</v>
      </c>
      <c r="AQ226" s="10">
        <f t="shared" si="185"/>
        <v>0</v>
      </c>
      <c r="AR226" s="10">
        <f t="shared" si="186"/>
        <v>1801.6215</v>
      </c>
      <c r="AS226" s="10">
        <f t="shared" si="187"/>
        <v>5803.6849999999995</v>
      </c>
      <c r="AT226" s="10" t="b">
        <f t="shared" si="188"/>
        <v>1</v>
      </c>
      <c r="AU226" s="10">
        <f t="shared" si="164"/>
        <v>0</v>
      </c>
      <c r="AV226" s="10">
        <f t="shared" si="165"/>
        <v>7605.3065000000006</v>
      </c>
      <c r="AW226" s="10">
        <f t="shared" si="166"/>
        <v>0</v>
      </c>
      <c r="AX226" s="10">
        <f t="shared" si="167"/>
        <v>0</v>
      </c>
      <c r="AY226" s="10">
        <f t="shared" si="189"/>
        <v>7605.3065000000006</v>
      </c>
      <c r="AZ226" s="19">
        <f>IFERROR(IF($E226="REC",INDEX(A_Type_Volume!$B:$B,MATCH($D226,A_Type_Volume!$A:$A,0),1),IF($E226="VAM",INDEX(C_Type_Volume!$B:$B,MATCH($D226,C_Type_Volume!$A:$A,0),1),"X")),"")</f>
        <v>384618</v>
      </c>
      <c r="BA226" s="19">
        <f>IFERROR(IF($E226="REC",INDEX(A_Type_Volume!$C:$C,MATCH($D226,A_Type_Volume!$A:$A,0),1),IF($E226="VAM",INDEX(C_Type_Volume!$C:$C,MATCH($D226,C_Type_Volume!$A:$A,0),1),"X")),"")</f>
        <v>595954</v>
      </c>
      <c r="BB226" s="19">
        <f>IFERROR(IF($E226="REC",INDEX(A_Type_Volume!$D:$D,MATCH($D226,A_Type_Volume!$A:$A,0),1),IF($E226="VAM",INDEX(C_Type_Volume!$D:$D,MATCH($D226,C_Type_Volume!$A:$A,0),1),"X")),"")</f>
        <v>602169</v>
      </c>
      <c r="BC226" s="19">
        <f>IFERROR(IF($E226="REC",INDEX(A_Type_Volume!$E:$E,MATCH($D226,A_Type_Volume!$A:$A,0),1),IF($E226="VAM",INDEX(C_Type_Volume!$E:$E,MATCH($D226,C_Type_Volume!$A:$A,0),1),"X")),"")</f>
        <v>448478</v>
      </c>
      <c r="BD226" s="19">
        <f>IFERROR(IF($E226="REC",INDEX(A_Type_Volume!$F:$F,MATCH($D226,A_Type_Volume!$A:$A,0),1),IF($E226="VAM",INDEX(C_Type_Volume!$F:$F,MATCH($D226,C_Type_Volume!$A:$A,0),1),"X")),"")</f>
        <v>524517</v>
      </c>
      <c r="BE226" s="19">
        <f>IFERROR(IF($E226="REC",INDEX(A_Type_Volume!$G:$G,MATCH($D226,A_Type_Volume!$A:$A,0),1),IF($E226="VAM",INDEX(C_Type_Volume!$G:$G,MATCH($D226,C_Type_Volume!$A:$A,0),1),"X")),"")</f>
        <v>551468</v>
      </c>
      <c r="BF226" s="19">
        <f>IFERROR(IF($E226="REC",INDEX(A_Type_Volume!$H:$H,MATCH($D226,A_Type_Volume!$A:$A,0),1),IF($E226="VAM",INDEX(C_Type_Volume!$H:$H,MATCH($D226,C_Type_Volume!$A:$A,0),1),"X")),"")</f>
        <v>482587</v>
      </c>
      <c r="BG226" s="19">
        <f>IFERROR(IF($E226="REC",INDEX(A_Type_Volume!$I:$I,MATCH($D226,A_Type_Volume!$A:$A,0),1),IF($E226="VAM",INDEX(C_Type_Volume!$I:$I,MATCH($D226,C_Type_Volume!$A:$A,0),1),"X")),"")</f>
        <v>390302</v>
      </c>
      <c r="BH226" s="19">
        <f>IFERROR(IF($E226="REC",INDEX(A_Type_Volume!$J:$J,MATCH($D226,A_Type_Volume!$A:$A,0),1),IF($E226="VAM",INDEX(C_Type_Volume!$J:$J,MATCH($D226,C_Type_Volume!$A:$A,0),1),"X")),"")</f>
        <v>514749</v>
      </c>
      <c r="BI226" s="19">
        <f>IFERROR(IF($E226="REC",INDEX(A_Type_Volume!$K:$K,MATCH($D226,A_Type_Volume!$A:$A,0),1),IF($E226="VAM",INDEX(C_Type_Volume!$K:$K,MATCH($D226,C_Type_Volume!$A:$A,0),1),"X")),"")</f>
        <v>474006</v>
      </c>
      <c r="BJ226" s="19">
        <f>IFERROR(IF($E226="REC",INDEX(A_Type_Volume!$L:$L,MATCH($D226,A_Type_Volume!$A:$A,0),1),IF($E226="VAM",INDEX(C_Type_Volume!$L:$L,MATCH($D226,C_Type_Volume!$A:$A,0),1),"X")),"")</f>
        <v>390702</v>
      </c>
      <c r="BK226" s="19">
        <f>IFERROR(IF($E226="REC",INDEX(A_Type_Volume!M:M,MATCH($D226,A_Type_Volume!$A:$A,0),1),IF($E226="VAM",INDEX(C_Type_Volume!M:M,MATCH($D226,C_Type_Volume!$A:$A,0),1),"X")),"")</f>
        <v>296029</v>
      </c>
      <c r="BL226" s="38">
        <f>SUM(Table1[[#This Row],[Jan_AVF]:[Dec_AVF]])</f>
        <v>5655579</v>
      </c>
      <c r="BM226" s="16">
        <f t="shared" si="190"/>
        <v>1923.0900000000001</v>
      </c>
      <c r="BN226" s="16">
        <f t="shared" si="191"/>
        <v>2979.77</v>
      </c>
      <c r="BO226" s="16">
        <f t="shared" si="192"/>
        <v>3010.8450000000003</v>
      </c>
      <c r="BP226" s="16">
        <f t="shared" si="193"/>
        <v>2242.39</v>
      </c>
      <c r="BQ226" s="16">
        <f t="shared" si="194"/>
        <v>2622.585</v>
      </c>
      <c r="BR226" s="16">
        <f t="shared" si="195"/>
        <v>2757.34</v>
      </c>
      <c r="BS226" s="16">
        <f t="shared" si="196"/>
        <v>2412.9349999999999</v>
      </c>
      <c r="BT226" s="16">
        <f t="shared" si="197"/>
        <v>1951.51</v>
      </c>
      <c r="BU226" s="16">
        <f t="shared" si="198"/>
        <v>2573.7449999999999</v>
      </c>
      <c r="BV226" s="16">
        <f t="shared" si="199"/>
        <v>2370.0300000000002</v>
      </c>
      <c r="BW226" s="16">
        <f t="shared" si="200"/>
        <v>1953.51</v>
      </c>
      <c r="BX226" s="16">
        <f t="shared" si="201"/>
        <v>1480.145</v>
      </c>
      <c r="BY226" s="10">
        <f t="shared" si="168"/>
        <v>7913.7050000000008</v>
      </c>
      <c r="BZ226" s="10">
        <f t="shared" si="169"/>
        <v>7622.3150000000005</v>
      </c>
      <c r="CA226" s="10">
        <f t="shared" si="170"/>
        <v>6938.19</v>
      </c>
      <c r="CB226" s="10">
        <f t="shared" si="171"/>
        <v>5803.6849999999995</v>
      </c>
      <c r="CC226" s="10">
        <f>IFERROR(Table1[[#This Row],[Labor
Saving]]*Table1[[#This Row],[Annual Volume]],"")</f>
        <v>0</v>
      </c>
      <c r="CD226" s="10">
        <f>IFERROR(Table1[[#This Row],[Annual Volume]]*Table1[[#This Row],[Yield
Saving]],"")</f>
        <v>28277.895</v>
      </c>
      <c r="CE226" s="10">
        <f>IFERROR(Table1[[#This Row],[Annual Volume]]*Table1[[#This Row],[Material
Saving]],"")</f>
        <v>0</v>
      </c>
      <c r="CF226" s="10">
        <f>IFERROR(Table1[[#This Row],[OH
Saving]]*Table1[[#This Row],[Annual Volume]],"")</f>
        <v>0</v>
      </c>
      <c r="CG226" s="10">
        <f>SUM(Table1[[#This Row],[Labor_ASV]:[OH_ASV]])</f>
        <v>28277.895</v>
      </c>
    </row>
    <row r="227" spans="1:85" x14ac:dyDescent="0.3">
      <c r="A227" t="str">
        <f>Table1[[#This Row],[Project Name]]&amp;Table1[[#This Row],[Part Number]]</f>
        <v>Plasma Dry Etching AuR73</v>
      </c>
      <c r="B227" t="str">
        <f>IFERROR(Table1[[#This Row],[Project Number]]&amp;Table1[[#This Row],[Part Number]],"")</f>
        <v>AME25-084R73</v>
      </c>
      <c r="C227" s="22" t="s">
        <v>131</v>
      </c>
      <c r="D227" s="24" t="s">
        <v>311</v>
      </c>
      <c r="E227" s="25" t="s">
        <v>58</v>
      </c>
      <c r="F227" s="6">
        <f>INDEX(Proj_Reg!G:G,MATCH($C227,Proj_Reg!$B:$B,0),1)</f>
        <v>46266</v>
      </c>
      <c r="G227" s="6">
        <f>INDEX(Proj_Reg!H:H,MATCH($C227,Proj_Reg!$B:$B,0),1)</f>
        <v>46600</v>
      </c>
      <c r="H227" s="6" t="str">
        <f>IF(INDEX(Proj_Reg!C:C,MATCH($C227,Proj_Reg!$B:$B,0),1)=0,"",INDEX(Proj_Reg!C:C,MATCH($C227,Proj_Reg!$B:$B,0),1))</f>
        <v>Wet Etching</v>
      </c>
      <c r="I227" s="6" t="str">
        <f>IF(INDEX(Proj_Reg!D:D,MATCH($C227,Proj_Reg!$B:$B,0),1)=0,"",INDEX(Proj_Reg!D:D,MATCH($C227,Proj_Reg!$B:$B,0),1))</f>
        <v>XWP</v>
      </c>
      <c r="J227" s="6" t="str">
        <f>INDEX(Proj_Reg!E:E,MATCH($C227,Proj_Reg!$B:$B,0),1)</f>
        <v>Plasma Dry Etching Au</v>
      </c>
      <c r="K227" s="21">
        <v>0</v>
      </c>
      <c r="L227" s="21">
        <v>5.0000000000000001E-3</v>
      </c>
      <c r="M227" s="21">
        <v>0</v>
      </c>
      <c r="N227" s="21">
        <v>0</v>
      </c>
      <c r="O227" s="11">
        <f>SUM(Table1[[#This Row],[Labor
Saving]:[OH
Saving]])</f>
        <v>5.0000000000000001E-3</v>
      </c>
      <c r="Q227" s="40">
        <f t="shared" si="152"/>
        <v>0</v>
      </c>
      <c r="R227" s="40">
        <f t="shared" si="153"/>
        <v>0</v>
      </c>
      <c r="S227" s="40">
        <f t="shared" si="154"/>
        <v>0</v>
      </c>
      <c r="T227" s="40">
        <f t="shared" si="155"/>
        <v>0</v>
      </c>
      <c r="U227" s="40">
        <f t="shared" si="156"/>
        <v>0</v>
      </c>
      <c r="V227" s="40">
        <f t="shared" si="157"/>
        <v>0</v>
      </c>
      <c r="W227" s="40">
        <f t="shared" si="158"/>
        <v>0</v>
      </c>
      <c r="X227" s="40">
        <f t="shared" si="159"/>
        <v>0</v>
      </c>
      <c r="Y227" s="40">
        <f t="shared" si="160"/>
        <v>11388.3</v>
      </c>
      <c r="Z227" s="40">
        <f t="shared" si="161"/>
        <v>18417</v>
      </c>
      <c r="AA227" s="40">
        <f t="shared" si="162"/>
        <v>19289</v>
      </c>
      <c r="AB227" s="40">
        <f t="shared" si="163"/>
        <v>9041</v>
      </c>
      <c r="AC227" s="37">
        <f>SUM(Table1[[#This Row],[Jan]:[Dec]])</f>
        <v>58135.3</v>
      </c>
      <c r="AD227" s="15">
        <f t="shared" si="172"/>
        <v>0</v>
      </c>
      <c r="AE227" s="15">
        <f t="shared" si="173"/>
        <v>0</v>
      </c>
      <c r="AF227" s="15">
        <f t="shared" si="174"/>
        <v>0</v>
      </c>
      <c r="AG227" s="15">
        <f t="shared" si="175"/>
        <v>0</v>
      </c>
      <c r="AH227" s="15">
        <f t="shared" si="176"/>
        <v>0</v>
      </c>
      <c r="AI227" s="15">
        <f t="shared" si="177"/>
        <v>0</v>
      </c>
      <c r="AJ227" s="15">
        <f t="shared" si="178"/>
        <v>0</v>
      </c>
      <c r="AK227" s="15">
        <f t="shared" si="179"/>
        <v>0</v>
      </c>
      <c r="AL227" s="15">
        <f t="shared" si="180"/>
        <v>56.941499999999998</v>
      </c>
      <c r="AM227" s="15">
        <f t="shared" si="181"/>
        <v>92.085000000000008</v>
      </c>
      <c r="AN227" s="15">
        <f t="shared" si="182"/>
        <v>96.445000000000007</v>
      </c>
      <c r="AO227" s="15">
        <f t="shared" si="183"/>
        <v>45.204999999999998</v>
      </c>
      <c r="AP227" s="10">
        <f t="shared" si="184"/>
        <v>0</v>
      </c>
      <c r="AQ227" s="10">
        <f t="shared" si="185"/>
        <v>0</v>
      </c>
      <c r="AR227" s="10">
        <f t="shared" si="186"/>
        <v>56.941499999999998</v>
      </c>
      <c r="AS227" s="10">
        <f t="shared" si="187"/>
        <v>233.73500000000001</v>
      </c>
      <c r="AT227" s="10" t="b">
        <f t="shared" si="188"/>
        <v>1</v>
      </c>
      <c r="AU227" s="10">
        <f t="shared" si="164"/>
        <v>0</v>
      </c>
      <c r="AV227" s="10">
        <f t="shared" si="165"/>
        <v>290.67650000000003</v>
      </c>
      <c r="AW227" s="10">
        <f t="shared" si="166"/>
        <v>0</v>
      </c>
      <c r="AX227" s="10">
        <f t="shared" si="167"/>
        <v>0</v>
      </c>
      <c r="AY227" s="10">
        <f t="shared" si="189"/>
        <v>290.67650000000003</v>
      </c>
      <c r="AZ227" s="19">
        <f>IFERROR(IF($E227="REC",INDEX(A_Type_Volume!$B:$B,MATCH($D227,A_Type_Volume!$A:$A,0),1),IF($E227="VAM",INDEX(C_Type_Volume!$B:$B,MATCH($D227,C_Type_Volume!$A:$A,0),1),"X")),"")</f>
        <v>25199</v>
      </c>
      <c r="BA227" s="19">
        <f>IFERROR(IF($E227="REC",INDEX(A_Type_Volume!$C:$C,MATCH($D227,A_Type_Volume!$A:$A,0),1),IF($E227="VAM",INDEX(C_Type_Volume!$C:$C,MATCH($D227,C_Type_Volume!$A:$A,0),1),"X")),"")</f>
        <v>13062</v>
      </c>
      <c r="BB227" s="19">
        <f>IFERROR(IF($E227="REC",INDEX(A_Type_Volume!$D:$D,MATCH($D227,A_Type_Volume!$A:$A,0),1),IF($E227="VAM",INDEX(C_Type_Volume!$D:$D,MATCH($D227,C_Type_Volume!$A:$A,0),1),"X")),"")</f>
        <v>22239</v>
      </c>
      <c r="BC227" s="19">
        <f>IFERROR(IF($E227="REC",INDEX(A_Type_Volume!$E:$E,MATCH($D227,A_Type_Volume!$A:$A,0),1),IF($E227="VAM",INDEX(C_Type_Volume!$E:$E,MATCH($D227,C_Type_Volume!$A:$A,0),1),"X")),"")</f>
        <v>17939</v>
      </c>
      <c r="BD227" s="19">
        <f>IFERROR(IF($E227="REC",INDEX(A_Type_Volume!$F:$F,MATCH($D227,A_Type_Volume!$A:$A,0),1),IF($E227="VAM",INDEX(C_Type_Volume!$F:$F,MATCH($D227,C_Type_Volume!$A:$A,0),1),"X")),"")</f>
        <v>20510</v>
      </c>
      <c r="BE227" s="19">
        <f>IFERROR(IF($E227="REC",INDEX(A_Type_Volume!$G:$G,MATCH($D227,A_Type_Volume!$A:$A,0),1),IF($E227="VAM",INDEX(C_Type_Volume!$G:$G,MATCH($D227,C_Type_Volume!$A:$A,0),1),"X")),"")</f>
        <v>23168</v>
      </c>
      <c r="BF227" s="19">
        <f>IFERROR(IF($E227="REC",INDEX(A_Type_Volume!$H:$H,MATCH($D227,A_Type_Volume!$A:$A,0),1),IF($E227="VAM",INDEX(C_Type_Volume!$H:$H,MATCH($D227,C_Type_Volume!$A:$A,0),1),"X")),"")</f>
        <v>20094</v>
      </c>
      <c r="BG227" s="19">
        <f>IFERROR(IF($E227="REC",INDEX(A_Type_Volume!$I:$I,MATCH($D227,A_Type_Volume!$A:$A,0),1),IF($E227="VAM",INDEX(C_Type_Volume!$I:$I,MATCH($D227,C_Type_Volume!$A:$A,0),1),"X")),"")</f>
        <v>19388</v>
      </c>
      <c r="BH227" s="19">
        <f>IFERROR(IF($E227="REC",INDEX(A_Type_Volume!$J:$J,MATCH($D227,A_Type_Volume!$A:$A,0),1),IF($E227="VAM",INDEX(C_Type_Volume!$J:$J,MATCH($D227,C_Type_Volume!$A:$A,0),1),"X")),"")</f>
        <v>16269</v>
      </c>
      <c r="BI227" s="19">
        <f>IFERROR(IF($E227="REC",INDEX(A_Type_Volume!$K:$K,MATCH($D227,A_Type_Volume!$A:$A,0),1),IF($E227="VAM",INDEX(C_Type_Volume!$K:$K,MATCH($D227,C_Type_Volume!$A:$A,0),1),"X")),"")</f>
        <v>18417</v>
      </c>
      <c r="BJ227" s="19">
        <f>IFERROR(IF($E227="REC",INDEX(A_Type_Volume!$L:$L,MATCH($D227,A_Type_Volume!$A:$A,0),1),IF($E227="VAM",INDEX(C_Type_Volume!$L:$L,MATCH($D227,C_Type_Volume!$A:$A,0),1),"X")),"")</f>
        <v>19289</v>
      </c>
      <c r="BK227" s="19">
        <f>IFERROR(IF($E227="REC",INDEX(A_Type_Volume!M:M,MATCH($D227,A_Type_Volume!$A:$A,0),1),IF($E227="VAM",INDEX(C_Type_Volume!M:M,MATCH($D227,C_Type_Volume!$A:$A,0),1),"X")),"")</f>
        <v>9041</v>
      </c>
      <c r="BL227" s="38">
        <f>SUM(Table1[[#This Row],[Jan_AVF]:[Dec_AVF]])</f>
        <v>224615</v>
      </c>
      <c r="BM227" s="16">
        <f t="shared" si="190"/>
        <v>125.995</v>
      </c>
      <c r="BN227" s="16">
        <f t="shared" si="191"/>
        <v>65.31</v>
      </c>
      <c r="BO227" s="16">
        <f t="shared" si="192"/>
        <v>111.19500000000001</v>
      </c>
      <c r="BP227" s="16">
        <f t="shared" si="193"/>
        <v>89.695000000000007</v>
      </c>
      <c r="BQ227" s="16">
        <f t="shared" si="194"/>
        <v>102.55</v>
      </c>
      <c r="BR227" s="16">
        <f t="shared" si="195"/>
        <v>115.84</v>
      </c>
      <c r="BS227" s="16">
        <f t="shared" si="196"/>
        <v>100.47</v>
      </c>
      <c r="BT227" s="16">
        <f t="shared" si="197"/>
        <v>96.94</v>
      </c>
      <c r="BU227" s="16">
        <f t="shared" si="198"/>
        <v>81.344999999999999</v>
      </c>
      <c r="BV227" s="16">
        <f t="shared" si="199"/>
        <v>92.085000000000008</v>
      </c>
      <c r="BW227" s="16">
        <f t="shared" si="200"/>
        <v>96.445000000000007</v>
      </c>
      <c r="BX227" s="16">
        <f t="shared" si="201"/>
        <v>45.204999999999998</v>
      </c>
      <c r="BY227" s="10">
        <f t="shared" si="168"/>
        <v>302.5</v>
      </c>
      <c r="BZ227" s="10">
        <f t="shared" si="169"/>
        <v>308.08500000000004</v>
      </c>
      <c r="CA227" s="10">
        <f t="shared" si="170"/>
        <v>278.755</v>
      </c>
      <c r="CB227" s="10">
        <f t="shared" si="171"/>
        <v>233.73500000000001</v>
      </c>
      <c r="CC227" s="10">
        <f>IFERROR(Table1[[#This Row],[Labor
Saving]]*Table1[[#This Row],[Annual Volume]],"")</f>
        <v>0</v>
      </c>
      <c r="CD227" s="10">
        <f>IFERROR(Table1[[#This Row],[Annual Volume]]*Table1[[#This Row],[Yield
Saving]],"")</f>
        <v>1123.075</v>
      </c>
      <c r="CE227" s="10">
        <f>IFERROR(Table1[[#This Row],[Annual Volume]]*Table1[[#This Row],[Material
Saving]],"")</f>
        <v>0</v>
      </c>
      <c r="CF227" s="10">
        <f>IFERROR(Table1[[#This Row],[OH
Saving]]*Table1[[#This Row],[Annual Volume]],"")</f>
        <v>0</v>
      </c>
      <c r="CG227" s="10">
        <f>SUM(Table1[[#This Row],[Labor_ASV]:[OH_ASV]])</f>
        <v>1123.075</v>
      </c>
    </row>
    <row r="228" spans="1:85" x14ac:dyDescent="0.3">
      <c r="A228" t="str">
        <f>Table1[[#This Row],[Project Name]]&amp;Table1[[#This Row],[Part Number]]</f>
        <v>NiCr Target Supplier ZR186</v>
      </c>
      <c r="B228" t="str">
        <f>IFERROR(Table1[[#This Row],[Project Number]]&amp;Table1[[#This Row],[Part Number]],"")</f>
        <v>AME25-012R186</v>
      </c>
      <c r="C228" s="22" t="s">
        <v>72</v>
      </c>
      <c r="D228" s="24" t="s">
        <v>424</v>
      </c>
      <c r="E228" s="25" t="s">
        <v>58</v>
      </c>
      <c r="F228" s="6">
        <f>INDEX(Proj_Reg!G:G,MATCH($C228,Proj_Reg!$B:$B,0),1)</f>
        <v>46143</v>
      </c>
      <c r="G228" s="6">
        <f>INDEX(Proj_Reg!H:H,MATCH($C228,Proj_Reg!$B:$B,0),1)</f>
        <v>46478</v>
      </c>
      <c r="H228" s="6" t="str">
        <f>IF(INDEX(Proj_Reg!C:C,MATCH($C228,Proj_Reg!$B:$B,0),1)=0,"",INDEX(Proj_Reg!C:C,MATCH($C228,Proj_Reg!$B:$B,0),1))</f>
        <v>Sputtering</v>
      </c>
      <c r="I228" s="6" t="str">
        <f>IF(INDEX(Proj_Reg!D:D,MATCH($C228,Proj_Reg!$B:$B,0),1)=0,"",INDEX(Proj_Reg!D:D,MATCH($C228,Proj_Reg!$B:$B,0),1))</f>
        <v>XWP</v>
      </c>
      <c r="J228" s="6" t="str">
        <f>INDEX(Proj_Reg!E:E,MATCH($C228,Proj_Reg!$B:$B,0),1)</f>
        <v>NiCr Target Supplier Z</v>
      </c>
      <c r="K228" s="21">
        <v>0</v>
      </c>
      <c r="L228" s="21">
        <v>5.0000000000000001E-3</v>
      </c>
      <c r="M228" s="21">
        <v>0</v>
      </c>
      <c r="N228" s="21">
        <v>0</v>
      </c>
      <c r="O228" s="11">
        <f>SUM(Table1[[#This Row],[Labor
Saving]:[OH
Saving]])</f>
        <v>5.0000000000000001E-3</v>
      </c>
      <c r="Q228" s="40">
        <f t="shared" si="152"/>
        <v>0</v>
      </c>
      <c r="R228" s="40">
        <f t="shared" si="153"/>
        <v>0</v>
      </c>
      <c r="S228" s="40">
        <f t="shared" si="154"/>
        <v>0</v>
      </c>
      <c r="T228" s="40">
        <f t="shared" si="155"/>
        <v>0</v>
      </c>
      <c r="U228" s="40">
        <f t="shared" si="156"/>
        <v>0</v>
      </c>
      <c r="V228" s="40">
        <f t="shared" si="157"/>
        <v>0</v>
      </c>
      <c r="W228" s="40">
        <f t="shared" si="158"/>
        <v>0</v>
      </c>
      <c r="X228" s="40">
        <f t="shared" si="159"/>
        <v>0</v>
      </c>
      <c r="Y228" s="40">
        <f t="shared" si="160"/>
        <v>0</v>
      </c>
      <c r="Z228" s="40">
        <f t="shared" si="161"/>
        <v>0</v>
      </c>
      <c r="AA228" s="40">
        <f t="shared" si="162"/>
        <v>0</v>
      </c>
      <c r="AB228" s="40">
        <f t="shared" si="163"/>
        <v>0</v>
      </c>
      <c r="AC228" s="37">
        <f>SUM(Table1[[#This Row],[Jan]:[Dec]])</f>
        <v>0</v>
      </c>
      <c r="AD228" s="15">
        <f t="shared" si="172"/>
        <v>0</v>
      </c>
      <c r="AE228" s="15">
        <f t="shared" si="173"/>
        <v>0</v>
      </c>
      <c r="AF228" s="15">
        <f t="shared" si="174"/>
        <v>0</v>
      </c>
      <c r="AG228" s="15">
        <f t="shared" si="175"/>
        <v>0</v>
      </c>
      <c r="AH228" s="15">
        <f t="shared" si="176"/>
        <v>0</v>
      </c>
      <c r="AI228" s="15">
        <f t="shared" si="177"/>
        <v>0</v>
      </c>
      <c r="AJ228" s="15">
        <f t="shared" si="178"/>
        <v>0</v>
      </c>
      <c r="AK228" s="15">
        <f t="shared" si="179"/>
        <v>0</v>
      </c>
      <c r="AL228" s="15">
        <f t="shared" si="180"/>
        <v>0</v>
      </c>
      <c r="AM228" s="15">
        <f t="shared" si="181"/>
        <v>0</v>
      </c>
      <c r="AN228" s="15">
        <f t="shared" si="182"/>
        <v>0</v>
      </c>
      <c r="AO228" s="15">
        <f t="shared" si="183"/>
        <v>0</v>
      </c>
      <c r="AP228" s="10">
        <f t="shared" si="184"/>
        <v>0</v>
      </c>
      <c r="AQ228" s="10">
        <f t="shared" si="185"/>
        <v>0</v>
      </c>
      <c r="AR228" s="10">
        <f t="shared" si="186"/>
        <v>0</v>
      </c>
      <c r="AS228" s="10">
        <f t="shared" si="187"/>
        <v>0</v>
      </c>
      <c r="AT228" s="10" t="b">
        <f t="shared" si="188"/>
        <v>1</v>
      </c>
      <c r="AU228" s="10">
        <f t="shared" si="164"/>
        <v>0</v>
      </c>
      <c r="AV228" s="10">
        <f t="shared" si="165"/>
        <v>0</v>
      </c>
      <c r="AW228" s="10">
        <f t="shared" si="166"/>
        <v>0</v>
      </c>
      <c r="AX228" s="10">
        <f t="shared" si="167"/>
        <v>0</v>
      </c>
      <c r="AY228" s="10">
        <f t="shared" si="189"/>
        <v>0</v>
      </c>
      <c r="AZ228" s="19">
        <f>IFERROR(IF($E228="REC",INDEX(A_Type_Volume!$B:$B,MATCH($D228,A_Type_Volume!$A:$A,0),1),IF($E228="VAM",INDEX(C_Type_Volume!$B:$B,MATCH($D228,C_Type_Volume!$A:$A,0),1),"X")),"")</f>
        <v>0</v>
      </c>
      <c r="BA228" s="19">
        <f>IFERROR(IF($E228="REC",INDEX(A_Type_Volume!$C:$C,MATCH($D228,A_Type_Volume!$A:$A,0),1),IF($E228="VAM",INDEX(C_Type_Volume!$C:$C,MATCH($D228,C_Type_Volume!$A:$A,0),1),"X")),"")</f>
        <v>0</v>
      </c>
      <c r="BB228" s="19">
        <f>IFERROR(IF($E228="REC",INDEX(A_Type_Volume!$D:$D,MATCH($D228,A_Type_Volume!$A:$A,0),1),IF($E228="VAM",INDEX(C_Type_Volume!$D:$D,MATCH($D228,C_Type_Volume!$A:$A,0),1),"X")),"")</f>
        <v>0</v>
      </c>
      <c r="BC228" s="19">
        <f>IFERROR(IF($E228="REC",INDEX(A_Type_Volume!$E:$E,MATCH($D228,A_Type_Volume!$A:$A,0),1),IF($E228="VAM",INDEX(C_Type_Volume!$E:$E,MATCH($D228,C_Type_Volume!$A:$A,0),1),"X")),"")</f>
        <v>0</v>
      </c>
      <c r="BD228" s="19">
        <f>IFERROR(IF($E228="REC",INDEX(A_Type_Volume!$F:$F,MATCH($D228,A_Type_Volume!$A:$A,0),1),IF($E228="VAM",INDEX(C_Type_Volume!$F:$F,MATCH($D228,C_Type_Volume!$A:$A,0),1),"X")),"")</f>
        <v>0</v>
      </c>
      <c r="BE228" s="19">
        <f>IFERROR(IF($E228="REC",INDEX(A_Type_Volume!$G:$G,MATCH($D228,A_Type_Volume!$A:$A,0),1),IF($E228="VAM",INDEX(C_Type_Volume!$G:$G,MATCH($D228,C_Type_Volume!$A:$A,0),1),"X")),"")</f>
        <v>0</v>
      </c>
      <c r="BF228" s="19">
        <f>IFERROR(IF($E228="REC",INDEX(A_Type_Volume!$H:$H,MATCH($D228,A_Type_Volume!$A:$A,0),1),IF($E228="VAM",INDEX(C_Type_Volume!$H:$H,MATCH($D228,C_Type_Volume!$A:$A,0),1),"X")),"")</f>
        <v>0</v>
      </c>
      <c r="BG228" s="19">
        <f>IFERROR(IF($E228="REC",INDEX(A_Type_Volume!$I:$I,MATCH($D228,A_Type_Volume!$A:$A,0),1),IF($E228="VAM",INDEX(C_Type_Volume!$I:$I,MATCH($D228,C_Type_Volume!$A:$A,0),1),"X")),"")</f>
        <v>0</v>
      </c>
      <c r="BH228" s="19">
        <f>IFERROR(IF($E228="REC",INDEX(A_Type_Volume!$J:$J,MATCH($D228,A_Type_Volume!$A:$A,0),1),IF($E228="VAM",INDEX(C_Type_Volume!$J:$J,MATCH($D228,C_Type_Volume!$A:$A,0),1),"X")),"")</f>
        <v>0</v>
      </c>
      <c r="BI228" s="19">
        <f>IFERROR(IF($E228="REC",INDEX(A_Type_Volume!$K:$K,MATCH($D228,A_Type_Volume!$A:$A,0),1),IF($E228="VAM",INDEX(C_Type_Volume!$K:$K,MATCH($D228,C_Type_Volume!$A:$A,0),1),"X")),"")</f>
        <v>0</v>
      </c>
      <c r="BJ228" s="19">
        <f>IFERROR(IF($E228="REC",INDEX(A_Type_Volume!$L:$L,MATCH($D228,A_Type_Volume!$A:$A,0),1),IF($E228="VAM",INDEX(C_Type_Volume!$L:$L,MATCH($D228,C_Type_Volume!$A:$A,0),1),"X")),"")</f>
        <v>0</v>
      </c>
      <c r="BK228" s="19">
        <f>IFERROR(IF($E228="REC",INDEX(A_Type_Volume!M:M,MATCH($D228,A_Type_Volume!$A:$A,0),1),IF($E228="VAM",INDEX(C_Type_Volume!M:M,MATCH($D228,C_Type_Volume!$A:$A,0),1),"X")),"")</f>
        <v>0</v>
      </c>
      <c r="BL228" s="38">
        <f>SUM(Table1[[#This Row],[Jan_AVF]:[Dec_AVF]])</f>
        <v>0</v>
      </c>
      <c r="BM228" s="16">
        <f t="shared" si="190"/>
        <v>0</v>
      </c>
      <c r="BN228" s="16">
        <f t="shared" si="191"/>
        <v>0</v>
      </c>
      <c r="BO228" s="16">
        <f t="shared" si="192"/>
        <v>0</v>
      </c>
      <c r="BP228" s="16">
        <f t="shared" si="193"/>
        <v>0</v>
      </c>
      <c r="BQ228" s="16">
        <f t="shared" si="194"/>
        <v>0</v>
      </c>
      <c r="BR228" s="16">
        <f t="shared" si="195"/>
        <v>0</v>
      </c>
      <c r="BS228" s="16">
        <f t="shared" si="196"/>
        <v>0</v>
      </c>
      <c r="BT228" s="16">
        <f t="shared" si="197"/>
        <v>0</v>
      </c>
      <c r="BU228" s="16">
        <f t="shared" si="198"/>
        <v>0</v>
      </c>
      <c r="BV228" s="16">
        <f t="shared" si="199"/>
        <v>0</v>
      </c>
      <c r="BW228" s="16">
        <f t="shared" si="200"/>
        <v>0</v>
      </c>
      <c r="BX228" s="16">
        <f t="shared" si="201"/>
        <v>0</v>
      </c>
      <c r="BY228" s="10">
        <f t="shared" si="168"/>
        <v>0</v>
      </c>
      <c r="BZ228" s="10">
        <f t="shared" si="169"/>
        <v>0</v>
      </c>
      <c r="CA228" s="10">
        <f t="shared" si="170"/>
        <v>0</v>
      </c>
      <c r="CB228" s="10">
        <f t="shared" si="171"/>
        <v>0</v>
      </c>
      <c r="CC228" s="10">
        <f>IFERROR(Table1[[#This Row],[Labor
Saving]]*Table1[[#This Row],[Annual Volume]],"")</f>
        <v>0</v>
      </c>
      <c r="CD228" s="10">
        <f>IFERROR(Table1[[#This Row],[Annual Volume]]*Table1[[#This Row],[Yield
Saving]],"")</f>
        <v>0</v>
      </c>
      <c r="CE228" s="10">
        <f>IFERROR(Table1[[#This Row],[Annual Volume]]*Table1[[#This Row],[Material
Saving]],"")</f>
        <v>0</v>
      </c>
      <c r="CF228" s="10">
        <f>IFERROR(Table1[[#This Row],[OH
Saving]]*Table1[[#This Row],[Annual Volume]],"")</f>
        <v>0</v>
      </c>
      <c r="CG228" s="10">
        <f>SUM(Table1[[#This Row],[Labor_ASV]:[OH_ASV]])</f>
        <v>0</v>
      </c>
    </row>
    <row r="229" spans="1:85" x14ac:dyDescent="0.3">
      <c r="A229" t="str">
        <f>Table1[[#This Row],[Project Name]]&amp;Table1[[#This Row],[Part Number]]</f>
        <v>NiCr Target Supplier ZR146</v>
      </c>
      <c r="B229" t="str">
        <f>IFERROR(Table1[[#This Row],[Project Number]]&amp;Table1[[#This Row],[Part Number]],"")</f>
        <v>AME25-012R146</v>
      </c>
      <c r="C229" s="22" t="s">
        <v>72</v>
      </c>
      <c r="D229" s="24" t="s">
        <v>384</v>
      </c>
      <c r="E229" s="25" t="s">
        <v>58</v>
      </c>
      <c r="F229" s="6">
        <f>INDEX(Proj_Reg!G:G,MATCH($C229,Proj_Reg!$B:$B,0),1)</f>
        <v>46143</v>
      </c>
      <c r="G229" s="6">
        <f>INDEX(Proj_Reg!H:H,MATCH($C229,Proj_Reg!$B:$B,0),1)</f>
        <v>46478</v>
      </c>
      <c r="H229" s="6" t="str">
        <f>IF(INDEX(Proj_Reg!C:C,MATCH($C229,Proj_Reg!$B:$B,0),1)=0,"",INDEX(Proj_Reg!C:C,MATCH($C229,Proj_Reg!$B:$B,0),1))</f>
        <v>Sputtering</v>
      </c>
      <c r="I229" s="6" t="str">
        <f>IF(INDEX(Proj_Reg!D:D,MATCH($C229,Proj_Reg!$B:$B,0),1)=0,"",INDEX(Proj_Reg!D:D,MATCH($C229,Proj_Reg!$B:$B,0),1))</f>
        <v>XWP</v>
      </c>
      <c r="J229" s="6" t="str">
        <f>INDEX(Proj_Reg!E:E,MATCH($C229,Proj_Reg!$B:$B,0),1)</f>
        <v>NiCr Target Supplier Z</v>
      </c>
      <c r="K229" s="21">
        <v>2.9679576000000006E-2</v>
      </c>
      <c r="L229" s="21">
        <v>0</v>
      </c>
      <c r="M229" s="21">
        <v>7.6734143981500016E-3</v>
      </c>
      <c r="N229" s="21">
        <v>0</v>
      </c>
      <c r="O229" s="11">
        <f>SUM(Table1[[#This Row],[Labor
Saving]:[OH
Saving]])</f>
        <v>3.7352990398150009E-2</v>
      </c>
      <c r="Q229" s="40">
        <f t="shared" si="152"/>
        <v>0</v>
      </c>
      <c r="R229" s="40">
        <f t="shared" si="153"/>
        <v>0</v>
      </c>
      <c r="S229" s="40">
        <f t="shared" si="154"/>
        <v>0</v>
      </c>
      <c r="T229" s="40">
        <f t="shared" si="155"/>
        <v>0</v>
      </c>
      <c r="U229" s="40">
        <f t="shared" si="156"/>
        <v>24087.599999999999</v>
      </c>
      <c r="V229" s="40">
        <f t="shared" si="157"/>
        <v>80924</v>
      </c>
      <c r="W229" s="40">
        <f t="shared" si="158"/>
        <v>52404</v>
      </c>
      <c r="X229" s="40">
        <f t="shared" si="159"/>
        <v>25924</v>
      </c>
      <c r="Y229" s="40">
        <f t="shared" si="160"/>
        <v>29848</v>
      </c>
      <c r="Z229" s="40">
        <f t="shared" si="161"/>
        <v>29502</v>
      </c>
      <c r="AA229" s="40">
        <f t="shared" si="162"/>
        <v>24168</v>
      </c>
      <c r="AB229" s="40">
        <f t="shared" si="163"/>
        <v>17319</v>
      </c>
      <c r="AC229" s="37">
        <f>SUM(Table1[[#This Row],[Jan]:[Dec]])</f>
        <v>284176.59999999998</v>
      </c>
      <c r="AD229" s="15">
        <f t="shared" si="172"/>
        <v>0</v>
      </c>
      <c r="AE229" s="15">
        <f t="shared" si="173"/>
        <v>0</v>
      </c>
      <c r="AF229" s="15">
        <f t="shared" si="174"/>
        <v>0</v>
      </c>
      <c r="AG229" s="15">
        <f t="shared" si="175"/>
        <v>0</v>
      </c>
      <c r="AH229" s="15">
        <f t="shared" si="176"/>
        <v>899.74389151447804</v>
      </c>
      <c r="AI229" s="15">
        <f t="shared" si="177"/>
        <v>3022.7533949798913</v>
      </c>
      <c r="AJ229" s="15">
        <f t="shared" si="178"/>
        <v>1957.446108824653</v>
      </c>
      <c r="AK229" s="15">
        <f t="shared" si="179"/>
        <v>968.33892308164081</v>
      </c>
      <c r="AL229" s="15">
        <f t="shared" si="180"/>
        <v>1114.9120574039814</v>
      </c>
      <c r="AM229" s="15">
        <f t="shared" si="181"/>
        <v>1101.9879227262215</v>
      </c>
      <c r="AN229" s="15">
        <f t="shared" si="182"/>
        <v>902.74707194248936</v>
      </c>
      <c r="AO229" s="15">
        <f t="shared" si="183"/>
        <v>646.91644070556003</v>
      </c>
      <c r="AP229" s="10">
        <f t="shared" si="184"/>
        <v>0</v>
      </c>
      <c r="AQ229" s="10">
        <f t="shared" si="185"/>
        <v>3922.4972864943693</v>
      </c>
      <c r="AR229" s="10">
        <f t="shared" si="186"/>
        <v>4040.6970893102753</v>
      </c>
      <c r="AS229" s="10">
        <f t="shared" si="187"/>
        <v>2651.6514353742709</v>
      </c>
      <c r="AT229" s="10" t="b">
        <f t="shared" si="188"/>
        <v>1</v>
      </c>
      <c r="AU229" s="10">
        <f t="shared" si="164"/>
        <v>8434.2409971216002</v>
      </c>
      <c r="AV229" s="10">
        <f t="shared" si="165"/>
        <v>0</v>
      </c>
      <c r="AW229" s="10">
        <f t="shared" si="166"/>
        <v>2180.6048140573134</v>
      </c>
      <c r="AX229" s="10">
        <f t="shared" si="167"/>
        <v>0</v>
      </c>
      <c r="AY229" s="10">
        <f t="shared" si="189"/>
        <v>10614.845811178913</v>
      </c>
      <c r="AZ229" s="19">
        <f>IFERROR(IF($E229="REC",INDEX(A_Type_Volume!$B:$B,MATCH($D229,A_Type_Volume!$A:$A,0),1),IF($E229="VAM",INDEX(C_Type_Volume!$B:$B,MATCH($D229,C_Type_Volume!$A:$A,0),1),"X")),"")</f>
        <v>89055</v>
      </c>
      <c r="BA229" s="19">
        <f>IFERROR(IF($E229="REC",INDEX(A_Type_Volume!$C:$C,MATCH($D229,A_Type_Volume!$A:$A,0),1),IF($E229="VAM",INDEX(C_Type_Volume!$C:$C,MATCH($D229,C_Type_Volume!$A:$A,0),1),"X")),"")</f>
        <v>74118</v>
      </c>
      <c r="BB229" s="19">
        <f>IFERROR(IF($E229="REC",INDEX(A_Type_Volume!$D:$D,MATCH($D229,A_Type_Volume!$A:$A,0),1),IF($E229="VAM",INDEX(C_Type_Volume!$D:$D,MATCH($D229,C_Type_Volume!$A:$A,0),1),"X")),"")</f>
        <v>73991</v>
      </c>
      <c r="BC229" s="19">
        <f>IFERROR(IF($E229="REC",INDEX(A_Type_Volume!$E:$E,MATCH($D229,A_Type_Volume!$A:$A,0),1),IF($E229="VAM",INDEX(C_Type_Volume!$E:$E,MATCH($D229,C_Type_Volume!$A:$A,0),1),"X")),"")</f>
        <v>81386</v>
      </c>
      <c r="BD229" s="19">
        <f>IFERROR(IF($E229="REC",INDEX(A_Type_Volume!$F:$F,MATCH($D229,A_Type_Volume!$A:$A,0),1),IF($E229="VAM",INDEX(C_Type_Volume!$F:$F,MATCH($D229,C_Type_Volume!$A:$A,0),1),"X")),"")</f>
        <v>80292</v>
      </c>
      <c r="BE229" s="19">
        <f>IFERROR(IF($E229="REC",INDEX(A_Type_Volume!$G:$G,MATCH($D229,A_Type_Volume!$A:$A,0),1),IF($E229="VAM",INDEX(C_Type_Volume!$G:$G,MATCH($D229,C_Type_Volume!$A:$A,0),1),"X")),"")</f>
        <v>80924</v>
      </c>
      <c r="BF229" s="19">
        <f>IFERROR(IF($E229="REC",INDEX(A_Type_Volume!$H:$H,MATCH($D229,A_Type_Volume!$A:$A,0),1),IF($E229="VAM",INDEX(C_Type_Volume!$H:$H,MATCH($D229,C_Type_Volume!$A:$A,0),1),"X")),"")</f>
        <v>52404</v>
      </c>
      <c r="BG229" s="19">
        <f>IFERROR(IF($E229="REC",INDEX(A_Type_Volume!$I:$I,MATCH($D229,A_Type_Volume!$A:$A,0),1),IF($E229="VAM",INDEX(C_Type_Volume!$I:$I,MATCH($D229,C_Type_Volume!$A:$A,0),1),"X")),"")</f>
        <v>25924</v>
      </c>
      <c r="BH229" s="19">
        <f>IFERROR(IF($E229="REC",INDEX(A_Type_Volume!$J:$J,MATCH($D229,A_Type_Volume!$A:$A,0),1),IF($E229="VAM",INDEX(C_Type_Volume!$J:$J,MATCH($D229,C_Type_Volume!$A:$A,0),1),"X")),"")</f>
        <v>29848</v>
      </c>
      <c r="BI229" s="19">
        <f>IFERROR(IF($E229="REC",INDEX(A_Type_Volume!$K:$K,MATCH($D229,A_Type_Volume!$A:$A,0),1),IF($E229="VAM",INDEX(C_Type_Volume!$K:$K,MATCH($D229,C_Type_Volume!$A:$A,0),1),"X")),"")</f>
        <v>29502</v>
      </c>
      <c r="BJ229" s="19">
        <f>IFERROR(IF($E229="REC",INDEX(A_Type_Volume!$L:$L,MATCH($D229,A_Type_Volume!$A:$A,0),1),IF($E229="VAM",INDEX(C_Type_Volume!$L:$L,MATCH($D229,C_Type_Volume!$A:$A,0),1),"X")),"")</f>
        <v>24168</v>
      </c>
      <c r="BK229" s="19">
        <f>IFERROR(IF($E229="REC",INDEX(A_Type_Volume!M:M,MATCH($D229,A_Type_Volume!$A:$A,0),1),IF($E229="VAM",INDEX(C_Type_Volume!M:M,MATCH($D229,C_Type_Volume!$A:$A,0),1),"X")),"")</f>
        <v>17319</v>
      </c>
      <c r="BL229" s="38">
        <f>SUM(Table1[[#This Row],[Jan_AVF]:[Dec_AVF]])</f>
        <v>658931</v>
      </c>
      <c r="BM229" s="16">
        <f t="shared" si="190"/>
        <v>3326.470559907249</v>
      </c>
      <c r="BN229" s="16">
        <f t="shared" si="191"/>
        <v>2768.5289423300824</v>
      </c>
      <c r="BO229" s="16">
        <f t="shared" si="192"/>
        <v>2763.7851125495172</v>
      </c>
      <c r="BP229" s="16">
        <f t="shared" si="193"/>
        <v>3040.0104765438364</v>
      </c>
      <c r="BQ229" s="16">
        <f t="shared" si="194"/>
        <v>2999.1463050482603</v>
      </c>
      <c r="BR229" s="16">
        <f t="shared" si="195"/>
        <v>3022.7533949798913</v>
      </c>
      <c r="BS229" s="16">
        <f t="shared" si="196"/>
        <v>1957.446108824653</v>
      </c>
      <c r="BT229" s="16">
        <f t="shared" si="197"/>
        <v>968.33892308164081</v>
      </c>
      <c r="BU229" s="16">
        <f t="shared" si="198"/>
        <v>1114.9120574039814</v>
      </c>
      <c r="BV229" s="16">
        <f t="shared" si="199"/>
        <v>1101.9879227262215</v>
      </c>
      <c r="BW229" s="16">
        <f t="shared" si="200"/>
        <v>902.74707194248936</v>
      </c>
      <c r="BX229" s="16">
        <f t="shared" si="201"/>
        <v>646.91644070556003</v>
      </c>
      <c r="BY229" s="10">
        <f t="shared" si="168"/>
        <v>8858.7846147868477</v>
      </c>
      <c r="BZ229" s="10">
        <f t="shared" si="169"/>
        <v>9061.9101765719879</v>
      </c>
      <c r="CA229" s="10">
        <f t="shared" si="170"/>
        <v>4040.6970893102753</v>
      </c>
      <c r="CB229" s="10">
        <f t="shared" si="171"/>
        <v>2651.6514353742709</v>
      </c>
      <c r="CC229" s="10">
        <f>IFERROR(Table1[[#This Row],[Labor
Saving]]*Table1[[#This Row],[Annual Volume]],"")</f>
        <v>19556.792693256004</v>
      </c>
      <c r="CD229" s="10">
        <f>IFERROR(Table1[[#This Row],[Annual Volume]]*Table1[[#This Row],[Yield
Saving]],"")</f>
        <v>0</v>
      </c>
      <c r="CE229" s="10">
        <f>IFERROR(Table1[[#This Row],[Annual Volume]]*Table1[[#This Row],[Material
Saving]],"")</f>
        <v>5056.2506227873791</v>
      </c>
      <c r="CF229" s="10">
        <f>IFERROR(Table1[[#This Row],[OH
Saving]]*Table1[[#This Row],[Annual Volume]],"")</f>
        <v>0</v>
      </c>
      <c r="CG229" s="10">
        <f>SUM(Table1[[#This Row],[Labor_ASV]:[OH_ASV]])</f>
        <v>24613.043316043382</v>
      </c>
    </row>
    <row r="230" spans="1:85" x14ac:dyDescent="0.3">
      <c r="A230" t="str">
        <f>Table1[[#This Row],[Project Name]]&amp;Table1[[#This Row],[Part Number]]</f>
        <v>Pt Target Thickness ReductionR87</v>
      </c>
      <c r="B230" t="str">
        <f>IFERROR(Table1[[#This Row],[Project Number]]&amp;Table1[[#This Row],[Part Number]],"")</f>
        <v>AME25-085R87</v>
      </c>
      <c r="C230" s="22" t="s">
        <v>132</v>
      </c>
      <c r="D230" s="24" t="s">
        <v>325</v>
      </c>
      <c r="E230" s="25" t="s">
        <v>58</v>
      </c>
      <c r="F230" s="6">
        <f>INDEX(Proj_Reg!G:G,MATCH($C230,Proj_Reg!$B:$B,0),1)</f>
        <v>46204</v>
      </c>
      <c r="G230" s="6">
        <f>INDEX(Proj_Reg!H:H,MATCH($C230,Proj_Reg!$B:$B,0),1)</f>
        <v>46539</v>
      </c>
      <c r="H230" s="6" t="str">
        <f>IF(INDEX(Proj_Reg!C:C,MATCH($C230,Proj_Reg!$B:$B,0),1)=0,"",INDEX(Proj_Reg!C:C,MATCH($C230,Proj_Reg!$B:$B,0),1))</f>
        <v>Sputtering</v>
      </c>
      <c r="I230" s="6" t="str">
        <f>IF(INDEX(Proj_Reg!D:D,MATCH($C230,Proj_Reg!$B:$B,0),1)=0,"",INDEX(Proj_Reg!D:D,MATCH($C230,Proj_Reg!$B:$B,0),1))</f>
        <v>XWP</v>
      </c>
      <c r="J230" s="6" t="str">
        <f>INDEX(Proj_Reg!E:E,MATCH($C230,Proj_Reg!$B:$B,0),1)</f>
        <v>Pt Target Thickness Reduction</v>
      </c>
      <c r="K230" s="21">
        <v>3.0542373600000006E-2</v>
      </c>
      <c r="L230" s="21">
        <v>0</v>
      </c>
      <c r="M230" s="21">
        <v>7.6734143981500016E-3</v>
      </c>
      <c r="N230" s="21">
        <v>0</v>
      </c>
      <c r="O230" s="11">
        <f>SUM(Table1[[#This Row],[Labor
Saving]:[OH
Saving]])</f>
        <v>3.8215787998150008E-2</v>
      </c>
      <c r="Q230" s="40">
        <f t="shared" si="152"/>
        <v>0</v>
      </c>
      <c r="R230" s="40">
        <f t="shared" si="153"/>
        <v>0</v>
      </c>
      <c r="S230" s="40">
        <f t="shared" si="154"/>
        <v>0</v>
      </c>
      <c r="T230" s="40">
        <f t="shared" si="155"/>
        <v>0</v>
      </c>
      <c r="U230" s="40">
        <f t="shared" si="156"/>
        <v>0</v>
      </c>
      <c r="V230" s="40">
        <f t="shared" si="157"/>
        <v>0</v>
      </c>
      <c r="W230" s="40">
        <f t="shared" si="158"/>
        <v>3420</v>
      </c>
      <c r="X230" s="40">
        <f t="shared" si="159"/>
        <v>9000</v>
      </c>
      <c r="Y230" s="40">
        <f t="shared" si="160"/>
        <v>10200</v>
      </c>
      <c r="Z230" s="40">
        <f t="shared" si="161"/>
        <v>10200</v>
      </c>
      <c r="AA230" s="40">
        <f t="shared" si="162"/>
        <v>9000</v>
      </c>
      <c r="AB230" s="40">
        <f t="shared" si="163"/>
        <v>7605</v>
      </c>
      <c r="AC230" s="37">
        <f>SUM(Table1[[#This Row],[Jan]:[Dec]])</f>
        <v>49425</v>
      </c>
      <c r="AD230" s="15">
        <f t="shared" si="172"/>
        <v>0</v>
      </c>
      <c r="AE230" s="15">
        <f t="shared" si="173"/>
        <v>0</v>
      </c>
      <c r="AF230" s="15">
        <f t="shared" si="174"/>
        <v>0</v>
      </c>
      <c r="AG230" s="15">
        <f t="shared" si="175"/>
        <v>0</v>
      </c>
      <c r="AH230" s="15">
        <f t="shared" si="176"/>
        <v>0</v>
      </c>
      <c r="AI230" s="15">
        <f t="shared" si="177"/>
        <v>0</v>
      </c>
      <c r="AJ230" s="15">
        <f t="shared" si="178"/>
        <v>130.69799495367303</v>
      </c>
      <c r="AK230" s="15">
        <f t="shared" si="179"/>
        <v>343.94209198335005</v>
      </c>
      <c r="AL230" s="15">
        <f t="shared" si="180"/>
        <v>389.80103758113006</v>
      </c>
      <c r="AM230" s="15">
        <f t="shared" si="181"/>
        <v>389.80103758113006</v>
      </c>
      <c r="AN230" s="15">
        <f t="shared" si="182"/>
        <v>343.94209198335005</v>
      </c>
      <c r="AO230" s="15">
        <f t="shared" si="183"/>
        <v>290.63106772593079</v>
      </c>
      <c r="AP230" s="10">
        <f t="shared" si="184"/>
        <v>0</v>
      </c>
      <c r="AQ230" s="10">
        <f t="shared" si="185"/>
        <v>0</v>
      </c>
      <c r="AR230" s="10">
        <f t="shared" si="186"/>
        <v>864.44112451815317</v>
      </c>
      <c r="AS230" s="10">
        <f t="shared" si="187"/>
        <v>1024.3741972904108</v>
      </c>
      <c r="AT230" s="10" t="b">
        <f t="shared" si="188"/>
        <v>1</v>
      </c>
      <c r="AU230" s="10">
        <f t="shared" si="164"/>
        <v>1509.5568151800003</v>
      </c>
      <c r="AV230" s="10">
        <f t="shared" si="165"/>
        <v>0</v>
      </c>
      <c r="AW230" s="10">
        <f t="shared" si="166"/>
        <v>379.25850662856385</v>
      </c>
      <c r="AX230" s="10">
        <f t="shared" si="167"/>
        <v>0</v>
      </c>
      <c r="AY230" s="10">
        <f t="shared" si="189"/>
        <v>1888.815321808564</v>
      </c>
      <c r="AZ230" s="19">
        <f>IFERROR(IF($E230="REC",INDEX(A_Type_Volume!$B:$B,MATCH($D230,A_Type_Volume!$A:$A,0),1),IF($E230="VAM",INDEX(C_Type_Volume!$B:$B,MATCH($D230,C_Type_Volume!$A:$A,0),1),"X")),"")</f>
        <v>4500</v>
      </c>
      <c r="BA230" s="19">
        <f>IFERROR(IF($E230="REC",INDEX(A_Type_Volume!$C:$C,MATCH($D230,A_Type_Volume!$A:$A,0),1),IF($E230="VAM",INDEX(C_Type_Volume!$C:$C,MATCH($D230,C_Type_Volume!$A:$A,0),1),"X")),"")</f>
        <v>13800</v>
      </c>
      <c r="BB230" s="19">
        <f>IFERROR(IF($E230="REC",INDEX(A_Type_Volume!$D:$D,MATCH($D230,A_Type_Volume!$A:$A,0),1),IF($E230="VAM",INDEX(C_Type_Volume!$D:$D,MATCH($D230,C_Type_Volume!$A:$A,0),1),"X")),"")</f>
        <v>11250</v>
      </c>
      <c r="BC230" s="19">
        <f>IFERROR(IF($E230="REC",INDEX(A_Type_Volume!$E:$E,MATCH($D230,A_Type_Volume!$A:$A,0),1),IF($E230="VAM",INDEX(C_Type_Volume!$E:$E,MATCH($D230,C_Type_Volume!$A:$A,0),1),"X")),"")</f>
        <v>9450</v>
      </c>
      <c r="BD230" s="19">
        <f>IFERROR(IF($E230="REC",INDEX(A_Type_Volume!$F:$F,MATCH($D230,A_Type_Volume!$A:$A,0),1),IF($E230="VAM",INDEX(C_Type_Volume!$F:$F,MATCH($D230,C_Type_Volume!$A:$A,0),1),"X")),"")</f>
        <v>10800</v>
      </c>
      <c r="BE230" s="19">
        <f>IFERROR(IF($E230="REC",INDEX(A_Type_Volume!$G:$G,MATCH($D230,A_Type_Volume!$A:$A,0),1),IF($E230="VAM",INDEX(C_Type_Volume!$G:$G,MATCH($D230,C_Type_Volume!$A:$A,0),1),"X")),"")</f>
        <v>10800</v>
      </c>
      <c r="BF230" s="19">
        <f>IFERROR(IF($E230="REC",INDEX(A_Type_Volume!$H:$H,MATCH($D230,A_Type_Volume!$A:$A,0),1),IF($E230="VAM",INDEX(C_Type_Volume!$H:$H,MATCH($D230,C_Type_Volume!$A:$A,0),1),"X")),"")</f>
        <v>11400</v>
      </c>
      <c r="BG230" s="19">
        <f>IFERROR(IF($E230="REC",INDEX(A_Type_Volume!$I:$I,MATCH($D230,A_Type_Volume!$A:$A,0),1),IF($E230="VAM",INDEX(C_Type_Volume!$I:$I,MATCH($D230,C_Type_Volume!$A:$A,0),1),"X")),"")</f>
        <v>9000</v>
      </c>
      <c r="BH230" s="19">
        <f>IFERROR(IF($E230="REC",INDEX(A_Type_Volume!$J:$J,MATCH($D230,A_Type_Volume!$A:$A,0),1),IF($E230="VAM",INDEX(C_Type_Volume!$J:$J,MATCH($D230,C_Type_Volume!$A:$A,0),1),"X")),"")</f>
        <v>10200</v>
      </c>
      <c r="BI230" s="19">
        <f>IFERROR(IF($E230="REC",INDEX(A_Type_Volume!$K:$K,MATCH($D230,A_Type_Volume!$A:$A,0),1),IF($E230="VAM",INDEX(C_Type_Volume!$K:$K,MATCH($D230,C_Type_Volume!$A:$A,0),1),"X")),"")</f>
        <v>10200</v>
      </c>
      <c r="BJ230" s="19">
        <f>IFERROR(IF($E230="REC",INDEX(A_Type_Volume!$L:$L,MATCH($D230,A_Type_Volume!$A:$A,0),1),IF($E230="VAM",INDEX(C_Type_Volume!$L:$L,MATCH($D230,C_Type_Volume!$A:$A,0),1),"X")),"")</f>
        <v>9000</v>
      </c>
      <c r="BK230" s="19">
        <f>IFERROR(IF($E230="REC",INDEX(A_Type_Volume!M:M,MATCH($D230,A_Type_Volume!$A:$A,0),1),IF($E230="VAM",INDEX(C_Type_Volume!M:M,MATCH($D230,C_Type_Volume!$A:$A,0),1),"X")),"")</f>
        <v>7605</v>
      </c>
      <c r="BL230" s="38">
        <f>SUM(Table1[[#This Row],[Jan_AVF]:[Dec_AVF]])</f>
        <v>118005</v>
      </c>
      <c r="BM230" s="16">
        <f t="shared" si="190"/>
        <v>171.97104599167503</v>
      </c>
      <c r="BN230" s="16">
        <f t="shared" si="191"/>
        <v>527.37787437447014</v>
      </c>
      <c r="BO230" s="16">
        <f t="shared" si="192"/>
        <v>429.92761497918758</v>
      </c>
      <c r="BP230" s="16">
        <f t="shared" si="193"/>
        <v>361.13919658251757</v>
      </c>
      <c r="BQ230" s="16">
        <f t="shared" si="194"/>
        <v>412.73051038002006</v>
      </c>
      <c r="BR230" s="16">
        <f t="shared" si="195"/>
        <v>412.73051038002006</v>
      </c>
      <c r="BS230" s="16">
        <f t="shared" si="196"/>
        <v>435.65998317891007</v>
      </c>
      <c r="BT230" s="16">
        <f t="shared" si="197"/>
        <v>343.94209198335005</v>
      </c>
      <c r="BU230" s="16">
        <f t="shared" si="198"/>
        <v>389.80103758113006</v>
      </c>
      <c r="BV230" s="16">
        <f t="shared" si="199"/>
        <v>389.80103758113006</v>
      </c>
      <c r="BW230" s="16">
        <f t="shared" si="200"/>
        <v>343.94209198335005</v>
      </c>
      <c r="BX230" s="16">
        <f t="shared" si="201"/>
        <v>290.63106772593079</v>
      </c>
      <c r="BY230" s="10">
        <f t="shared" si="168"/>
        <v>1129.2765353453328</v>
      </c>
      <c r="BZ230" s="10">
        <f t="shared" si="169"/>
        <v>1186.6002173425577</v>
      </c>
      <c r="CA230" s="10">
        <f t="shared" si="170"/>
        <v>1169.4031127433902</v>
      </c>
      <c r="CB230" s="10">
        <f t="shared" si="171"/>
        <v>1024.3741972904108</v>
      </c>
      <c r="CC230" s="10">
        <f>IFERROR(Table1[[#This Row],[Labor
Saving]]*Table1[[#This Row],[Annual Volume]],"")</f>
        <v>3604.1527966680005</v>
      </c>
      <c r="CD230" s="10">
        <f>IFERROR(Table1[[#This Row],[Annual Volume]]*Table1[[#This Row],[Yield
Saving]],"")</f>
        <v>0</v>
      </c>
      <c r="CE230" s="10">
        <f>IFERROR(Table1[[#This Row],[Annual Volume]]*Table1[[#This Row],[Material
Saving]],"")</f>
        <v>905.50126605369098</v>
      </c>
      <c r="CF230" s="10">
        <f>IFERROR(Table1[[#This Row],[OH
Saving]]*Table1[[#This Row],[Annual Volume]],"")</f>
        <v>0</v>
      </c>
      <c r="CG230" s="10">
        <f>SUM(Table1[[#This Row],[Labor_ASV]:[OH_ASV]])</f>
        <v>4509.6540627216918</v>
      </c>
    </row>
    <row r="231" spans="1:85" x14ac:dyDescent="0.3">
      <c r="A231" t="str">
        <f>Table1[[#This Row],[Project Name]]&amp;Table1[[#This Row],[Part Number]]</f>
        <v>Chip Cleaning Solvent 3R82</v>
      </c>
      <c r="B231" t="str">
        <f>IFERROR(Table1[[#This Row],[Project Number]]&amp;Table1[[#This Row],[Part Number]],"")</f>
        <v>AME25-049R82</v>
      </c>
      <c r="C231" s="22" t="s">
        <v>101</v>
      </c>
      <c r="D231" s="24" t="s">
        <v>320</v>
      </c>
      <c r="E231" s="25" t="s">
        <v>58</v>
      </c>
      <c r="F231" s="6">
        <f>INDEX(Proj_Reg!G:G,MATCH($C231,Proj_Reg!$B:$B,0),1)</f>
        <v>46113</v>
      </c>
      <c r="G231" s="6">
        <f>INDEX(Proj_Reg!H:H,MATCH($C231,Proj_Reg!$B:$B,0),1)</f>
        <v>46447</v>
      </c>
      <c r="H231" s="6" t="str">
        <f>IF(INDEX(Proj_Reg!C:C,MATCH($C231,Proj_Reg!$B:$B,0),1)=0,"",INDEX(Proj_Reg!C:C,MATCH($C231,Proj_Reg!$B:$B,0),1))</f>
        <v>Wafer Saw Dicing</v>
      </c>
      <c r="I231" s="6" t="str">
        <f>IF(INDEX(Proj_Reg!D:D,MATCH($C231,Proj_Reg!$B:$B,0),1)=0,"",INDEX(Proj_Reg!D:D,MATCH($C231,Proj_Reg!$B:$B,0),1))</f>
        <v>XCD</v>
      </c>
      <c r="J231" s="6" t="str">
        <f>INDEX(Proj_Reg!E:E,MATCH($C231,Proj_Reg!$B:$B,0),1)</f>
        <v>Chip Cleaning Solvent 3</v>
      </c>
      <c r="K231" s="21">
        <v>1.3271666400000003E-2</v>
      </c>
      <c r="L231" s="21">
        <v>0</v>
      </c>
      <c r="M231" s="21">
        <v>5.7828249078699951E-3</v>
      </c>
      <c r="N231" s="21">
        <v>0</v>
      </c>
      <c r="O231" s="11">
        <f>SUM(Table1[[#This Row],[Labor
Saving]:[OH
Saving]])</f>
        <v>1.905449130787E-2</v>
      </c>
      <c r="Q231" s="40">
        <f t="shared" si="152"/>
        <v>0</v>
      </c>
      <c r="R231" s="40">
        <f t="shared" si="153"/>
        <v>0</v>
      </c>
      <c r="S231" s="40">
        <f t="shared" si="154"/>
        <v>0</v>
      </c>
      <c r="T231" s="40">
        <f t="shared" si="155"/>
        <v>41400</v>
      </c>
      <c r="U231" s="40">
        <f t="shared" si="156"/>
        <v>159000</v>
      </c>
      <c r="V231" s="40">
        <f t="shared" si="157"/>
        <v>156000</v>
      </c>
      <c r="W231" s="40">
        <f t="shared" si="158"/>
        <v>168000</v>
      </c>
      <c r="X231" s="40">
        <f t="shared" si="159"/>
        <v>131250</v>
      </c>
      <c r="Y231" s="40">
        <f t="shared" si="160"/>
        <v>131250</v>
      </c>
      <c r="Z231" s="40">
        <f t="shared" si="161"/>
        <v>136500</v>
      </c>
      <c r="AA231" s="40">
        <f t="shared" si="162"/>
        <v>110250</v>
      </c>
      <c r="AB231" s="40">
        <f t="shared" si="163"/>
        <v>87870</v>
      </c>
      <c r="AC231" s="37">
        <f>SUM(Table1[[#This Row],[Jan]:[Dec]])</f>
        <v>1121520</v>
      </c>
      <c r="AD231" s="15">
        <f t="shared" si="172"/>
        <v>0</v>
      </c>
      <c r="AE231" s="15">
        <f t="shared" si="173"/>
        <v>0</v>
      </c>
      <c r="AF231" s="15">
        <f t="shared" si="174"/>
        <v>0</v>
      </c>
      <c r="AG231" s="15">
        <f t="shared" si="175"/>
        <v>788.85594014581795</v>
      </c>
      <c r="AH231" s="15">
        <f t="shared" si="176"/>
        <v>3029.6641179513299</v>
      </c>
      <c r="AI231" s="15">
        <f t="shared" si="177"/>
        <v>2972.5006440277202</v>
      </c>
      <c r="AJ231" s="15">
        <f t="shared" si="178"/>
        <v>3201.1545397221598</v>
      </c>
      <c r="AK231" s="15">
        <f t="shared" si="179"/>
        <v>2500.9019841579375</v>
      </c>
      <c r="AL231" s="15">
        <f t="shared" si="180"/>
        <v>2500.9019841579375</v>
      </c>
      <c r="AM231" s="15">
        <f t="shared" si="181"/>
        <v>2600.9380635242551</v>
      </c>
      <c r="AN231" s="15">
        <f t="shared" si="182"/>
        <v>2100.7576666926675</v>
      </c>
      <c r="AO231" s="15">
        <f t="shared" si="183"/>
        <v>1674.3181512225369</v>
      </c>
      <c r="AP231" s="10">
        <f t="shared" si="184"/>
        <v>0</v>
      </c>
      <c r="AQ231" s="10">
        <f t="shared" si="185"/>
        <v>6791.020702124868</v>
      </c>
      <c r="AR231" s="10">
        <f t="shared" si="186"/>
        <v>8202.9585080380348</v>
      </c>
      <c r="AS231" s="10">
        <f t="shared" si="187"/>
        <v>6376.0138814394595</v>
      </c>
      <c r="AT231" s="10" t="b">
        <f t="shared" si="188"/>
        <v>1</v>
      </c>
      <c r="AU231" s="10">
        <f t="shared" si="164"/>
        <v>14884.439300928003</v>
      </c>
      <c r="AV231" s="10">
        <f t="shared" si="165"/>
        <v>0</v>
      </c>
      <c r="AW231" s="10">
        <f t="shared" si="166"/>
        <v>6485.5537906743566</v>
      </c>
      <c r="AX231" s="10">
        <f t="shared" si="167"/>
        <v>0</v>
      </c>
      <c r="AY231" s="10">
        <f t="shared" si="189"/>
        <v>21369.993091602359</v>
      </c>
      <c r="AZ231" s="19">
        <f>IFERROR(IF($E231="REC",INDEX(A_Type_Volume!$B:$B,MATCH($D231,A_Type_Volume!$A:$A,0),1),IF($E231="VAM",INDEX(C_Type_Volume!$B:$B,MATCH($D231,C_Type_Volume!$A:$A,0),1),"X")),"")</f>
        <v>0</v>
      </c>
      <c r="BA231" s="19">
        <f>IFERROR(IF($E231="REC",INDEX(A_Type_Volume!$C:$C,MATCH($D231,A_Type_Volume!$A:$A,0),1),IF($E231="VAM",INDEX(C_Type_Volume!$C:$C,MATCH($D231,C_Type_Volume!$A:$A,0),1),"X")),"")</f>
        <v>150000</v>
      </c>
      <c r="BB231" s="19">
        <f>IFERROR(IF($E231="REC",INDEX(A_Type_Volume!$D:$D,MATCH($D231,A_Type_Volume!$A:$A,0),1),IF($E231="VAM",INDEX(C_Type_Volume!$D:$D,MATCH($D231,C_Type_Volume!$A:$A,0),1),"X")),"")</f>
        <v>165000</v>
      </c>
      <c r="BC231" s="19">
        <f>IFERROR(IF($E231="REC",INDEX(A_Type_Volume!$E:$E,MATCH($D231,A_Type_Volume!$A:$A,0),1),IF($E231="VAM",INDEX(C_Type_Volume!$E:$E,MATCH($D231,C_Type_Volume!$A:$A,0),1),"X")),"")</f>
        <v>138000</v>
      </c>
      <c r="BD231" s="19">
        <f>IFERROR(IF($E231="REC",INDEX(A_Type_Volume!$F:$F,MATCH($D231,A_Type_Volume!$A:$A,0),1),IF($E231="VAM",INDEX(C_Type_Volume!$F:$F,MATCH($D231,C_Type_Volume!$A:$A,0),1),"X")),"")</f>
        <v>159000</v>
      </c>
      <c r="BE231" s="19">
        <f>IFERROR(IF($E231="REC",INDEX(A_Type_Volume!$G:$G,MATCH($D231,A_Type_Volume!$A:$A,0),1),IF($E231="VAM",INDEX(C_Type_Volume!$G:$G,MATCH($D231,C_Type_Volume!$A:$A,0),1),"X")),"")</f>
        <v>156000</v>
      </c>
      <c r="BF231" s="19">
        <f>IFERROR(IF($E231="REC",INDEX(A_Type_Volume!$H:$H,MATCH($D231,A_Type_Volume!$A:$A,0),1),IF($E231="VAM",INDEX(C_Type_Volume!$H:$H,MATCH($D231,C_Type_Volume!$A:$A,0),1),"X")),"")</f>
        <v>168000</v>
      </c>
      <c r="BG231" s="19">
        <f>IFERROR(IF($E231="REC",INDEX(A_Type_Volume!$I:$I,MATCH($D231,A_Type_Volume!$A:$A,0),1),IF($E231="VAM",INDEX(C_Type_Volume!$I:$I,MATCH($D231,C_Type_Volume!$A:$A,0),1),"X")),"")</f>
        <v>131250</v>
      </c>
      <c r="BH231" s="19">
        <f>IFERROR(IF($E231="REC",INDEX(A_Type_Volume!$J:$J,MATCH($D231,A_Type_Volume!$A:$A,0),1),IF($E231="VAM",INDEX(C_Type_Volume!$J:$J,MATCH($D231,C_Type_Volume!$A:$A,0),1),"X")),"")</f>
        <v>131250</v>
      </c>
      <c r="BI231" s="19">
        <f>IFERROR(IF($E231="REC",INDEX(A_Type_Volume!$K:$K,MATCH($D231,A_Type_Volume!$A:$A,0),1),IF($E231="VAM",INDEX(C_Type_Volume!$K:$K,MATCH($D231,C_Type_Volume!$A:$A,0),1),"X")),"")</f>
        <v>136500</v>
      </c>
      <c r="BJ231" s="19">
        <f>IFERROR(IF($E231="REC",INDEX(A_Type_Volume!$L:$L,MATCH($D231,A_Type_Volume!$A:$A,0),1),IF($E231="VAM",INDEX(C_Type_Volume!$L:$L,MATCH($D231,C_Type_Volume!$A:$A,0),1),"X")),"")</f>
        <v>110250</v>
      </c>
      <c r="BK231" s="19">
        <f>IFERROR(IF($E231="REC",INDEX(A_Type_Volume!M:M,MATCH($D231,A_Type_Volume!$A:$A,0),1),IF($E231="VAM",INDEX(C_Type_Volume!M:M,MATCH($D231,C_Type_Volume!$A:$A,0),1),"X")),"")</f>
        <v>87870</v>
      </c>
      <c r="BL231" s="38">
        <f>SUM(Table1[[#This Row],[Jan_AVF]:[Dec_AVF]])</f>
        <v>1533120</v>
      </c>
      <c r="BM231" s="16">
        <f t="shared" si="190"/>
        <v>0</v>
      </c>
      <c r="BN231" s="16">
        <f t="shared" si="191"/>
        <v>2858.1736961805</v>
      </c>
      <c r="BO231" s="16">
        <f t="shared" si="192"/>
        <v>3143.9910657985502</v>
      </c>
      <c r="BP231" s="16">
        <f t="shared" si="193"/>
        <v>2629.5198004860599</v>
      </c>
      <c r="BQ231" s="16">
        <f t="shared" si="194"/>
        <v>3029.6641179513299</v>
      </c>
      <c r="BR231" s="16">
        <f t="shared" si="195"/>
        <v>2972.5006440277202</v>
      </c>
      <c r="BS231" s="16">
        <f t="shared" si="196"/>
        <v>3201.1545397221598</v>
      </c>
      <c r="BT231" s="16">
        <f t="shared" si="197"/>
        <v>2500.9019841579375</v>
      </c>
      <c r="BU231" s="16">
        <f t="shared" si="198"/>
        <v>2500.9019841579375</v>
      </c>
      <c r="BV231" s="16">
        <f t="shared" si="199"/>
        <v>2600.9380635242551</v>
      </c>
      <c r="BW231" s="16">
        <f t="shared" si="200"/>
        <v>2100.7576666926675</v>
      </c>
      <c r="BX231" s="16">
        <f t="shared" si="201"/>
        <v>1674.3181512225369</v>
      </c>
      <c r="BY231" s="10">
        <f t="shared" si="168"/>
        <v>6002.1647619790501</v>
      </c>
      <c r="BZ231" s="10">
        <f t="shared" si="169"/>
        <v>8631.6845624651105</v>
      </c>
      <c r="CA231" s="10">
        <f t="shared" si="170"/>
        <v>8202.9585080380348</v>
      </c>
      <c r="CB231" s="10">
        <f t="shared" si="171"/>
        <v>6376.0138814394595</v>
      </c>
      <c r="CC231" s="10">
        <f>IFERROR(Table1[[#This Row],[Labor
Saving]]*Table1[[#This Row],[Annual Volume]],"")</f>
        <v>20347.057191168005</v>
      </c>
      <c r="CD231" s="10">
        <f>IFERROR(Table1[[#This Row],[Annual Volume]]*Table1[[#This Row],[Yield
Saving]],"")</f>
        <v>0</v>
      </c>
      <c r="CE231" s="10">
        <f>IFERROR(Table1[[#This Row],[Annual Volume]]*Table1[[#This Row],[Material
Saving]],"")</f>
        <v>8865.7645227536468</v>
      </c>
      <c r="CF231" s="10">
        <f>IFERROR(Table1[[#This Row],[OH
Saving]]*Table1[[#This Row],[Annual Volume]],"")</f>
        <v>0</v>
      </c>
      <c r="CG231" s="10">
        <f>SUM(Table1[[#This Row],[Labor_ASV]:[OH_ASV]])</f>
        <v>29212.82171392165</v>
      </c>
    </row>
    <row r="232" spans="1:85" x14ac:dyDescent="0.3">
      <c r="A232" t="str">
        <f>Table1[[#This Row],[Project Name]]&amp;Table1[[#This Row],[Part Number]]</f>
        <v>NiCr Target Thickness ReductionR84</v>
      </c>
      <c r="B232" t="str">
        <f>IFERROR(Table1[[#This Row],[Project Number]]&amp;Table1[[#This Row],[Part Number]],"")</f>
        <v>AME25-086R84</v>
      </c>
      <c r="C232" s="22" t="s">
        <v>133</v>
      </c>
      <c r="D232" s="24" t="s">
        <v>322</v>
      </c>
      <c r="E232" s="25" t="s">
        <v>58</v>
      </c>
      <c r="F232" s="6">
        <f>INDEX(Proj_Reg!G:G,MATCH($C232,Proj_Reg!$B:$B,0),1)</f>
        <v>46143</v>
      </c>
      <c r="G232" s="6">
        <f>INDEX(Proj_Reg!H:H,MATCH($C232,Proj_Reg!$B:$B,0),1)</f>
        <v>46478</v>
      </c>
      <c r="H232" s="6" t="str">
        <f>IF(INDEX(Proj_Reg!C:C,MATCH($C232,Proj_Reg!$B:$B,0),1)=0,"",INDEX(Proj_Reg!C:C,MATCH($C232,Proj_Reg!$B:$B,0),1))</f>
        <v>Sputtering</v>
      </c>
      <c r="I232" s="6" t="str">
        <f>IF(INDEX(Proj_Reg!D:D,MATCH($C232,Proj_Reg!$B:$B,0),1)=0,"",INDEX(Proj_Reg!D:D,MATCH($C232,Proj_Reg!$B:$B,0),1))</f>
        <v>XWP</v>
      </c>
      <c r="J232" s="6" t="str">
        <f>INDEX(Proj_Reg!E:E,MATCH($C232,Proj_Reg!$B:$B,0),1)</f>
        <v>NiCr Target Thickness Reduction</v>
      </c>
      <c r="K232" s="21">
        <v>9.7367359999999958E-3</v>
      </c>
      <c r="L232" s="21">
        <v>0</v>
      </c>
      <c r="M232" s="21">
        <v>4.4496386194899998E-3</v>
      </c>
      <c r="N232" s="21">
        <v>0</v>
      </c>
      <c r="O232" s="11">
        <f>SUM(Table1[[#This Row],[Labor
Saving]:[OH
Saving]])</f>
        <v>1.4186374619489996E-2</v>
      </c>
      <c r="Q232" s="40">
        <f t="shared" si="152"/>
        <v>0</v>
      </c>
      <c r="R232" s="40">
        <f t="shared" si="153"/>
        <v>0</v>
      </c>
      <c r="S232" s="40">
        <f t="shared" si="154"/>
        <v>0</v>
      </c>
      <c r="T232" s="40">
        <f t="shared" si="155"/>
        <v>0</v>
      </c>
      <c r="U232" s="40">
        <f t="shared" si="156"/>
        <v>24625.200000000001</v>
      </c>
      <c r="V232" s="40">
        <f t="shared" si="157"/>
        <v>75004</v>
      </c>
      <c r="W232" s="40">
        <f t="shared" si="158"/>
        <v>76595</v>
      </c>
      <c r="X232" s="40">
        <f t="shared" si="159"/>
        <v>59928</v>
      </c>
      <c r="Y232" s="40">
        <f t="shared" si="160"/>
        <v>69928</v>
      </c>
      <c r="Z232" s="40">
        <f t="shared" si="161"/>
        <v>39573</v>
      </c>
      <c r="AA232" s="40">
        <f t="shared" si="162"/>
        <v>34911</v>
      </c>
      <c r="AB232" s="40">
        <f t="shared" si="163"/>
        <v>0</v>
      </c>
      <c r="AC232" s="37">
        <f>SUM(Table1[[#This Row],[Jan]:[Dec]])</f>
        <v>380564.2</v>
      </c>
      <c r="AD232" s="15">
        <f t="shared" si="172"/>
        <v>0</v>
      </c>
      <c r="AE232" s="15">
        <f t="shared" si="173"/>
        <v>0</v>
      </c>
      <c r="AF232" s="15">
        <f t="shared" si="174"/>
        <v>0</v>
      </c>
      <c r="AG232" s="15">
        <f t="shared" si="175"/>
        <v>0</v>
      </c>
      <c r="AH232" s="15">
        <f t="shared" si="176"/>
        <v>349.34231227986504</v>
      </c>
      <c r="AI232" s="15">
        <f t="shared" si="177"/>
        <v>1064.0348419602276</v>
      </c>
      <c r="AJ232" s="15">
        <f t="shared" si="178"/>
        <v>1086.6053639798363</v>
      </c>
      <c r="AK232" s="15">
        <f t="shared" si="179"/>
        <v>850.16105819679649</v>
      </c>
      <c r="AL232" s="15">
        <f t="shared" si="180"/>
        <v>992.02480439169642</v>
      </c>
      <c r="AM232" s="15">
        <f t="shared" si="181"/>
        <v>561.39740281707759</v>
      </c>
      <c r="AN232" s="15">
        <f t="shared" si="182"/>
        <v>495.26052434101524</v>
      </c>
      <c r="AO232" s="15">
        <f t="shared" si="183"/>
        <v>0</v>
      </c>
      <c r="AP232" s="10">
        <f t="shared" si="184"/>
        <v>0</v>
      </c>
      <c r="AQ232" s="10">
        <f t="shared" si="185"/>
        <v>1413.3771542400928</v>
      </c>
      <c r="AR232" s="10">
        <f t="shared" si="186"/>
        <v>2928.791226568329</v>
      </c>
      <c r="AS232" s="10">
        <f t="shared" si="187"/>
        <v>1056.6579271580929</v>
      </c>
      <c r="AT232" s="10" t="b">
        <f t="shared" si="188"/>
        <v>0</v>
      </c>
      <c r="AU232" s="10">
        <f t="shared" si="164"/>
        <v>3705.4531464511983</v>
      </c>
      <c r="AV232" s="10">
        <f t="shared" si="165"/>
        <v>0</v>
      </c>
      <c r="AW232" s="10">
        <f t="shared" si="166"/>
        <v>1693.3731615153163</v>
      </c>
      <c r="AX232" s="10">
        <f t="shared" si="167"/>
        <v>0</v>
      </c>
      <c r="AY232" s="10">
        <f t="shared" si="189"/>
        <v>5398.8263079665148</v>
      </c>
      <c r="AZ232" s="19">
        <f>IFERROR(IF($E232="REC",INDEX(A_Type_Volume!$B:$B,MATCH($D232,A_Type_Volume!$A:$A,0),1),IF($E232="VAM",INDEX(C_Type_Volume!$B:$B,MATCH($D232,C_Type_Volume!$A:$A,0),1),"X")),"")</f>
        <v>42646</v>
      </c>
      <c r="BA232" s="19">
        <f>IFERROR(IF($E232="REC",INDEX(A_Type_Volume!$C:$C,MATCH($D232,A_Type_Volume!$A:$A,0),1),IF($E232="VAM",INDEX(C_Type_Volume!$C:$C,MATCH($D232,C_Type_Volume!$A:$A,0),1),"X")),"")</f>
        <v>76839</v>
      </c>
      <c r="BB232" s="19">
        <f>IFERROR(IF($E232="REC",INDEX(A_Type_Volume!$D:$D,MATCH($D232,A_Type_Volume!$A:$A,0),1),IF($E232="VAM",INDEX(C_Type_Volume!$D:$D,MATCH($D232,C_Type_Volume!$A:$A,0),1),"X")),"")</f>
        <v>100679</v>
      </c>
      <c r="BC232" s="19">
        <f>IFERROR(IF($E232="REC",INDEX(A_Type_Volume!$E:$E,MATCH($D232,A_Type_Volume!$A:$A,0),1),IF($E232="VAM",INDEX(C_Type_Volume!$E:$E,MATCH($D232,C_Type_Volume!$A:$A,0),1),"X")),"")</f>
        <v>73196</v>
      </c>
      <c r="BD232" s="19">
        <f>IFERROR(IF($E232="REC",INDEX(A_Type_Volume!$F:$F,MATCH($D232,A_Type_Volume!$A:$A,0),1),IF($E232="VAM",INDEX(C_Type_Volume!$F:$F,MATCH($D232,C_Type_Volume!$A:$A,0),1),"X")),"")</f>
        <v>82084</v>
      </c>
      <c r="BE232" s="19">
        <f>IFERROR(IF($E232="REC",INDEX(A_Type_Volume!$G:$G,MATCH($D232,A_Type_Volume!$A:$A,0),1),IF($E232="VAM",INDEX(C_Type_Volume!$G:$G,MATCH($D232,C_Type_Volume!$A:$A,0),1),"X")),"")</f>
        <v>75004</v>
      </c>
      <c r="BF232" s="19">
        <f>IFERROR(IF($E232="REC",INDEX(A_Type_Volume!$H:$H,MATCH($D232,A_Type_Volume!$A:$A,0),1),IF($E232="VAM",INDEX(C_Type_Volume!$H:$H,MATCH($D232,C_Type_Volume!$A:$A,0),1),"X")),"")</f>
        <v>76595</v>
      </c>
      <c r="BG232" s="19">
        <f>IFERROR(IF($E232="REC",INDEX(A_Type_Volume!$I:$I,MATCH($D232,A_Type_Volume!$A:$A,0),1),IF($E232="VAM",INDEX(C_Type_Volume!$I:$I,MATCH($D232,C_Type_Volume!$A:$A,0),1),"X")),"")</f>
        <v>59928</v>
      </c>
      <c r="BH232" s="19">
        <f>IFERROR(IF($E232="REC",INDEX(A_Type_Volume!$J:$J,MATCH($D232,A_Type_Volume!$A:$A,0),1),IF($E232="VAM",INDEX(C_Type_Volume!$J:$J,MATCH($D232,C_Type_Volume!$A:$A,0),1),"X")),"")</f>
        <v>69928</v>
      </c>
      <c r="BI232" s="19">
        <f>IFERROR(IF($E232="REC",INDEX(A_Type_Volume!$K:$K,MATCH($D232,A_Type_Volume!$A:$A,0),1),IF($E232="VAM",INDEX(C_Type_Volume!$K:$K,MATCH($D232,C_Type_Volume!$A:$A,0),1),"X")),"")</f>
        <v>39573</v>
      </c>
      <c r="BJ232" s="19">
        <f>IFERROR(IF($E232="REC",INDEX(A_Type_Volume!$L:$L,MATCH($D232,A_Type_Volume!$A:$A,0),1),IF($E232="VAM",INDEX(C_Type_Volume!$L:$L,MATCH($D232,C_Type_Volume!$A:$A,0),1),"X")),"")</f>
        <v>34911</v>
      </c>
      <c r="BK232" s="19">
        <f>IFERROR(IF($E232="REC",INDEX(A_Type_Volume!M:M,MATCH($D232,A_Type_Volume!$A:$A,0),1),IF($E232="VAM",INDEX(C_Type_Volume!M:M,MATCH($D232,C_Type_Volume!$A:$A,0),1),"X")),"")</f>
        <v>0</v>
      </c>
      <c r="BL232" s="38">
        <f>SUM(Table1[[#This Row],[Jan_AVF]:[Dec_AVF]])</f>
        <v>731383</v>
      </c>
      <c r="BM232" s="16">
        <f t="shared" si="190"/>
        <v>604.99213202277031</v>
      </c>
      <c r="BN232" s="16">
        <f t="shared" si="191"/>
        <v>1090.0668393869917</v>
      </c>
      <c r="BO232" s="16">
        <f t="shared" si="192"/>
        <v>1428.2700103156333</v>
      </c>
      <c r="BP232" s="16">
        <f t="shared" si="193"/>
        <v>1038.3858766481897</v>
      </c>
      <c r="BQ232" s="16">
        <f t="shared" si="194"/>
        <v>1164.4743742662167</v>
      </c>
      <c r="BR232" s="16">
        <f t="shared" si="195"/>
        <v>1064.0348419602276</v>
      </c>
      <c r="BS232" s="16">
        <f t="shared" si="196"/>
        <v>1086.6053639798363</v>
      </c>
      <c r="BT232" s="16">
        <f t="shared" si="197"/>
        <v>850.16105819679649</v>
      </c>
      <c r="BU232" s="16">
        <f t="shared" si="198"/>
        <v>992.02480439169642</v>
      </c>
      <c r="BV232" s="16">
        <f t="shared" si="199"/>
        <v>561.39740281707759</v>
      </c>
      <c r="BW232" s="16">
        <f t="shared" si="200"/>
        <v>495.26052434101524</v>
      </c>
      <c r="BX232" s="16">
        <f t="shared" si="201"/>
        <v>0</v>
      </c>
      <c r="BY232" s="10">
        <f t="shared" si="168"/>
        <v>3123.3289817253954</v>
      </c>
      <c r="BZ232" s="10">
        <f t="shared" si="169"/>
        <v>3266.8950928746344</v>
      </c>
      <c r="CA232" s="10">
        <f t="shared" si="170"/>
        <v>2928.791226568329</v>
      </c>
      <c r="CB232" s="10">
        <f t="shared" si="171"/>
        <v>1056.6579271580929</v>
      </c>
      <c r="CC232" s="10">
        <f>IFERROR(Table1[[#This Row],[Labor
Saving]]*Table1[[#This Row],[Annual Volume]],"")</f>
        <v>7121.2831858879972</v>
      </c>
      <c r="CD232" s="10">
        <f>IFERROR(Table1[[#This Row],[Annual Volume]]*Table1[[#This Row],[Yield
Saving]],"")</f>
        <v>0</v>
      </c>
      <c r="CE232" s="10">
        <f>IFERROR(Table1[[#This Row],[Annual Volume]]*Table1[[#This Row],[Material
Saving]],"")</f>
        <v>3254.3900424384547</v>
      </c>
      <c r="CF232" s="10">
        <f>IFERROR(Table1[[#This Row],[OH
Saving]]*Table1[[#This Row],[Annual Volume]],"")</f>
        <v>0</v>
      </c>
      <c r="CG232" s="10">
        <f>SUM(Table1[[#This Row],[Labor_ASV]:[OH_ASV]])</f>
        <v>10375.673228326452</v>
      </c>
    </row>
    <row r="233" spans="1:85" x14ac:dyDescent="0.3">
      <c r="A233" t="str">
        <f>Table1[[#This Row],[Project Name]]&amp;Table1[[#This Row],[Part Number]]</f>
        <v>NiCr Target Thickness ReductionR83</v>
      </c>
      <c r="B233" t="str">
        <f>IFERROR(Table1[[#This Row],[Project Number]]&amp;Table1[[#This Row],[Part Number]],"")</f>
        <v>AME25-086R83</v>
      </c>
      <c r="C233" s="22" t="s">
        <v>133</v>
      </c>
      <c r="D233" s="24" t="s">
        <v>321</v>
      </c>
      <c r="E233" s="25" t="s">
        <v>58</v>
      </c>
      <c r="F233" s="6">
        <f>INDEX(Proj_Reg!G:G,MATCH($C233,Proj_Reg!$B:$B,0),1)</f>
        <v>46143</v>
      </c>
      <c r="G233" s="6">
        <f>INDEX(Proj_Reg!H:H,MATCH($C233,Proj_Reg!$B:$B,0),1)</f>
        <v>46478</v>
      </c>
      <c r="H233" s="6" t="str">
        <f>IF(INDEX(Proj_Reg!C:C,MATCH($C233,Proj_Reg!$B:$B,0),1)=0,"",INDEX(Proj_Reg!C:C,MATCH($C233,Proj_Reg!$B:$B,0),1))</f>
        <v>Sputtering</v>
      </c>
      <c r="I233" s="6" t="str">
        <f>IF(INDEX(Proj_Reg!D:D,MATCH($C233,Proj_Reg!$B:$B,0),1)=0,"",INDEX(Proj_Reg!D:D,MATCH($C233,Proj_Reg!$B:$B,0),1))</f>
        <v>XWP</v>
      </c>
      <c r="J233" s="6" t="str">
        <f>INDEX(Proj_Reg!E:E,MATCH($C233,Proj_Reg!$B:$B,0),1)</f>
        <v>NiCr Target Thickness Reduction</v>
      </c>
      <c r="K233" s="21">
        <v>1.5889315200000004E-2</v>
      </c>
      <c r="L233" s="21">
        <v>0</v>
      </c>
      <c r="M233" s="21">
        <v>1.1261750535800001E-2</v>
      </c>
      <c r="N233" s="21">
        <v>0</v>
      </c>
      <c r="O233" s="11">
        <f>SUM(Table1[[#This Row],[Labor
Saving]:[OH
Saving]])</f>
        <v>2.7151065735800006E-2</v>
      </c>
      <c r="Q233" s="40">
        <f t="shared" si="152"/>
        <v>0</v>
      </c>
      <c r="R233" s="40">
        <f t="shared" si="153"/>
        <v>0</v>
      </c>
      <c r="S233" s="40">
        <f t="shared" si="154"/>
        <v>0</v>
      </c>
      <c r="T233" s="40">
        <f t="shared" si="155"/>
        <v>0</v>
      </c>
      <c r="U233" s="40">
        <f t="shared" si="156"/>
        <v>24625.200000000001</v>
      </c>
      <c r="V233" s="40">
        <f t="shared" si="157"/>
        <v>75004</v>
      </c>
      <c r="W233" s="40">
        <f t="shared" si="158"/>
        <v>76595</v>
      </c>
      <c r="X233" s="40">
        <f t="shared" si="159"/>
        <v>59928</v>
      </c>
      <c r="Y233" s="40">
        <f t="shared" si="160"/>
        <v>69928</v>
      </c>
      <c r="Z233" s="40">
        <f t="shared" si="161"/>
        <v>39573</v>
      </c>
      <c r="AA233" s="40">
        <f t="shared" si="162"/>
        <v>34911</v>
      </c>
      <c r="AB233" s="40">
        <f t="shared" si="163"/>
        <v>0</v>
      </c>
      <c r="AC233" s="37">
        <f>SUM(Table1[[#This Row],[Jan]:[Dec]])</f>
        <v>380564.2</v>
      </c>
      <c r="AD233" s="15">
        <f t="shared" si="172"/>
        <v>0</v>
      </c>
      <c r="AE233" s="15">
        <f t="shared" si="173"/>
        <v>0</v>
      </c>
      <c r="AF233" s="15">
        <f t="shared" si="174"/>
        <v>0</v>
      </c>
      <c r="AG233" s="15">
        <f t="shared" si="175"/>
        <v>0</v>
      </c>
      <c r="AH233" s="15">
        <f t="shared" si="176"/>
        <v>668.60042395722235</v>
      </c>
      <c r="AI233" s="15">
        <f t="shared" si="177"/>
        <v>2036.4385344479438</v>
      </c>
      <c r="AJ233" s="15">
        <f t="shared" si="178"/>
        <v>2079.6358800336016</v>
      </c>
      <c r="AK233" s="15">
        <f t="shared" si="179"/>
        <v>1627.1090674150228</v>
      </c>
      <c r="AL233" s="15">
        <f t="shared" si="180"/>
        <v>1898.6197247730229</v>
      </c>
      <c r="AM233" s="15">
        <f t="shared" si="181"/>
        <v>1074.4491243628136</v>
      </c>
      <c r="AN233" s="15">
        <f t="shared" si="182"/>
        <v>947.87085590251399</v>
      </c>
      <c r="AO233" s="15">
        <f t="shared" si="183"/>
        <v>0</v>
      </c>
      <c r="AP233" s="10">
        <f t="shared" si="184"/>
        <v>0</v>
      </c>
      <c r="AQ233" s="10">
        <f t="shared" si="185"/>
        <v>2705.0389584051663</v>
      </c>
      <c r="AR233" s="10">
        <f t="shared" si="186"/>
        <v>5605.3646722216472</v>
      </c>
      <c r="AS233" s="10">
        <f t="shared" si="187"/>
        <v>2022.3199802653276</v>
      </c>
      <c r="AT233" s="10" t="b">
        <f t="shared" si="188"/>
        <v>1</v>
      </c>
      <c r="AU233" s="10">
        <f t="shared" si="164"/>
        <v>6046.904527635842</v>
      </c>
      <c r="AV233" s="10">
        <f t="shared" si="165"/>
        <v>0</v>
      </c>
      <c r="AW233" s="10">
        <f t="shared" si="166"/>
        <v>4285.8190832562987</v>
      </c>
      <c r="AX233" s="10">
        <f t="shared" si="167"/>
        <v>0</v>
      </c>
      <c r="AY233" s="10">
        <f t="shared" si="189"/>
        <v>10332.723610892141</v>
      </c>
      <c r="AZ233" s="19">
        <f>IFERROR(IF($E233="REC",INDEX(A_Type_Volume!$B:$B,MATCH($D233,A_Type_Volume!$A:$A,0),1),IF($E233="VAM",INDEX(C_Type_Volume!$B:$B,MATCH($D233,C_Type_Volume!$A:$A,0),1),"X")),"")</f>
        <v>42646</v>
      </c>
      <c r="BA233" s="19">
        <f>IFERROR(IF($E233="REC",INDEX(A_Type_Volume!$C:$C,MATCH($D233,A_Type_Volume!$A:$A,0),1),IF($E233="VAM",INDEX(C_Type_Volume!$C:$C,MATCH($D233,C_Type_Volume!$A:$A,0),1),"X")),"")</f>
        <v>76839</v>
      </c>
      <c r="BB233" s="19">
        <f>IFERROR(IF($E233="REC",INDEX(A_Type_Volume!$D:$D,MATCH($D233,A_Type_Volume!$A:$A,0),1),IF($E233="VAM",INDEX(C_Type_Volume!$D:$D,MATCH($D233,C_Type_Volume!$A:$A,0),1),"X")),"")</f>
        <v>100679</v>
      </c>
      <c r="BC233" s="19">
        <f>IFERROR(IF($E233="REC",INDEX(A_Type_Volume!$E:$E,MATCH($D233,A_Type_Volume!$A:$A,0),1),IF($E233="VAM",INDEX(C_Type_Volume!$E:$E,MATCH($D233,C_Type_Volume!$A:$A,0),1),"X")),"")</f>
        <v>73196</v>
      </c>
      <c r="BD233" s="19">
        <f>IFERROR(IF($E233="REC",INDEX(A_Type_Volume!$F:$F,MATCH($D233,A_Type_Volume!$A:$A,0),1),IF($E233="VAM",INDEX(C_Type_Volume!$F:$F,MATCH($D233,C_Type_Volume!$A:$A,0),1),"X")),"")</f>
        <v>82084</v>
      </c>
      <c r="BE233" s="19">
        <f>IFERROR(IF($E233="REC",INDEX(A_Type_Volume!$G:$G,MATCH($D233,A_Type_Volume!$A:$A,0),1),IF($E233="VAM",INDEX(C_Type_Volume!$G:$G,MATCH($D233,C_Type_Volume!$A:$A,0),1),"X")),"")</f>
        <v>75004</v>
      </c>
      <c r="BF233" s="19">
        <f>IFERROR(IF($E233="REC",INDEX(A_Type_Volume!$H:$H,MATCH($D233,A_Type_Volume!$A:$A,0),1),IF($E233="VAM",INDEX(C_Type_Volume!$H:$H,MATCH($D233,C_Type_Volume!$A:$A,0),1),"X")),"")</f>
        <v>76595</v>
      </c>
      <c r="BG233" s="19">
        <f>IFERROR(IF($E233="REC",INDEX(A_Type_Volume!$I:$I,MATCH($D233,A_Type_Volume!$A:$A,0),1),IF($E233="VAM",INDEX(C_Type_Volume!$I:$I,MATCH($D233,C_Type_Volume!$A:$A,0),1),"X")),"")</f>
        <v>59928</v>
      </c>
      <c r="BH233" s="19">
        <f>IFERROR(IF($E233="REC",INDEX(A_Type_Volume!$J:$J,MATCH($D233,A_Type_Volume!$A:$A,0),1),IF($E233="VAM",INDEX(C_Type_Volume!$J:$J,MATCH($D233,C_Type_Volume!$A:$A,0),1),"X")),"")</f>
        <v>69928</v>
      </c>
      <c r="BI233" s="19">
        <f>IFERROR(IF($E233="REC",INDEX(A_Type_Volume!$K:$K,MATCH($D233,A_Type_Volume!$A:$A,0),1),IF($E233="VAM",INDEX(C_Type_Volume!$K:$K,MATCH($D233,C_Type_Volume!$A:$A,0),1),"X")),"")</f>
        <v>39573</v>
      </c>
      <c r="BJ233" s="19">
        <f>IFERROR(IF($E233="REC",INDEX(A_Type_Volume!$L:$L,MATCH($D233,A_Type_Volume!$A:$A,0),1),IF($E233="VAM",INDEX(C_Type_Volume!$L:$L,MATCH($D233,C_Type_Volume!$A:$A,0),1),"X")),"")</f>
        <v>34911</v>
      </c>
      <c r="BK233" s="19">
        <f>IFERROR(IF($E233="REC",INDEX(A_Type_Volume!M:M,MATCH($D233,A_Type_Volume!$A:$A,0),1),IF($E233="VAM",INDEX(C_Type_Volume!M:M,MATCH($D233,C_Type_Volume!$A:$A,0),1),"X")),"")</f>
        <v>0</v>
      </c>
      <c r="BL233" s="38">
        <f>SUM(Table1[[#This Row],[Jan_AVF]:[Dec_AVF]])</f>
        <v>731383</v>
      </c>
      <c r="BM233" s="16">
        <f t="shared" si="190"/>
        <v>1157.8843493689271</v>
      </c>
      <c r="BN233" s="16">
        <f t="shared" si="191"/>
        <v>2086.2607400731367</v>
      </c>
      <c r="BO233" s="16">
        <f t="shared" si="192"/>
        <v>2733.542147214609</v>
      </c>
      <c r="BP233" s="16">
        <f t="shared" si="193"/>
        <v>1987.3494075976173</v>
      </c>
      <c r="BQ233" s="16">
        <f t="shared" si="194"/>
        <v>2228.6680798574075</v>
      </c>
      <c r="BR233" s="16">
        <f t="shared" si="195"/>
        <v>2036.4385344479438</v>
      </c>
      <c r="BS233" s="16">
        <f t="shared" si="196"/>
        <v>2079.6358800336016</v>
      </c>
      <c r="BT233" s="16">
        <f t="shared" si="197"/>
        <v>1627.1090674150228</v>
      </c>
      <c r="BU233" s="16">
        <f t="shared" si="198"/>
        <v>1898.6197247730229</v>
      </c>
      <c r="BV233" s="16">
        <f t="shared" si="199"/>
        <v>1074.4491243628136</v>
      </c>
      <c r="BW233" s="16">
        <f t="shared" si="200"/>
        <v>947.87085590251399</v>
      </c>
      <c r="BX233" s="16">
        <f t="shared" si="201"/>
        <v>0</v>
      </c>
      <c r="BY233" s="10">
        <f t="shared" si="168"/>
        <v>5977.6872366566731</v>
      </c>
      <c r="BZ233" s="10">
        <f t="shared" si="169"/>
        <v>6252.4560219029681</v>
      </c>
      <c r="CA233" s="10">
        <f t="shared" si="170"/>
        <v>5605.3646722216472</v>
      </c>
      <c r="CB233" s="10">
        <f t="shared" si="171"/>
        <v>2022.3199802653276</v>
      </c>
      <c r="CC233" s="10">
        <f>IFERROR(Table1[[#This Row],[Labor
Saving]]*Table1[[#This Row],[Annual Volume]],"")</f>
        <v>11621.175018921604</v>
      </c>
      <c r="CD233" s="10">
        <f>IFERROR(Table1[[#This Row],[Annual Volume]]*Table1[[#This Row],[Yield
Saving]],"")</f>
        <v>0</v>
      </c>
      <c r="CE233" s="10">
        <f>IFERROR(Table1[[#This Row],[Annual Volume]]*Table1[[#This Row],[Material
Saving]],"")</f>
        <v>8236.6528921250119</v>
      </c>
      <c r="CF233" s="10">
        <f>IFERROR(Table1[[#This Row],[OH
Saving]]*Table1[[#This Row],[Annual Volume]],"")</f>
        <v>0</v>
      </c>
      <c r="CG233" s="10">
        <f>SUM(Table1[[#This Row],[Labor_ASV]:[OH_ASV]])</f>
        <v>19857.827911046617</v>
      </c>
    </row>
    <row r="234" spans="1:85" x14ac:dyDescent="0.3">
      <c r="A234" t="str">
        <f>Table1[[#This Row],[Project Name]]&amp;Table1[[#This Row],[Part Number]]</f>
        <v>Diamond Blade 10%R84</v>
      </c>
      <c r="B234" t="str">
        <f>IFERROR(Table1[[#This Row],[Project Number]]&amp;Table1[[#This Row],[Part Number]],"")</f>
        <v>AME25-087R84</v>
      </c>
      <c r="C234" s="22" t="s">
        <v>134</v>
      </c>
      <c r="D234" s="24" t="s">
        <v>322</v>
      </c>
      <c r="E234" s="25" t="s">
        <v>58</v>
      </c>
      <c r="F234" s="6">
        <f>INDEX(Proj_Reg!G:G,MATCH($C234,Proj_Reg!$B:$B,0),1)</f>
        <v>46174</v>
      </c>
      <c r="G234" s="6">
        <f>INDEX(Proj_Reg!H:H,MATCH($C234,Proj_Reg!$B:$B,0),1)</f>
        <v>46508</v>
      </c>
      <c r="H234" s="6" t="str">
        <f>IF(INDEX(Proj_Reg!C:C,MATCH($C234,Proj_Reg!$B:$B,0),1)=0,"",INDEX(Proj_Reg!C:C,MATCH($C234,Proj_Reg!$B:$B,0),1))</f>
        <v>Wafer Saw Dicing</v>
      </c>
      <c r="I234" s="6" t="str">
        <f>IF(INDEX(Proj_Reg!D:D,MATCH($C234,Proj_Reg!$B:$B,0),1)=0,"",INDEX(Proj_Reg!D:D,MATCH($C234,Proj_Reg!$B:$B,0),1))</f>
        <v>XCD</v>
      </c>
      <c r="J234" s="6" t="str">
        <f>INDEX(Proj_Reg!E:E,MATCH($C234,Proj_Reg!$B:$B,0),1)</f>
        <v>Diamond Blade 10%</v>
      </c>
      <c r="K234" s="21">
        <v>1.5528830400000004E-2</v>
      </c>
      <c r="L234" s="21">
        <v>0</v>
      </c>
      <c r="M234" s="21">
        <v>1.1261750535800001E-2</v>
      </c>
      <c r="N234" s="21">
        <v>0</v>
      </c>
      <c r="O234" s="11">
        <f>SUM(Table1[[#This Row],[Labor
Saving]:[OH
Saving]])</f>
        <v>2.6790580935800005E-2</v>
      </c>
      <c r="Q234" s="40">
        <f t="shared" si="152"/>
        <v>0</v>
      </c>
      <c r="R234" s="40">
        <f t="shared" si="153"/>
        <v>0</v>
      </c>
      <c r="S234" s="40">
        <f t="shared" si="154"/>
        <v>0</v>
      </c>
      <c r="T234" s="40">
        <f t="shared" si="155"/>
        <v>0</v>
      </c>
      <c r="U234" s="40">
        <f t="shared" si="156"/>
        <v>0</v>
      </c>
      <c r="V234" s="40">
        <f t="shared" si="157"/>
        <v>22501.200000000001</v>
      </c>
      <c r="W234" s="40">
        <f t="shared" si="158"/>
        <v>76595</v>
      </c>
      <c r="X234" s="40">
        <f t="shared" si="159"/>
        <v>59928</v>
      </c>
      <c r="Y234" s="40">
        <f t="shared" si="160"/>
        <v>69928</v>
      </c>
      <c r="Z234" s="40">
        <f t="shared" si="161"/>
        <v>39573</v>
      </c>
      <c r="AA234" s="40">
        <f t="shared" si="162"/>
        <v>34911</v>
      </c>
      <c r="AB234" s="40">
        <f t="shared" si="163"/>
        <v>0</v>
      </c>
      <c r="AC234" s="37">
        <f>SUM(Table1[[#This Row],[Jan]:[Dec]])</f>
        <v>303436.2</v>
      </c>
      <c r="AD234" s="15">
        <f t="shared" si="172"/>
        <v>0</v>
      </c>
      <c r="AE234" s="15">
        <f t="shared" si="173"/>
        <v>0</v>
      </c>
      <c r="AF234" s="15">
        <f t="shared" si="174"/>
        <v>0</v>
      </c>
      <c r="AG234" s="15">
        <f t="shared" si="175"/>
        <v>0</v>
      </c>
      <c r="AH234" s="15">
        <f t="shared" si="176"/>
        <v>0</v>
      </c>
      <c r="AI234" s="15">
        <f t="shared" si="177"/>
        <v>602.82021975262307</v>
      </c>
      <c r="AJ234" s="15">
        <f t="shared" si="178"/>
        <v>2052.0245467776012</v>
      </c>
      <c r="AK234" s="15">
        <f t="shared" si="179"/>
        <v>1605.5059343206226</v>
      </c>
      <c r="AL234" s="15">
        <f t="shared" si="180"/>
        <v>1873.4117436786228</v>
      </c>
      <c r="AM234" s="15">
        <f t="shared" si="181"/>
        <v>1060.1836593724136</v>
      </c>
      <c r="AN234" s="15">
        <f t="shared" si="182"/>
        <v>935.28597104971402</v>
      </c>
      <c r="AO234" s="15">
        <f t="shared" si="183"/>
        <v>0</v>
      </c>
      <c r="AP234" s="10">
        <f t="shared" si="184"/>
        <v>0</v>
      </c>
      <c r="AQ234" s="10">
        <f t="shared" si="185"/>
        <v>602.82021975262307</v>
      </c>
      <c r="AR234" s="10">
        <f t="shared" si="186"/>
        <v>5530.9422247768471</v>
      </c>
      <c r="AS234" s="10">
        <f t="shared" si="187"/>
        <v>1995.4696304221275</v>
      </c>
      <c r="AT234" s="10" t="b">
        <f t="shared" si="188"/>
        <v>1</v>
      </c>
      <c r="AU234" s="10">
        <f t="shared" si="164"/>
        <v>4712.0092870204817</v>
      </c>
      <c r="AV234" s="10">
        <f t="shared" si="165"/>
        <v>0</v>
      </c>
      <c r="AW234" s="10">
        <f t="shared" si="166"/>
        <v>3417.2227879311163</v>
      </c>
      <c r="AX234" s="10">
        <f t="shared" si="167"/>
        <v>0</v>
      </c>
      <c r="AY234" s="10">
        <f t="shared" si="189"/>
        <v>8129.2320749515984</v>
      </c>
      <c r="AZ234" s="19">
        <f>IFERROR(IF($E234="REC",INDEX(A_Type_Volume!$B:$B,MATCH($D234,A_Type_Volume!$A:$A,0),1),IF($E234="VAM",INDEX(C_Type_Volume!$B:$B,MATCH($D234,C_Type_Volume!$A:$A,0),1),"X")),"")</f>
        <v>42646</v>
      </c>
      <c r="BA234" s="19">
        <f>IFERROR(IF($E234="REC",INDEX(A_Type_Volume!$C:$C,MATCH($D234,A_Type_Volume!$A:$A,0),1),IF($E234="VAM",INDEX(C_Type_Volume!$C:$C,MATCH($D234,C_Type_Volume!$A:$A,0),1),"X")),"")</f>
        <v>76839</v>
      </c>
      <c r="BB234" s="19">
        <f>IFERROR(IF($E234="REC",INDEX(A_Type_Volume!$D:$D,MATCH($D234,A_Type_Volume!$A:$A,0),1),IF($E234="VAM",INDEX(C_Type_Volume!$D:$D,MATCH($D234,C_Type_Volume!$A:$A,0),1),"X")),"")</f>
        <v>100679</v>
      </c>
      <c r="BC234" s="19">
        <f>IFERROR(IF($E234="REC",INDEX(A_Type_Volume!$E:$E,MATCH($D234,A_Type_Volume!$A:$A,0),1),IF($E234="VAM",INDEX(C_Type_Volume!$E:$E,MATCH($D234,C_Type_Volume!$A:$A,0),1),"X")),"")</f>
        <v>73196</v>
      </c>
      <c r="BD234" s="19">
        <f>IFERROR(IF($E234="REC",INDEX(A_Type_Volume!$F:$F,MATCH($D234,A_Type_Volume!$A:$A,0),1),IF($E234="VAM",INDEX(C_Type_Volume!$F:$F,MATCH($D234,C_Type_Volume!$A:$A,0),1),"X")),"")</f>
        <v>82084</v>
      </c>
      <c r="BE234" s="19">
        <f>IFERROR(IF($E234="REC",INDEX(A_Type_Volume!$G:$G,MATCH($D234,A_Type_Volume!$A:$A,0),1),IF($E234="VAM",INDEX(C_Type_Volume!$G:$G,MATCH($D234,C_Type_Volume!$A:$A,0),1),"X")),"")</f>
        <v>75004</v>
      </c>
      <c r="BF234" s="19">
        <f>IFERROR(IF($E234="REC",INDEX(A_Type_Volume!$H:$H,MATCH($D234,A_Type_Volume!$A:$A,0),1),IF($E234="VAM",INDEX(C_Type_Volume!$H:$H,MATCH($D234,C_Type_Volume!$A:$A,0),1),"X")),"")</f>
        <v>76595</v>
      </c>
      <c r="BG234" s="19">
        <f>IFERROR(IF($E234="REC",INDEX(A_Type_Volume!$I:$I,MATCH($D234,A_Type_Volume!$A:$A,0),1),IF($E234="VAM",INDEX(C_Type_Volume!$I:$I,MATCH($D234,C_Type_Volume!$A:$A,0),1),"X")),"")</f>
        <v>59928</v>
      </c>
      <c r="BH234" s="19">
        <f>IFERROR(IF($E234="REC",INDEX(A_Type_Volume!$J:$J,MATCH($D234,A_Type_Volume!$A:$A,0),1),IF($E234="VAM",INDEX(C_Type_Volume!$J:$J,MATCH($D234,C_Type_Volume!$A:$A,0),1),"X")),"")</f>
        <v>69928</v>
      </c>
      <c r="BI234" s="19">
        <f>IFERROR(IF($E234="REC",INDEX(A_Type_Volume!$K:$K,MATCH($D234,A_Type_Volume!$A:$A,0),1),IF($E234="VAM",INDEX(C_Type_Volume!$K:$K,MATCH($D234,C_Type_Volume!$A:$A,0),1),"X")),"")</f>
        <v>39573</v>
      </c>
      <c r="BJ234" s="19">
        <f>IFERROR(IF($E234="REC",INDEX(A_Type_Volume!$L:$L,MATCH($D234,A_Type_Volume!$A:$A,0),1),IF($E234="VAM",INDEX(C_Type_Volume!$L:$L,MATCH($D234,C_Type_Volume!$A:$A,0),1),"X")),"")</f>
        <v>34911</v>
      </c>
      <c r="BK234" s="19">
        <f>IFERROR(IF($E234="REC",INDEX(A_Type_Volume!M:M,MATCH($D234,A_Type_Volume!$A:$A,0),1),IF($E234="VAM",INDEX(C_Type_Volume!M:M,MATCH($D234,C_Type_Volume!$A:$A,0),1),"X")),"")</f>
        <v>0</v>
      </c>
      <c r="BL234" s="38">
        <f>SUM(Table1[[#This Row],[Jan_AVF]:[Dec_AVF]])</f>
        <v>731383</v>
      </c>
      <c r="BM234" s="16">
        <f t="shared" si="190"/>
        <v>1142.5111145881269</v>
      </c>
      <c r="BN234" s="16">
        <f t="shared" si="191"/>
        <v>2058.5614485259366</v>
      </c>
      <c r="BO234" s="16">
        <f t="shared" si="192"/>
        <v>2697.2488980354087</v>
      </c>
      <c r="BP234" s="16">
        <f t="shared" si="193"/>
        <v>1960.9633621768171</v>
      </c>
      <c r="BQ234" s="16">
        <f t="shared" si="194"/>
        <v>2199.0780455342074</v>
      </c>
      <c r="BR234" s="16">
        <f t="shared" si="195"/>
        <v>2009.4007325087437</v>
      </c>
      <c r="BS234" s="16">
        <f t="shared" si="196"/>
        <v>2052.0245467776012</v>
      </c>
      <c r="BT234" s="16">
        <f t="shared" si="197"/>
        <v>1605.5059343206226</v>
      </c>
      <c r="BU234" s="16">
        <f t="shared" si="198"/>
        <v>1873.4117436786228</v>
      </c>
      <c r="BV234" s="16">
        <f t="shared" si="199"/>
        <v>1060.1836593724136</v>
      </c>
      <c r="BW234" s="16">
        <f t="shared" si="200"/>
        <v>935.28597104971402</v>
      </c>
      <c r="BX234" s="16">
        <f t="shared" si="201"/>
        <v>0</v>
      </c>
      <c r="BY234" s="10">
        <f t="shared" si="168"/>
        <v>5898.3214611494723</v>
      </c>
      <c r="BZ234" s="10">
        <f t="shared" si="169"/>
        <v>6169.4421402197677</v>
      </c>
      <c r="CA234" s="10">
        <f t="shared" si="170"/>
        <v>5530.9422247768471</v>
      </c>
      <c r="CB234" s="10">
        <f t="shared" si="171"/>
        <v>1995.4696304221275</v>
      </c>
      <c r="CC234" s="10">
        <f>IFERROR(Table1[[#This Row],[Labor
Saving]]*Table1[[#This Row],[Annual Volume]],"")</f>
        <v>11357.522564443203</v>
      </c>
      <c r="CD234" s="10">
        <f>IFERROR(Table1[[#This Row],[Annual Volume]]*Table1[[#This Row],[Yield
Saving]],"")</f>
        <v>0</v>
      </c>
      <c r="CE234" s="10">
        <f>IFERROR(Table1[[#This Row],[Annual Volume]]*Table1[[#This Row],[Material
Saving]],"")</f>
        <v>8236.6528921250119</v>
      </c>
      <c r="CF234" s="10">
        <f>IFERROR(Table1[[#This Row],[OH
Saving]]*Table1[[#This Row],[Annual Volume]],"")</f>
        <v>0</v>
      </c>
      <c r="CG234" s="10">
        <f>SUM(Table1[[#This Row],[Labor_ASV]:[OH_ASV]])</f>
        <v>19594.175456568213</v>
      </c>
    </row>
    <row r="235" spans="1:85" x14ac:dyDescent="0.3">
      <c r="A235" t="str">
        <f>Table1[[#This Row],[Project Name]]&amp;Table1[[#This Row],[Part Number]]</f>
        <v>Diamond Blade 10%R83</v>
      </c>
      <c r="B235" t="str">
        <f>IFERROR(Table1[[#This Row],[Project Number]]&amp;Table1[[#This Row],[Part Number]],"")</f>
        <v>AME25-087R83</v>
      </c>
      <c r="C235" s="22" t="s">
        <v>134</v>
      </c>
      <c r="D235" s="24" t="s">
        <v>321</v>
      </c>
      <c r="E235" s="25" t="s">
        <v>58</v>
      </c>
      <c r="F235" s="6">
        <f>INDEX(Proj_Reg!G:G,MATCH($C235,Proj_Reg!$B:$B,0),1)</f>
        <v>46174</v>
      </c>
      <c r="G235" s="6">
        <f>INDEX(Proj_Reg!H:H,MATCH($C235,Proj_Reg!$B:$B,0),1)</f>
        <v>46508</v>
      </c>
      <c r="H235" s="6" t="str">
        <f>IF(INDEX(Proj_Reg!C:C,MATCH($C235,Proj_Reg!$B:$B,0),1)=0,"",INDEX(Proj_Reg!C:C,MATCH($C235,Proj_Reg!$B:$B,0),1))</f>
        <v>Wafer Saw Dicing</v>
      </c>
      <c r="I235" s="6" t="str">
        <f>IF(INDEX(Proj_Reg!D:D,MATCH($C235,Proj_Reg!$B:$B,0),1)=0,"",INDEX(Proj_Reg!D:D,MATCH($C235,Proj_Reg!$B:$B,0),1))</f>
        <v>XCD</v>
      </c>
      <c r="J235" s="6" t="str">
        <f>INDEX(Proj_Reg!E:E,MATCH($C235,Proj_Reg!$B:$B,0),1)</f>
        <v>Diamond Blade 10%</v>
      </c>
      <c r="K235" s="21">
        <v>1.0313376000000001E-2</v>
      </c>
      <c r="L235" s="21">
        <v>0</v>
      </c>
      <c r="M235" s="21">
        <v>1.3762005080700015E-2</v>
      </c>
      <c r="N235" s="21">
        <v>0</v>
      </c>
      <c r="O235" s="11">
        <f>SUM(Table1[[#This Row],[Labor
Saving]:[OH
Saving]])</f>
        <v>2.4075381080700016E-2</v>
      </c>
      <c r="Q235" s="40">
        <f t="shared" si="152"/>
        <v>0</v>
      </c>
      <c r="R235" s="40">
        <f t="shared" si="153"/>
        <v>0</v>
      </c>
      <c r="S235" s="40">
        <f t="shared" si="154"/>
        <v>0</v>
      </c>
      <c r="T235" s="40">
        <f t="shared" si="155"/>
        <v>0</v>
      </c>
      <c r="U235" s="40">
        <f t="shared" si="156"/>
        <v>0</v>
      </c>
      <c r="V235" s="40">
        <f t="shared" si="157"/>
        <v>22501.200000000001</v>
      </c>
      <c r="W235" s="40">
        <f t="shared" si="158"/>
        <v>76595</v>
      </c>
      <c r="X235" s="40">
        <f t="shared" si="159"/>
        <v>59928</v>
      </c>
      <c r="Y235" s="40">
        <f t="shared" si="160"/>
        <v>69928</v>
      </c>
      <c r="Z235" s="40">
        <f t="shared" si="161"/>
        <v>39573</v>
      </c>
      <c r="AA235" s="40">
        <f t="shared" si="162"/>
        <v>34911</v>
      </c>
      <c r="AB235" s="40">
        <f t="shared" si="163"/>
        <v>0</v>
      </c>
      <c r="AC235" s="37">
        <f>SUM(Table1[[#This Row],[Jan]:[Dec]])</f>
        <v>303436.2</v>
      </c>
      <c r="AD235" s="15">
        <f t="shared" si="172"/>
        <v>0</v>
      </c>
      <c r="AE235" s="15">
        <f t="shared" si="173"/>
        <v>0</v>
      </c>
      <c r="AF235" s="15">
        <f t="shared" si="174"/>
        <v>0</v>
      </c>
      <c r="AG235" s="15">
        <f t="shared" si="175"/>
        <v>0</v>
      </c>
      <c r="AH235" s="15">
        <f t="shared" si="176"/>
        <v>0</v>
      </c>
      <c r="AI235" s="15">
        <f t="shared" si="177"/>
        <v>541.72496477304719</v>
      </c>
      <c r="AJ235" s="15">
        <f t="shared" si="178"/>
        <v>1844.0538138762176</v>
      </c>
      <c r="AK235" s="15">
        <f t="shared" si="179"/>
        <v>1442.7894374041905</v>
      </c>
      <c r="AL235" s="15">
        <f t="shared" si="180"/>
        <v>1683.5432482111908</v>
      </c>
      <c r="AM235" s="15">
        <f t="shared" si="181"/>
        <v>952.7350555065417</v>
      </c>
      <c r="AN235" s="15">
        <f t="shared" si="182"/>
        <v>840.49562890831828</v>
      </c>
      <c r="AO235" s="15">
        <f t="shared" si="183"/>
        <v>0</v>
      </c>
      <c r="AP235" s="10">
        <f t="shared" si="184"/>
        <v>0</v>
      </c>
      <c r="AQ235" s="10">
        <f t="shared" si="185"/>
        <v>541.72496477304719</v>
      </c>
      <c r="AR235" s="10">
        <f t="shared" si="186"/>
        <v>4970.3864994915994</v>
      </c>
      <c r="AS235" s="10">
        <f t="shared" si="187"/>
        <v>1793.23068441486</v>
      </c>
      <c r="AT235" s="10" t="b">
        <f t="shared" si="188"/>
        <v>1</v>
      </c>
      <c r="AU235" s="10">
        <f t="shared" si="164"/>
        <v>3129.4516226112005</v>
      </c>
      <c r="AV235" s="10">
        <f t="shared" si="165"/>
        <v>0</v>
      </c>
      <c r="AW235" s="10">
        <f t="shared" si="166"/>
        <v>4175.8905260683059</v>
      </c>
      <c r="AX235" s="10">
        <f t="shared" si="167"/>
        <v>0</v>
      </c>
      <c r="AY235" s="10">
        <f t="shared" si="189"/>
        <v>7305.3421486795069</v>
      </c>
      <c r="AZ235" s="19">
        <f>IFERROR(IF($E235="REC",INDEX(A_Type_Volume!$B:$B,MATCH($D235,A_Type_Volume!$A:$A,0),1),IF($E235="VAM",INDEX(C_Type_Volume!$B:$B,MATCH($D235,C_Type_Volume!$A:$A,0),1),"X")),"")</f>
        <v>42646</v>
      </c>
      <c r="BA235" s="19">
        <f>IFERROR(IF($E235="REC",INDEX(A_Type_Volume!$C:$C,MATCH($D235,A_Type_Volume!$A:$A,0),1),IF($E235="VAM",INDEX(C_Type_Volume!$C:$C,MATCH($D235,C_Type_Volume!$A:$A,0),1),"X")),"")</f>
        <v>76839</v>
      </c>
      <c r="BB235" s="19">
        <f>IFERROR(IF($E235="REC",INDEX(A_Type_Volume!$D:$D,MATCH($D235,A_Type_Volume!$A:$A,0),1),IF($E235="VAM",INDEX(C_Type_Volume!$D:$D,MATCH($D235,C_Type_Volume!$A:$A,0),1),"X")),"")</f>
        <v>100679</v>
      </c>
      <c r="BC235" s="19">
        <f>IFERROR(IF($E235="REC",INDEX(A_Type_Volume!$E:$E,MATCH($D235,A_Type_Volume!$A:$A,0),1),IF($E235="VAM",INDEX(C_Type_Volume!$E:$E,MATCH($D235,C_Type_Volume!$A:$A,0),1),"X")),"")</f>
        <v>73196</v>
      </c>
      <c r="BD235" s="19">
        <f>IFERROR(IF($E235="REC",INDEX(A_Type_Volume!$F:$F,MATCH($D235,A_Type_Volume!$A:$A,0),1),IF($E235="VAM",INDEX(C_Type_Volume!$F:$F,MATCH($D235,C_Type_Volume!$A:$A,0),1),"X")),"")</f>
        <v>82084</v>
      </c>
      <c r="BE235" s="19">
        <f>IFERROR(IF($E235="REC",INDEX(A_Type_Volume!$G:$G,MATCH($D235,A_Type_Volume!$A:$A,0),1),IF($E235="VAM",INDEX(C_Type_Volume!$G:$G,MATCH($D235,C_Type_Volume!$A:$A,0),1),"X")),"")</f>
        <v>75004</v>
      </c>
      <c r="BF235" s="19">
        <f>IFERROR(IF($E235="REC",INDEX(A_Type_Volume!$H:$H,MATCH($D235,A_Type_Volume!$A:$A,0),1),IF($E235="VAM",INDEX(C_Type_Volume!$H:$H,MATCH($D235,C_Type_Volume!$A:$A,0),1),"X")),"")</f>
        <v>76595</v>
      </c>
      <c r="BG235" s="19">
        <f>IFERROR(IF($E235="REC",INDEX(A_Type_Volume!$I:$I,MATCH($D235,A_Type_Volume!$A:$A,0),1),IF($E235="VAM",INDEX(C_Type_Volume!$I:$I,MATCH($D235,C_Type_Volume!$A:$A,0),1),"X")),"")</f>
        <v>59928</v>
      </c>
      <c r="BH235" s="19">
        <f>IFERROR(IF($E235="REC",INDEX(A_Type_Volume!$J:$J,MATCH($D235,A_Type_Volume!$A:$A,0),1),IF($E235="VAM",INDEX(C_Type_Volume!$J:$J,MATCH($D235,C_Type_Volume!$A:$A,0),1),"X")),"")</f>
        <v>69928</v>
      </c>
      <c r="BI235" s="19">
        <f>IFERROR(IF($E235="REC",INDEX(A_Type_Volume!$K:$K,MATCH($D235,A_Type_Volume!$A:$A,0),1),IF($E235="VAM",INDEX(C_Type_Volume!$K:$K,MATCH($D235,C_Type_Volume!$A:$A,0),1),"X")),"")</f>
        <v>39573</v>
      </c>
      <c r="BJ235" s="19">
        <f>IFERROR(IF($E235="REC",INDEX(A_Type_Volume!$L:$L,MATCH($D235,A_Type_Volume!$A:$A,0),1),IF($E235="VAM",INDEX(C_Type_Volume!$L:$L,MATCH($D235,C_Type_Volume!$A:$A,0),1),"X")),"")</f>
        <v>34911</v>
      </c>
      <c r="BK235" s="19">
        <f>IFERROR(IF($E235="REC",INDEX(A_Type_Volume!M:M,MATCH($D235,A_Type_Volume!$A:$A,0),1),IF($E235="VAM",INDEX(C_Type_Volume!M:M,MATCH($D235,C_Type_Volume!$A:$A,0),1),"X")),"")</f>
        <v>0</v>
      </c>
      <c r="BL235" s="38">
        <f>SUM(Table1[[#This Row],[Jan_AVF]:[Dec_AVF]])</f>
        <v>731383</v>
      </c>
      <c r="BM235" s="16">
        <f t="shared" si="190"/>
        <v>1026.7187015675329</v>
      </c>
      <c r="BN235" s="16">
        <f t="shared" si="191"/>
        <v>1849.9282068599086</v>
      </c>
      <c r="BO235" s="16">
        <f t="shared" si="192"/>
        <v>2423.8852918237967</v>
      </c>
      <c r="BP235" s="16">
        <f t="shared" si="193"/>
        <v>1762.2215935829183</v>
      </c>
      <c r="BQ235" s="16">
        <f t="shared" si="194"/>
        <v>1976.2035806281801</v>
      </c>
      <c r="BR235" s="16">
        <f t="shared" si="195"/>
        <v>1805.7498825768239</v>
      </c>
      <c r="BS235" s="16">
        <f t="shared" si="196"/>
        <v>1844.0538138762176</v>
      </c>
      <c r="BT235" s="16">
        <f t="shared" si="197"/>
        <v>1442.7894374041905</v>
      </c>
      <c r="BU235" s="16">
        <f t="shared" si="198"/>
        <v>1683.5432482111908</v>
      </c>
      <c r="BV235" s="16">
        <f t="shared" si="199"/>
        <v>952.7350555065417</v>
      </c>
      <c r="BW235" s="16">
        <f t="shared" si="200"/>
        <v>840.49562890831828</v>
      </c>
      <c r="BX235" s="16">
        <f t="shared" si="201"/>
        <v>0</v>
      </c>
      <c r="BY235" s="10">
        <f t="shared" si="168"/>
        <v>5300.5322002512385</v>
      </c>
      <c r="BZ235" s="10">
        <f t="shared" si="169"/>
        <v>5544.1750567879226</v>
      </c>
      <c r="CA235" s="10">
        <f t="shared" si="170"/>
        <v>4970.3864994915994</v>
      </c>
      <c r="CB235" s="10">
        <f t="shared" si="171"/>
        <v>1793.23068441486</v>
      </c>
      <c r="CC235" s="10">
        <f>IFERROR(Table1[[#This Row],[Labor
Saving]]*Table1[[#This Row],[Annual Volume]],"")</f>
        <v>7543.027879008001</v>
      </c>
      <c r="CD235" s="10">
        <f>IFERROR(Table1[[#This Row],[Annual Volume]]*Table1[[#This Row],[Yield
Saving]],"")</f>
        <v>0</v>
      </c>
      <c r="CE235" s="10">
        <f>IFERROR(Table1[[#This Row],[Annual Volume]]*Table1[[#This Row],[Material
Saving]],"")</f>
        <v>10065.296561937619</v>
      </c>
      <c r="CF235" s="10">
        <f>IFERROR(Table1[[#This Row],[OH
Saving]]*Table1[[#This Row],[Annual Volume]],"")</f>
        <v>0</v>
      </c>
      <c r="CG235" s="10">
        <f>SUM(Table1[[#This Row],[Labor_ASV]:[OH_ASV]])</f>
        <v>17608.32444094562</v>
      </c>
    </row>
    <row r="236" spans="1:85" x14ac:dyDescent="0.3">
      <c r="A236" t="str">
        <f>Table1[[#This Row],[Project Name]]&amp;Table1[[#This Row],[Part Number]]</f>
        <v>New Etching Chemical Nitric AcidR83</v>
      </c>
      <c r="B236" t="str">
        <f>IFERROR(Table1[[#This Row],[Project Number]]&amp;Table1[[#This Row],[Part Number]],"")</f>
        <v>AME25-071R83</v>
      </c>
      <c r="C236" s="22" t="s">
        <v>118</v>
      </c>
      <c r="D236" s="24" t="s">
        <v>321</v>
      </c>
      <c r="E236" s="25" t="s">
        <v>58</v>
      </c>
      <c r="F236" s="6">
        <f>INDEX(Proj_Reg!G:G,MATCH($C236,Proj_Reg!$B:$B,0),1)</f>
        <v>46204</v>
      </c>
      <c r="G236" s="6">
        <f>INDEX(Proj_Reg!H:H,MATCH($C236,Proj_Reg!$B:$B,0),1)</f>
        <v>46539</v>
      </c>
      <c r="H236" s="6" t="str">
        <f>IF(INDEX(Proj_Reg!C:C,MATCH($C236,Proj_Reg!$B:$B,0),1)=0,"",INDEX(Proj_Reg!C:C,MATCH($C236,Proj_Reg!$B:$B,0),1))</f>
        <v>Wet Etching</v>
      </c>
      <c r="I236" s="6" t="str">
        <f>IF(INDEX(Proj_Reg!D:D,MATCH($C236,Proj_Reg!$B:$B,0),1)=0,"",INDEX(Proj_Reg!D:D,MATCH($C236,Proj_Reg!$B:$B,0),1))</f>
        <v>XWP</v>
      </c>
      <c r="J236" s="6" t="str">
        <f>INDEX(Proj_Reg!E:E,MATCH($C236,Proj_Reg!$B:$B,0),1)</f>
        <v>New Etching Chemical Nitric Acid</v>
      </c>
      <c r="K236" s="21">
        <v>1.0313376000000001E-2</v>
      </c>
      <c r="L236" s="21">
        <v>0</v>
      </c>
      <c r="M236" s="21">
        <v>1.3762005080700015E-2</v>
      </c>
      <c r="N236" s="21">
        <v>0</v>
      </c>
      <c r="O236" s="11">
        <f>SUM(Table1[[#This Row],[Labor
Saving]:[OH
Saving]])</f>
        <v>2.4075381080700016E-2</v>
      </c>
      <c r="Q236" s="40">
        <f t="shared" si="152"/>
        <v>0</v>
      </c>
      <c r="R236" s="40">
        <f t="shared" si="153"/>
        <v>0</v>
      </c>
      <c r="S236" s="40">
        <f t="shared" si="154"/>
        <v>0</v>
      </c>
      <c r="T236" s="40">
        <f t="shared" si="155"/>
        <v>0</v>
      </c>
      <c r="U236" s="40">
        <f t="shared" si="156"/>
        <v>0</v>
      </c>
      <c r="V236" s="40">
        <f t="shared" si="157"/>
        <v>0</v>
      </c>
      <c r="W236" s="40">
        <f t="shared" si="158"/>
        <v>22978.5</v>
      </c>
      <c r="X236" s="40">
        <f t="shared" si="159"/>
        <v>59928</v>
      </c>
      <c r="Y236" s="40">
        <f t="shared" si="160"/>
        <v>69928</v>
      </c>
      <c r="Z236" s="40">
        <f t="shared" si="161"/>
        <v>39573</v>
      </c>
      <c r="AA236" s="40">
        <f t="shared" si="162"/>
        <v>34911</v>
      </c>
      <c r="AB236" s="40">
        <f t="shared" si="163"/>
        <v>0</v>
      </c>
      <c r="AC236" s="37">
        <f>SUM(Table1[[#This Row],[Jan]:[Dec]])</f>
        <v>227318.5</v>
      </c>
      <c r="AD236" s="15">
        <f t="shared" si="172"/>
        <v>0</v>
      </c>
      <c r="AE236" s="15">
        <f t="shared" si="173"/>
        <v>0</v>
      </c>
      <c r="AF236" s="15">
        <f t="shared" si="174"/>
        <v>0</v>
      </c>
      <c r="AG236" s="15">
        <f t="shared" si="175"/>
        <v>0</v>
      </c>
      <c r="AH236" s="15">
        <f t="shared" si="176"/>
        <v>0</v>
      </c>
      <c r="AI236" s="15">
        <f t="shared" si="177"/>
        <v>0</v>
      </c>
      <c r="AJ236" s="15">
        <f t="shared" si="178"/>
        <v>553.21614416286536</v>
      </c>
      <c r="AK236" s="15">
        <f t="shared" si="179"/>
        <v>1442.7894374041905</v>
      </c>
      <c r="AL236" s="15">
        <f t="shared" si="180"/>
        <v>1683.5432482111908</v>
      </c>
      <c r="AM236" s="15">
        <f t="shared" si="181"/>
        <v>952.7350555065417</v>
      </c>
      <c r="AN236" s="15">
        <f t="shared" si="182"/>
        <v>840.49562890831828</v>
      </c>
      <c r="AO236" s="15">
        <f t="shared" si="183"/>
        <v>0</v>
      </c>
      <c r="AP236" s="10">
        <f t="shared" si="184"/>
        <v>0</v>
      </c>
      <c r="AQ236" s="10">
        <f t="shared" si="185"/>
        <v>0</v>
      </c>
      <c r="AR236" s="10">
        <f t="shared" si="186"/>
        <v>3679.5488297782467</v>
      </c>
      <c r="AS236" s="10">
        <f t="shared" si="187"/>
        <v>1793.23068441486</v>
      </c>
      <c r="AT236" s="10" t="b">
        <f t="shared" si="188"/>
        <v>1</v>
      </c>
      <c r="AU236" s="10">
        <f t="shared" si="164"/>
        <v>2344.4211622560001</v>
      </c>
      <c r="AV236" s="10">
        <f t="shared" si="165"/>
        <v>0</v>
      </c>
      <c r="AW236" s="10">
        <f t="shared" si="166"/>
        <v>3128.3583519371064</v>
      </c>
      <c r="AX236" s="10">
        <f t="shared" si="167"/>
        <v>0</v>
      </c>
      <c r="AY236" s="10">
        <f t="shared" si="189"/>
        <v>5472.7795141931065</v>
      </c>
      <c r="AZ236" s="19">
        <f>IFERROR(IF($E236="REC",INDEX(A_Type_Volume!$B:$B,MATCH($D236,A_Type_Volume!$A:$A,0),1),IF($E236="VAM",INDEX(C_Type_Volume!$B:$B,MATCH($D236,C_Type_Volume!$A:$A,0),1),"X")),"")</f>
        <v>42646</v>
      </c>
      <c r="BA236" s="19">
        <f>IFERROR(IF($E236="REC",INDEX(A_Type_Volume!$C:$C,MATCH($D236,A_Type_Volume!$A:$A,0),1),IF($E236="VAM",INDEX(C_Type_Volume!$C:$C,MATCH($D236,C_Type_Volume!$A:$A,0),1),"X")),"")</f>
        <v>76839</v>
      </c>
      <c r="BB236" s="19">
        <f>IFERROR(IF($E236="REC",INDEX(A_Type_Volume!$D:$D,MATCH($D236,A_Type_Volume!$A:$A,0),1),IF($E236="VAM",INDEX(C_Type_Volume!$D:$D,MATCH($D236,C_Type_Volume!$A:$A,0),1),"X")),"")</f>
        <v>100679</v>
      </c>
      <c r="BC236" s="19">
        <f>IFERROR(IF($E236="REC",INDEX(A_Type_Volume!$E:$E,MATCH($D236,A_Type_Volume!$A:$A,0),1),IF($E236="VAM",INDEX(C_Type_Volume!$E:$E,MATCH($D236,C_Type_Volume!$A:$A,0),1),"X")),"")</f>
        <v>73196</v>
      </c>
      <c r="BD236" s="19">
        <f>IFERROR(IF($E236="REC",INDEX(A_Type_Volume!$F:$F,MATCH($D236,A_Type_Volume!$A:$A,0),1),IF($E236="VAM",INDEX(C_Type_Volume!$F:$F,MATCH($D236,C_Type_Volume!$A:$A,0),1),"X")),"")</f>
        <v>82084</v>
      </c>
      <c r="BE236" s="19">
        <f>IFERROR(IF($E236="REC",INDEX(A_Type_Volume!$G:$G,MATCH($D236,A_Type_Volume!$A:$A,0),1),IF($E236="VAM",INDEX(C_Type_Volume!$G:$G,MATCH($D236,C_Type_Volume!$A:$A,0),1),"X")),"")</f>
        <v>75004</v>
      </c>
      <c r="BF236" s="19">
        <f>IFERROR(IF($E236="REC",INDEX(A_Type_Volume!$H:$H,MATCH($D236,A_Type_Volume!$A:$A,0),1),IF($E236="VAM",INDEX(C_Type_Volume!$H:$H,MATCH($D236,C_Type_Volume!$A:$A,0),1),"X")),"")</f>
        <v>76595</v>
      </c>
      <c r="BG236" s="19">
        <f>IFERROR(IF($E236="REC",INDEX(A_Type_Volume!$I:$I,MATCH($D236,A_Type_Volume!$A:$A,0),1),IF($E236="VAM",INDEX(C_Type_Volume!$I:$I,MATCH($D236,C_Type_Volume!$A:$A,0),1),"X")),"")</f>
        <v>59928</v>
      </c>
      <c r="BH236" s="19">
        <f>IFERROR(IF($E236="REC",INDEX(A_Type_Volume!$J:$J,MATCH($D236,A_Type_Volume!$A:$A,0),1),IF($E236="VAM",INDEX(C_Type_Volume!$J:$J,MATCH($D236,C_Type_Volume!$A:$A,0),1),"X")),"")</f>
        <v>69928</v>
      </c>
      <c r="BI236" s="19">
        <f>IFERROR(IF($E236="REC",INDEX(A_Type_Volume!$K:$K,MATCH($D236,A_Type_Volume!$A:$A,0),1),IF($E236="VAM",INDEX(C_Type_Volume!$K:$K,MATCH($D236,C_Type_Volume!$A:$A,0),1),"X")),"")</f>
        <v>39573</v>
      </c>
      <c r="BJ236" s="19">
        <f>IFERROR(IF($E236="REC",INDEX(A_Type_Volume!$L:$L,MATCH($D236,A_Type_Volume!$A:$A,0),1),IF($E236="VAM",INDEX(C_Type_Volume!$L:$L,MATCH($D236,C_Type_Volume!$A:$A,0),1),"X")),"")</f>
        <v>34911</v>
      </c>
      <c r="BK236" s="19">
        <f>IFERROR(IF($E236="REC",INDEX(A_Type_Volume!M:M,MATCH($D236,A_Type_Volume!$A:$A,0),1),IF($E236="VAM",INDEX(C_Type_Volume!M:M,MATCH($D236,C_Type_Volume!$A:$A,0),1),"X")),"")</f>
        <v>0</v>
      </c>
      <c r="BL236" s="38">
        <f>SUM(Table1[[#This Row],[Jan_AVF]:[Dec_AVF]])</f>
        <v>731383</v>
      </c>
      <c r="BM236" s="16">
        <f t="shared" si="190"/>
        <v>1026.7187015675329</v>
      </c>
      <c r="BN236" s="16">
        <f t="shared" si="191"/>
        <v>1849.9282068599086</v>
      </c>
      <c r="BO236" s="16">
        <f t="shared" si="192"/>
        <v>2423.8852918237967</v>
      </c>
      <c r="BP236" s="16">
        <f t="shared" si="193"/>
        <v>1762.2215935829183</v>
      </c>
      <c r="BQ236" s="16">
        <f t="shared" si="194"/>
        <v>1976.2035806281801</v>
      </c>
      <c r="BR236" s="16">
        <f t="shared" si="195"/>
        <v>1805.7498825768239</v>
      </c>
      <c r="BS236" s="16">
        <f t="shared" si="196"/>
        <v>1844.0538138762176</v>
      </c>
      <c r="BT236" s="16">
        <f t="shared" si="197"/>
        <v>1442.7894374041905</v>
      </c>
      <c r="BU236" s="16">
        <f t="shared" si="198"/>
        <v>1683.5432482111908</v>
      </c>
      <c r="BV236" s="16">
        <f t="shared" si="199"/>
        <v>952.7350555065417</v>
      </c>
      <c r="BW236" s="16">
        <f t="shared" si="200"/>
        <v>840.49562890831828</v>
      </c>
      <c r="BX236" s="16">
        <f t="shared" si="201"/>
        <v>0</v>
      </c>
      <c r="BY236" s="10">
        <f t="shared" si="168"/>
        <v>5300.5322002512385</v>
      </c>
      <c r="BZ236" s="10">
        <f t="shared" si="169"/>
        <v>5544.1750567879226</v>
      </c>
      <c r="CA236" s="10">
        <f t="shared" si="170"/>
        <v>4970.3864994915994</v>
      </c>
      <c r="CB236" s="10">
        <f t="shared" si="171"/>
        <v>1793.23068441486</v>
      </c>
      <c r="CC236" s="10">
        <f>IFERROR(Table1[[#This Row],[Labor
Saving]]*Table1[[#This Row],[Annual Volume]],"")</f>
        <v>7543.027879008001</v>
      </c>
      <c r="CD236" s="10">
        <f>IFERROR(Table1[[#This Row],[Annual Volume]]*Table1[[#This Row],[Yield
Saving]],"")</f>
        <v>0</v>
      </c>
      <c r="CE236" s="10">
        <f>IFERROR(Table1[[#This Row],[Annual Volume]]*Table1[[#This Row],[Material
Saving]],"")</f>
        <v>10065.296561937619</v>
      </c>
      <c r="CF236" s="10">
        <f>IFERROR(Table1[[#This Row],[OH
Saving]]*Table1[[#This Row],[Annual Volume]],"")</f>
        <v>0</v>
      </c>
      <c r="CG236" s="10">
        <f>SUM(Table1[[#This Row],[Labor_ASV]:[OH_ASV]])</f>
        <v>17608.32444094562</v>
      </c>
    </row>
    <row r="237" spans="1:85" x14ac:dyDescent="0.3">
      <c r="A237" t="str">
        <f>Table1[[#This Row],[Project Name]]&amp;Table1[[#This Row],[Part Number]]</f>
        <v>New Etching Chemical Nitric AcidR84</v>
      </c>
      <c r="B237" t="str">
        <f>IFERROR(Table1[[#This Row],[Project Number]]&amp;Table1[[#This Row],[Part Number]],"")</f>
        <v>AME25-071R84</v>
      </c>
      <c r="C237" s="22" t="s">
        <v>118</v>
      </c>
      <c r="D237" s="24" t="s">
        <v>322</v>
      </c>
      <c r="E237" s="25" t="s">
        <v>58</v>
      </c>
      <c r="F237" s="6">
        <f>INDEX(Proj_Reg!G:G,MATCH($C237,Proj_Reg!$B:$B,0),1)</f>
        <v>46204</v>
      </c>
      <c r="G237" s="6">
        <f>INDEX(Proj_Reg!H:H,MATCH($C237,Proj_Reg!$B:$B,0),1)</f>
        <v>46539</v>
      </c>
      <c r="H237" s="6" t="str">
        <f>IF(INDEX(Proj_Reg!C:C,MATCH($C237,Proj_Reg!$B:$B,0),1)=0,"",INDEX(Proj_Reg!C:C,MATCH($C237,Proj_Reg!$B:$B,0),1))</f>
        <v>Wet Etching</v>
      </c>
      <c r="I237" s="6" t="str">
        <f>IF(INDEX(Proj_Reg!D:D,MATCH($C237,Proj_Reg!$B:$B,0),1)=0,"",INDEX(Proj_Reg!D:D,MATCH($C237,Proj_Reg!$B:$B,0),1))</f>
        <v>XWP</v>
      </c>
      <c r="J237" s="6" t="str">
        <f>INDEX(Proj_Reg!E:E,MATCH($C237,Proj_Reg!$B:$B,0),1)</f>
        <v>New Etching Chemical Nitric Acid</v>
      </c>
      <c r="K237" s="21">
        <v>1.6649663994818234E-3</v>
      </c>
      <c r="L237" s="21">
        <v>1.5525010702578723E-2</v>
      </c>
      <c r="M237" s="21">
        <v>0</v>
      </c>
      <c r="N237" s="21">
        <v>0</v>
      </c>
      <c r="O237" s="11">
        <f>SUM(Table1[[#This Row],[Labor
Saving]:[OH
Saving]])</f>
        <v>1.7189977102060546E-2</v>
      </c>
      <c r="Q237" s="40">
        <f t="shared" si="152"/>
        <v>0</v>
      </c>
      <c r="R237" s="40">
        <f t="shared" si="153"/>
        <v>0</v>
      </c>
      <c r="S237" s="40">
        <f t="shared" si="154"/>
        <v>0</v>
      </c>
      <c r="T237" s="40">
        <f t="shared" si="155"/>
        <v>0</v>
      </c>
      <c r="U237" s="40">
        <f t="shared" si="156"/>
        <v>0</v>
      </c>
      <c r="V237" s="40">
        <f t="shared" si="157"/>
        <v>0</v>
      </c>
      <c r="W237" s="40">
        <f t="shared" si="158"/>
        <v>22978.5</v>
      </c>
      <c r="X237" s="40">
        <f t="shared" si="159"/>
        <v>59928</v>
      </c>
      <c r="Y237" s="40">
        <f t="shared" si="160"/>
        <v>69928</v>
      </c>
      <c r="Z237" s="40">
        <f t="shared" si="161"/>
        <v>39573</v>
      </c>
      <c r="AA237" s="40">
        <f t="shared" si="162"/>
        <v>34911</v>
      </c>
      <c r="AB237" s="40">
        <f t="shared" si="163"/>
        <v>0</v>
      </c>
      <c r="AC237" s="37">
        <f>SUM(Table1[[#This Row],[Jan]:[Dec]])</f>
        <v>227318.5</v>
      </c>
      <c r="AD237" s="15">
        <f t="shared" si="172"/>
        <v>0</v>
      </c>
      <c r="AE237" s="15">
        <f t="shared" si="173"/>
        <v>0</v>
      </c>
      <c r="AF237" s="15">
        <f t="shared" si="174"/>
        <v>0</v>
      </c>
      <c r="AG237" s="15">
        <f t="shared" si="175"/>
        <v>0</v>
      </c>
      <c r="AH237" s="15">
        <f t="shared" si="176"/>
        <v>0</v>
      </c>
      <c r="AI237" s="15">
        <f t="shared" si="177"/>
        <v>0</v>
      </c>
      <c r="AJ237" s="15">
        <f t="shared" si="178"/>
        <v>394.99988883969826</v>
      </c>
      <c r="AK237" s="15">
        <f t="shared" si="179"/>
        <v>1030.1609477722843</v>
      </c>
      <c r="AL237" s="15">
        <f t="shared" si="180"/>
        <v>1202.0607187928899</v>
      </c>
      <c r="AM237" s="15">
        <f t="shared" si="181"/>
        <v>680.25896385984197</v>
      </c>
      <c r="AN237" s="15">
        <f t="shared" si="182"/>
        <v>600.1192906100357</v>
      </c>
      <c r="AO237" s="15">
        <f t="shared" si="183"/>
        <v>0</v>
      </c>
      <c r="AP237" s="10">
        <f t="shared" si="184"/>
        <v>0</v>
      </c>
      <c r="AQ237" s="10">
        <f t="shared" si="185"/>
        <v>0</v>
      </c>
      <c r="AR237" s="10">
        <f t="shared" si="186"/>
        <v>2627.2215554048726</v>
      </c>
      <c r="AS237" s="10">
        <f t="shared" si="187"/>
        <v>1280.3782544698777</v>
      </c>
      <c r="AT237" s="10" t="b">
        <f t="shared" si="188"/>
        <v>1</v>
      </c>
      <c r="AU237" s="10">
        <f t="shared" si="164"/>
        <v>378.47766448060889</v>
      </c>
      <c r="AV237" s="10">
        <f t="shared" si="165"/>
        <v>3529.1221453941416</v>
      </c>
      <c r="AW237" s="10">
        <f t="shared" si="166"/>
        <v>0</v>
      </c>
      <c r="AX237" s="10">
        <f t="shared" si="167"/>
        <v>0</v>
      </c>
      <c r="AY237" s="10">
        <f t="shared" si="189"/>
        <v>3907.5998098747505</v>
      </c>
      <c r="AZ237" s="19">
        <f>IFERROR(IF($E237="REC",INDEX(A_Type_Volume!$B:$B,MATCH($D237,A_Type_Volume!$A:$A,0),1),IF($E237="VAM",INDEX(C_Type_Volume!$B:$B,MATCH($D237,C_Type_Volume!$A:$A,0),1),"X")),"")</f>
        <v>42646</v>
      </c>
      <c r="BA237" s="19">
        <f>IFERROR(IF($E237="REC",INDEX(A_Type_Volume!$C:$C,MATCH($D237,A_Type_Volume!$A:$A,0),1),IF($E237="VAM",INDEX(C_Type_Volume!$C:$C,MATCH($D237,C_Type_Volume!$A:$A,0),1),"X")),"")</f>
        <v>76839</v>
      </c>
      <c r="BB237" s="19">
        <f>IFERROR(IF($E237="REC",INDEX(A_Type_Volume!$D:$D,MATCH($D237,A_Type_Volume!$A:$A,0),1),IF($E237="VAM",INDEX(C_Type_Volume!$D:$D,MATCH($D237,C_Type_Volume!$A:$A,0),1),"X")),"")</f>
        <v>100679</v>
      </c>
      <c r="BC237" s="19">
        <f>IFERROR(IF($E237="REC",INDEX(A_Type_Volume!$E:$E,MATCH($D237,A_Type_Volume!$A:$A,0),1),IF($E237="VAM",INDEX(C_Type_Volume!$E:$E,MATCH($D237,C_Type_Volume!$A:$A,0),1),"X")),"")</f>
        <v>73196</v>
      </c>
      <c r="BD237" s="19">
        <f>IFERROR(IF($E237="REC",INDEX(A_Type_Volume!$F:$F,MATCH($D237,A_Type_Volume!$A:$A,0),1),IF($E237="VAM",INDEX(C_Type_Volume!$F:$F,MATCH($D237,C_Type_Volume!$A:$A,0),1),"X")),"")</f>
        <v>82084</v>
      </c>
      <c r="BE237" s="19">
        <f>IFERROR(IF($E237="REC",INDEX(A_Type_Volume!$G:$G,MATCH($D237,A_Type_Volume!$A:$A,0),1),IF($E237="VAM",INDEX(C_Type_Volume!$G:$G,MATCH($D237,C_Type_Volume!$A:$A,0),1),"X")),"")</f>
        <v>75004</v>
      </c>
      <c r="BF237" s="19">
        <f>IFERROR(IF($E237="REC",INDEX(A_Type_Volume!$H:$H,MATCH($D237,A_Type_Volume!$A:$A,0),1),IF($E237="VAM",INDEX(C_Type_Volume!$H:$H,MATCH($D237,C_Type_Volume!$A:$A,0),1),"X")),"")</f>
        <v>76595</v>
      </c>
      <c r="BG237" s="19">
        <f>IFERROR(IF($E237="REC",INDEX(A_Type_Volume!$I:$I,MATCH($D237,A_Type_Volume!$A:$A,0),1),IF($E237="VAM",INDEX(C_Type_Volume!$I:$I,MATCH($D237,C_Type_Volume!$A:$A,0),1),"X")),"")</f>
        <v>59928</v>
      </c>
      <c r="BH237" s="19">
        <f>IFERROR(IF($E237="REC",INDEX(A_Type_Volume!$J:$J,MATCH($D237,A_Type_Volume!$A:$A,0),1),IF($E237="VAM",INDEX(C_Type_Volume!$J:$J,MATCH($D237,C_Type_Volume!$A:$A,0),1),"X")),"")</f>
        <v>69928</v>
      </c>
      <c r="BI237" s="19">
        <f>IFERROR(IF($E237="REC",INDEX(A_Type_Volume!$K:$K,MATCH($D237,A_Type_Volume!$A:$A,0),1),IF($E237="VAM",INDEX(C_Type_Volume!$K:$K,MATCH($D237,C_Type_Volume!$A:$A,0),1),"X")),"")</f>
        <v>39573</v>
      </c>
      <c r="BJ237" s="19">
        <f>IFERROR(IF($E237="REC",INDEX(A_Type_Volume!$L:$L,MATCH($D237,A_Type_Volume!$A:$A,0),1),IF($E237="VAM",INDEX(C_Type_Volume!$L:$L,MATCH($D237,C_Type_Volume!$A:$A,0),1),"X")),"")</f>
        <v>34911</v>
      </c>
      <c r="BK237" s="19">
        <f>IFERROR(IF($E237="REC",INDEX(A_Type_Volume!M:M,MATCH($D237,A_Type_Volume!$A:$A,0),1),IF($E237="VAM",INDEX(C_Type_Volume!M:M,MATCH($D237,C_Type_Volume!$A:$A,0),1),"X")),"")</f>
        <v>0</v>
      </c>
      <c r="BL237" s="38">
        <f>SUM(Table1[[#This Row],[Jan_AVF]:[Dec_AVF]])</f>
        <v>731383</v>
      </c>
      <c r="BM237" s="16">
        <f t="shared" si="190"/>
        <v>733.08376349447406</v>
      </c>
      <c r="BN237" s="16">
        <f t="shared" si="191"/>
        <v>1320.8606505452303</v>
      </c>
      <c r="BO237" s="16">
        <f t="shared" si="192"/>
        <v>1730.6697046583538</v>
      </c>
      <c r="BP237" s="16">
        <f t="shared" si="193"/>
        <v>1258.2375639624238</v>
      </c>
      <c r="BQ237" s="16">
        <f t="shared" si="194"/>
        <v>1411.0220804455378</v>
      </c>
      <c r="BR237" s="16">
        <f t="shared" si="195"/>
        <v>1289.3170425629492</v>
      </c>
      <c r="BS237" s="16">
        <f t="shared" si="196"/>
        <v>1316.6662961323275</v>
      </c>
      <c r="BT237" s="16">
        <f t="shared" si="197"/>
        <v>1030.1609477722843</v>
      </c>
      <c r="BU237" s="16">
        <f t="shared" si="198"/>
        <v>1202.0607187928899</v>
      </c>
      <c r="BV237" s="16">
        <f t="shared" si="199"/>
        <v>680.25896385984197</v>
      </c>
      <c r="BW237" s="16">
        <f t="shared" si="200"/>
        <v>600.1192906100357</v>
      </c>
      <c r="BX237" s="16">
        <f t="shared" si="201"/>
        <v>0</v>
      </c>
      <c r="BY237" s="10">
        <f t="shared" si="168"/>
        <v>3784.6141186980585</v>
      </c>
      <c r="BZ237" s="10">
        <f t="shared" si="169"/>
        <v>3958.5766869709109</v>
      </c>
      <c r="CA237" s="10">
        <f t="shared" si="170"/>
        <v>3548.8879626975017</v>
      </c>
      <c r="CB237" s="10">
        <f t="shared" si="171"/>
        <v>1280.3782544698777</v>
      </c>
      <c r="CC237" s="10">
        <f>IFERROR(Table1[[#This Row],[Labor
Saving]]*Table1[[#This Row],[Annual Volume]],"")</f>
        <v>1217.7281201522144</v>
      </c>
      <c r="CD237" s="10">
        <f>IFERROR(Table1[[#This Row],[Annual Volume]]*Table1[[#This Row],[Yield
Saving]],"")</f>
        <v>11354.728902684134</v>
      </c>
      <c r="CE237" s="10">
        <f>IFERROR(Table1[[#This Row],[Annual Volume]]*Table1[[#This Row],[Material
Saving]],"")</f>
        <v>0</v>
      </c>
      <c r="CF237" s="10">
        <f>IFERROR(Table1[[#This Row],[OH
Saving]]*Table1[[#This Row],[Annual Volume]],"")</f>
        <v>0</v>
      </c>
      <c r="CG237" s="10">
        <f>SUM(Table1[[#This Row],[Labor_ASV]:[OH_ASV]])</f>
        <v>12572.457022836348</v>
      </c>
    </row>
    <row r="238" spans="1:85" x14ac:dyDescent="0.3">
      <c r="A238" t="str">
        <f>Table1[[#This Row],[Project Name]]&amp;Table1[[#This Row],[Part Number]]</f>
        <v>New Etching Chemical Nitric AcidR85</v>
      </c>
      <c r="B238" t="str">
        <f>IFERROR(Table1[[#This Row],[Project Number]]&amp;Table1[[#This Row],[Part Number]],"")</f>
        <v>AME25-071R85</v>
      </c>
      <c r="C238" s="22" t="s">
        <v>118</v>
      </c>
      <c r="D238" s="24" t="s">
        <v>323</v>
      </c>
      <c r="E238" s="25" t="s">
        <v>58</v>
      </c>
      <c r="F238" s="6">
        <f>INDEX(Proj_Reg!G:G,MATCH($C238,Proj_Reg!$B:$B,0),1)</f>
        <v>46204</v>
      </c>
      <c r="G238" s="6">
        <f>INDEX(Proj_Reg!H:H,MATCH($C238,Proj_Reg!$B:$B,0),1)</f>
        <v>46539</v>
      </c>
      <c r="H238" s="6" t="str">
        <f>IF(INDEX(Proj_Reg!C:C,MATCH($C238,Proj_Reg!$B:$B,0),1)=0,"",INDEX(Proj_Reg!C:C,MATCH($C238,Proj_Reg!$B:$B,0),1))</f>
        <v>Wet Etching</v>
      </c>
      <c r="I238" s="6" t="str">
        <f>IF(INDEX(Proj_Reg!D:D,MATCH($C238,Proj_Reg!$B:$B,0),1)=0,"",INDEX(Proj_Reg!D:D,MATCH($C238,Proj_Reg!$B:$B,0),1))</f>
        <v>XWP</v>
      </c>
      <c r="J238" s="6" t="str">
        <f>INDEX(Proj_Reg!E:E,MATCH($C238,Proj_Reg!$B:$B,0),1)</f>
        <v>New Etching Chemical Nitric Acid</v>
      </c>
      <c r="K238" s="21">
        <v>1.6649663994818234E-3</v>
      </c>
      <c r="L238" s="21">
        <v>1.5525010702578723E-2</v>
      </c>
      <c r="M238" s="21">
        <v>0</v>
      </c>
      <c r="N238" s="21">
        <v>0</v>
      </c>
      <c r="O238" s="11">
        <f>SUM(Table1[[#This Row],[Labor
Saving]:[OH
Saving]])</f>
        <v>1.7189977102060546E-2</v>
      </c>
      <c r="Q238" s="40">
        <f t="shared" si="152"/>
        <v>0</v>
      </c>
      <c r="R238" s="40">
        <f t="shared" si="153"/>
        <v>0</v>
      </c>
      <c r="S238" s="40">
        <f t="shared" si="154"/>
        <v>0</v>
      </c>
      <c r="T238" s="40">
        <f t="shared" si="155"/>
        <v>0</v>
      </c>
      <c r="U238" s="40">
        <f t="shared" si="156"/>
        <v>0</v>
      </c>
      <c r="V238" s="40">
        <f t="shared" si="157"/>
        <v>0</v>
      </c>
      <c r="W238" s="40">
        <f t="shared" si="158"/>
        <v>17395.5</v>
      </c>
      <c r="X238" s="40">
        <f t="shared" si="159"/>
        <v>45367</v>
      </c>
      <c r="Y238" s="40">
        <f t="shared" si="160"/>
        <v>52938</v>
      </c>
      <c r="Z238" s="40">
        <f t="shared" si="161"/>
        <v>38405</v>
      </c>
      <c r="AA238" s="40">
        <f t="shared" si="162"/>
        <v>33881</v>
      </c>
      <c r="AB238" s="40">
        <f t="shared" si="163"/>
        <v>37969</v>
      </c>
      <c r="AC238" s="37">
        <f>SUM(Table1[[#This Row],[Jan]:[Dec]])</f>
        <v>225955.5</v>
      </c>
      <c r="AD238" s="15">
        <f t="shared" si="172"/>
        <v>0</v>
      </c>
      <c r="AE238" s="15">
        <f t="shared" si="173"/>
        <v>0</v>
      </c>
      <c r="AF238" s="15">
        <f t="shared" si="174"/>
        <v>0</v>
      </c>
      <c r="AG238" s="15">
        <f t="shared" si="175"/>
        <v>0</v>
      </c>
      <c r="AH238" s="15">
        <f t="shared" si="176"/>
        <v>0</v>
      </c>
      <c r="AI238" s="15">
        <f t="shared" si="177"/>
        <v>0</v>
      </c>
      <c r="AJ238" s="15">
        <f t="shared" si="178"/>
        <v>299.02824667889422</v>
      </c>
      <c r="AK238" s="15">
        <f t="shared" si="179"/>
        <v>779.85769118918074</v>
      </c>
      <c r="AL238" s="15">
        <f t="shared" si="180"/>
        <v>910.00300782888121</v>
      </c>
      <c r="AM238" s="15">
        <f t="shared" si="181"/>
        <v>660.18107060463524</v>
      </c>
      <c r="AN238" s="15">
        <f t="shared" si="182"/>
        <v>582.41361419491341</v>
      </c>
      <c r="AO238" s="15">
        <f t="shared" si="183"/>
        <v>652.68624058813691</v>
      </c>
      <c r="AP238" s="10">
        <f t="shared" si="184"/>
        <v>0</v>
      </c>
      <c r="AQ238" s="10">
        <f t="shared" si="185"/>
        <v>0</v>
      </c>
      <c r="AR238" s="10">
        <f t="shared" si="186"/>
        <v>1988.8889456969562</v>
      </c>
      <c r="AS238" s="10">
        <f t="shared" si="187"/>
        <v>1895.2809253876858</v>
      </c>
      <c r="AT238" s="10" t="b">
        <f t="shared" si="188"/>
        <v>1</v>
      </c>
      <c r="AU238" s="10">
        <f t="shared" si="164"/>
        <v>376.20831527811515</v>
      </c>
      <c r="AV238" s="10">
        <f t="shared" si="165"/>
        <v>3507.9615558065266</v>
      </c>
      <c r="AW238" s="10">
        <f t="shared" si="166"/>
        <v>0</v>
      </c>
      <c r="AX238" s="10">
        <f t="shared" si="167"/>
        <v>0</v>
      </c>
      <c r="AY238" s="10">
        <f t="shared" si="189"/>
        <v>3884.1698710846417</v>
      </c>
      <c r="AZ238" s="19">
        <f>IFERROR(IF($E238="REC",INDEX(A_Type_Volume!$B:$B,MATCH($D238,A_Type_Volume!$A:$A,0),1),IF($E238="VAM",INDEX(C_Type_Volume!$B:$B,MATCH($D238,C_Type_Volume!$A:$A,0),1),"X")),"")</f>
        <v>35861</v>
      </c>
      <c r="BA238" s="19">
        <f>IFERROR(IF($E238="REC",INDEX(A_Type_Volume!$C:$C,MATCH($D238,A_Type_Volume!$A:$A,0),1),IF($E238="VAM",INDEX(C_Type_Volume!$C:$C,MATCH($D238,C_Type_Volume!$A:$A,0),1),"X")),"")</f>
        <v>59760</v>
      </c>
      <c r="BB238" s="19">
        <f>IFERROR(IF($E238="REC",INDEX(A_Type_Volume!$D:$D,MATCH($D238,A_Type_Volume!$A:$A,0),1),IF($E238="VAM",INDEX(C_Type_Volume!$D:$D,MATCH($D238,C_Type_Volume!$A:$A,0),1),"X")),"")</f>
        <v>66572</v>
      </c>
      <c r="BC238" s="19">
        <f>IFERROR(IF($E238="REC",INDEX(A_Type_Volume!$E:$E,MATCH($D238,A_Type_Volume!$A:$A,0),1),IF($E238="VAM",INDEX(C_Type_Volume!$E:$E,MATCH($D238,C_Type_Volume!$A:$A,0),1),"X")),"")</f>
        <v>55071</v>
      </c>
      <c r="BD238" s="19">
        <f>IFERROR(IF($E238="REC",INDEX(A_Type_Volume!$F:$F,MATCH($D238,A_Type_Volume!$A:$A,0),1),IF($E238="VAM",INDEX(C_Type_Volume!$F:$F,MATCH($D238,C_Type_Volume!$A:$A,0),1),"X")),"")</f>
        <v>62383</v>
      </c>
      <c r="BE238" s="19">
        <f>IFERROR(IF($E238="REC",INDEX(A_Type_Volume!$G:$G,MATCH($D238,A_Type_Volume!$A:$A,0),1),IF($E238="VAM",INDEX(C_Type_Volume!$G:$G,MATCH($D238,C_Type_Volume!$A:$A,0),1),"X")),"")</f>
        <v>57586</v>
      </c>
      <c r="BF238" s="19">
        <f>IFERROR(IF($E238="REC",INDEX(A_Type_Volume!$H:$H,MATCH($D238,A_Type_Volume!$A:$A,0),1),IF($E238="VAM",INDEX(C_Type_Volume!$H:$H,MATCH($D238,C_Type_Volume!$A:$A,0),1),"X")),"")</f>
        <v>57985</v>
      </c>
      <c r="BG238" s="19">
        <f>IFERROR(IF($E238="REC",INDEX(A_Type_Volume!$I:$I,MATCH($D238,A_Type_Volume!$A:$A,0),1),IF($E238="VAM",INDEX(C_Type_Volume!$I:$I,MATCH($D238,C_Type_Volume!$A:$A,0),1),"X")),"")</f>
        <v>45367</v>
      </c>
      <c r="BH238" s="19">
        <f>IFERROR(IF($E238="REC",INDEX(A_Type_Volume!$J:$J,MATCH($D238,A_Type_Volume!$A:$A,0),1),IF($E238="VAM",INDEX(C_Type_Volume!$J:$J,MATCH($D238,C_Type_Volume!$A:$A,0),1),"X")),"")</f>
        <v>52938</v>
      </c>
      <c r="BI238" s="19">
        <f>IFERROR(IF($E238="REC",INDEX(A_Type_Volume!$K:$K,MATCH($D238,A_Type_Volume!$A:$A,0),1),IF($E238="VAM",INDEX(C_Type_Volume!$K:$K,MATCH($D238,C_Type_Volume!$A:$A,0),1),"X")),"")</f>
        <v>38405</v>
      </c>
      <c r="BJ238" s="19">
        <f>IFERROR(IF($E238="REC",INDEX(A_Type_Volume!$L:$L,MATCH($D238,A_Type_Volume!$A:$A,0),1),IF($E238="VAM",INDEX(C_Type_Volume!$L:$L,MATCH($D238,C_Type_Volume!$A:$A,0),1),"X")),"")</f>
        <v>33881</v>
      </c>
      <c r="BK238" s="19">
        <f>IFERROR(IF($E238="REC",INDEX(A_Type_Volume!M:M,MATCH($D238,A_Type_Volume!$A:$A,0),1),IF($E238="VAM",INDEX(C_Type_Volume!M:M,MATCH($D238,C_Type_Volume!$A:$A,0),1),"X")),"")</f>
        <v>37969</v>
      </c>
      <c r="BL238" s="38">
        <f>SUM(Table1[[#This Row],[Jan_AVF]:[Dec_AVF]])</f>
        <v>603778</v>
      </c>
      <c r="BM238" s="16">
        <f t="shared" si="190"/>
        <v>616.44976885699327</v>
      </c>
      <c r="BN238" s="16">
        <f t="shared" si="191"/>
        <v>1027.2730316191382</v>
      </c>
      <c r="BO238" s="16">
        <f t="shared" si="192"/>
        <v>1144.3711556383746</v>
      </c>
      <c r="BP238" s="16">
        <f t="shared" si="193"/>
        <v>946.66922898757639</v>
      </c>
      <c r="BQ238" s="16">
        <f t="shared" si="194"/>
        <v>1072.3623415578431</v>
      </c>
      <c r="BR238" s="16">
        <f t="shared" si="195"/>
        <v>989.90202139925862</v>
      </c>
      <c r="BS238" s="16">
        <f t="shared" si="196"/>
        <v>996.76082226298081</v>
      </c>
      <c r="BT238" s="16">
        <f t="shared" si="197"/>
        <v>779.85769118918074</v>
      </c>
      <c r="BU238" s="16">
        <f t="shared" si="198"/>
        <v>910.00300782888121</v>
      </c>
      <c r="BV238" s="16">
        <f t="shared" si="199"/>
        <v>660.18107060463524</v>
      </c>
      <c r="BW238" s="16">
        <f t="shared" si="200"/>
        <v>582.41361419491341</v>
      </c>
      <c r="BX238" s="16">
        <f t="shared" si="201"/>
        <v>652.68624058813691</v>
      </c>
      <c r="BY238" s="10">
        <f t="shared" si="168"/>
        <v>2788.093956114506</v>
      </c>
      <c r="BZ238" s="10">
        <f t="shared" si="169"/>
        <v>3008.933591944678</v>
      </c>
      <c r="CA238" s="10">
        <f t="shared" si="170"/>
        <v>2686.621521281043</v>
      </c>
      <c r="CB238" s="10">
        <f t="shared" si="171"/>
        <v>1895.2809253876858</v>
      </c>
      <c r="CC238" s="10">
        <f>IFERROR(Table1[[#This Row],[Labor
Saving]]*Table1[[#This Row],[Annual Volume]],"")</f>
        <v>1005.2700827463364</v>
      </c>
      <c r="CD238" s="10">
        <f>IFERROR(Table1[[#This Row],[Annual Volume]]*Table1[[#This Row],[Yield
Saving]],"")</f>
        <v>9373.6599119815764</v>
      </c>
      <c r="CE238" s="10">
        <f>IFERROR(Table1[[#This Row],[Annual Volume]]*Table1[[#This Row],[Material
Saving]],"")</f>
        <v>0</v>
      </c>
      <c r="CF238" s="10">
        <f>IFERROR(Table1[[#This Row],[OH
Saving]]*Table1[[#This Row],[Annual Volume]],"")</f>
        <v>0</v>
      </c>
      <c r="CG238" s="10">
        <f>SUM(Table1[[#This Row],[Labor_ASV]:[OH_ASV]])</f>
        <v>10378.929994727912</v>
      </c>
    </row>
    <row r="239" spans="1:85" x14ac:dyDescent="0.3">
      <c r="A239" t="str">
        <f>Table1[[#This Row],[Project Name]]&amp;Table1[[#This Row],[Part Number]]</f>
        <v>New Etching Chemical Nitric AcidR86</v>
      </c>
      <c r="B239" t="str">
        <f>IFERROR(Table1[[#This Row],[Project Number]]&amp;Table1[[#This Row],[Part Number]],"")</f>
        <v>AME25-071R86</v>
      </c>
      <c r="C239" s="22" t="s">
        <v>118</v>
      </c>
      <c r="D239" s="24" t="s">
        <v>324</v>
      </c>
      <c r="E239" s="25" t="s">
        <v>58</v>
      </c>
      <c r="F239" s="6">
        <f>INDEX(Proj_Reg!G:G,MATCH($C239,Proj_Reg!$B:$B,0),1)</f>
        <v>46204</v>
      </c>
      <c r="G239" s="6">
        <f>INDEX(Proj_Reg!H:H,MATCH($C239,Proj_Reg!$B:$B,0),1)</f>
        <v>46539</v>
      </c>
      <c r="H239" s="6" t="str">
        <f>IF(INDEX(Proj_Reg!C:C,MATCH($C239,Proj_Reg!$B:$B,0),1)=0,"",INDEX(Proj_Reg!C:C,MATCH($C239,Proj_Reg!$B:$B,0),1))</f>
        <v>Wet Etching</v>
      </c>
      <c r="I239" s="6" t="str">
        <f>IF(INDEX(Proj_Reg!D:D,MATCH($C239,Proj_Reg!$B:$B,0),1)=0,"",INDEX(Proj_Reg!D:D,MATCH($C239,Proj_Reg!$B:$B,0),1))</f>
        <v>XWP</v>
      </c>
      <c r="J239" s="6" t="str">
        <f>INDEX(Proj_Reg!E:E,MATCH($C239,Proj_Reg!$B:$B,0),1)</f>
        <v>New Etching Chemical Nitric Acid</v>
      </c>
      <c r="K239" s="21">
        <v>1.6649663994818234E-3</v>
      </c>
      <c r="L239" s="21">
        <v>1.5525010702578723E-2</v>
      </c>
      <c r="M239" s="21">
        <v>0</v>
      </c>
      <c r="N239" s="21">
        <v>0</v>
      </c>
      <c r="O239" s="11">
        <f>SUM(Table1[[#This Row],[Labor
Saving]:[OH
Saving]])</f>
        <v>1.7189977102060546E-2</v>
      </c>
      <c r="Q239" s="40">
        <f t="shared" si="152"/>
        <v>0</v>
      </c>
      <c r="R239" s="40">
        <f t="shared" si="153"/>
        <v>0</v>
      </c>
      <c r="S239" s="40">
        <f t="shared" si="154"/>
        <v>0</v>
      </c>
      <c r="T239" s="40">
        <f t="shared" si="155"/>
        <v>0</v>
      </c>
      <c r="U239" s="40">
        <f t="shared" si="156"/>
        <v>0</v>
      </c>
      <c r="V239" s="40">
        <f t="shared" si="157"/>
        <v>0</v>
      </c>
      <c r="W239" s="40">
        <f t="shared" si="158"/>
        <v>17395.5</v>
      </c>
      <c r="X239" s="40">
        <f t="shared" si="159"/>
        <v>45367</v>
      </c>
      <c r="Y239" s="40">
        <f t="shared" si="160"/>
        <v>52938</v>
      </c>
      <c r="Z239" s="40">
        <f t="shared" si="161"/>
        <v>38405</v>
      </c>
      <c r="AA239" s="40">
        <f t="shared" si="162"/>
        <v>33881</v>
      </c>
      <c r="AB239" s="40">
        <f t="shared" si="163"/>
        <v>37969</v>
      </c>
      <c r="AC239" s="37">
        <f>SUM(Table1[[#This Row],[Jan]:[Dec]])</f>
        <v>225955.5</v>
      </c>
      <c r="AD239" s="15">
        <f t="shared" si="172"/>
        <v>0</v>
      </c>
      <c r="AE239" s="15">
        <f t="shared" si="173"/>
        <v>0</v>
      </c>
      <c r="AF239" s="15">
        <f t="shared" si="174"/>
        <v>0</v>
      </c>
      <c r="AG239" s="15">
        <f t="shared" si="175"/>
        <v>0</v>
      </c>
      <c r="AH239" s="15">
        <f t="shared" si="176"/>
        <v>0</v>
      </c>
      <c r="AI239" s="15">
        <f t="shared" si="177"/>
        <v>0</v>
      </c>
      <c r="AJ239" s="15">
        <f t="shared" si="178"/>
        <v>299.02824667889422</v>
      </c>
      <c r="AK239" s="15">
        <f t="shared" si="179"/>
        <v>779.85769118918074</v>
      </c>
      <c r="AL239" s="15">
        <f t="shared" si="180"/>
        <v>910.00300782888121</v>
      </c>
      <c r="AM239" s="15">
        <f t="shared" si="181"/>
        <v>660.18107060463524</v>
      </c>
      <c r="AN239" s="15">
        <f t="shared" si="182"/>
        <v>582.41361419491341</v>
      </c>
      <c r="AO239" s="15">
        <f t="shared" si="183"/>
        <v>652.68624058813691</v>
      </c>
      <c r="AP239" s="10">
        <f t="shared" si="184"/>
        <v>0</v>
      </c>
      <c r="AQ239" s="10">
        <f t="shared" si="185"/>
        <v>0</v>
      </c>
      <c r="AR239" s="10">
        <f t="shared" si="186"/>
        <v>1988.8889456969562</v>
      </c>
      <c r="AS239" s="10">
        <f t="shared" si="187"/>
        <v>1895.2809253876858</v>
      </c>
      <c r="AT239" s="10" t="b">
        <f t="shared" si="188"/>
        <v>1</v>
      </c>
      <c r="AU239" s="10">
        <f t="shared" si="164"/>
        <v>376.20831527811515</v>
      </c>
      <c r="AV239" s="10">
        <f t="shared" si="165"/>
        <v>3507.9615558065266</v>
      </c>
      <c r="AW239" s="10">
        <f t="shared" si="166"/>
        <v>0</v>
      </c>
      <c r="AX239" s="10">
        <f t="shared" si="167"/>
        <v>0</v>
      </c>
      <c r="AY239" s="10">
        <f t="shared" si="189"/>
        <v>3884.1698710846417</v>
      </c>
      <c r="AZ239" s="19">
        <f>IFERROR(IF($E239="REC",INDEX(A_Type_Volume!$B:$B,MATCH($D239,A_Type_Volume!$A:$A,0),1),IF($E239="VAM",INDEX(C_Type_Volume!$B:$B,MATCH($D239,C_Type_Volume!$A:$A,0),1),"X")),"")</f>
        <v>35861</v>
      </c>
      <c r="BA239" s="19">
        <f>IFERROR(IF($E239="REC",INDEX(A_Type_Volume!$C:$C,MATCH($D239,A_Type_Volume!$A:$A,0),1),IF($E239="VAM",INDEX(C_Type_Volume!$C:$C,MATCH($D239,C_Type_Volume!$A:$A,0),1),"X")),"")</f>
        <v>59760</v>
      </c>
      <c r="BB239" s="19">
        <f>IFERROR(IF($E239="REC",INDEX(A_Type_Volume!$D:$D,MATCH($D239,A_Type_Volume!$A:$A,0),1),IF($E239="VAM",INDEX(C_Type_Volume!$D:$D,MATCH($D239,C_Type_Volume!$A:$A,0),1),"X")),"")</f>
        <v>66572</v>
      </c>
      <c r="BC239" s="19">
        <f>IFERROR(IF($E239="REC",INDEX(A_Type_Volume!$E:$E,MATCH($D239,A_Type_Volume!$A:$A,0),1),IF($E239="VAM",INDEX(C_Type_Volume!$E:$E,MATCH($D239,C_Type_Volume!$A:$A,0),1),"X")),"")</f>
        <v>55071</v>
      </c>
      <c r="BD239" s="19">
        <f>IFERROR(IF($E239="REC",INDEX(A_Type_Volume!$F:$F,MATCH($D239,A_Type_Volume!$A:$A,0),1),IF($E239="VAM",INDEX(C_Type_Volume!$F:$F,MATCH($D239,C_Type_Volume!$A:$A,0),1),"X")),"")</f>
        <v>62383</v>
      </c>
      <c r="BE239" s="19">
        <f>IFERROR(IF($E239="REC",INDEX(A_Type_Volume!$G:$G,MATCH($D239,A_Type_Volume!$A:$A,0),1),IF($E239="VAM",INDEX(C_Type_Volume!$G:$G,MATCH($D239,C_Type_Volume!$A:$A,0),1),"X")),"")</f>
        <v>57586</v>
      </c>
      <c r="BF239" s="19">
        <f>IFERROR(IF($E239="REC",INDEX(A_Type_Volume!$H:$H,MATCH($D239,A_Type_Volume!$A:$A,0),1),IF($E239="VAM",INDEX(C_Type_Volume!$H:$H,MATCH($D239,C_Type_Volume!$A:$A,0),1),"X")),"")</f>
        <v>57985</v>
      </c>
      <c r="BG239" s="19">
        <f>IFERROR(IF($E239="REC",INDEX(A_Type_Volume!$I:$I,MATCH($D239,A_Type_Volume!$A:$A,0),1),IF($E239="VAM",INDEX(C_Type_Volume!$I:$I,MATCH($D239,C_Type_Volume!$A:$A,0),1),"X")),"")</f>
        <v>45367</v>
      </c>
      <c r="BH239" s="19">
        <f>IFERROR(IF($E239="REC",INDEX(A_Type_Volume!$J:$J,MATCH($D239,A_Type_Volume!$A:$A,0),1),IF($E239="VAM",INDEX(C_Type_Volume!$J:$J,MATCH($D239,C_Type_Volume!$A:$A,0),1),"X")),"")</f>
        <v>52938</v>
      </c>
      <c r="BI239" s="19">
        <f>IFERROR(IF($E239="REC",INDEX(A_Type_Volume!$K:$K,MATCH($D239,A_Type_Volume!$A:$A,0),1),IF($E239="VAM",INDEX(C_Type_Volume!$K:$K,MATCH($D239,C_Type_Volume!$A:$A,0),1),"X")),"")</f>
        <v>38405</v>
      </c>
      <c r="BJ239" s="19">
        <f>IFERROR(IF($E239="REC",INDEX(A_Type_Volume!$L:$L,MATCH($D239,A_Type_Volume!$A:$A,0),1),IF($E239="VAM",INDEX(C_Type_Volume!$L:$L,MATCH($D239,C_Type_Volume!$A:$A,0),1),"X")),"")</f>
        <v>33881</v>
      </c>
      <c r="BK239" s="19">
        <f>IFERROR(IF($E239="REC",INDEX(A_Type_Volume!M:M,MATCH($D239,A_Type_Volume!$A:$A,0),1),IF($E239="VAM",INDEX(C_Type_Volume!M:M,MATCH($D239,C_Type_Volume!$A:$A,0),1),"X")),"")</f>
        <v>37969</v>
      </c>
      <c r="BL239" s="38">
        <f>SUM(Table1[[#This Row],[Jan_AVF]:[Dec_AVF]])</f>
        <v>603778</v>
      </c>
      <c r="BM239" s="16">
        <f t="shared" si="190"/>
        <v>616.44976885699327</v>
      </c>
      <c r="BN239" s="16">
        <f t="shared" si="191"/>
        <v>1027.2730316191382</v>
      </c>
      <c r="BO239" s="16">
        <f t="shared" si="192"/>
        <v>1144.3711556383746</v>
      </c>
      <c r="BP239" s="16">
        <f t="shared" si="193"/>
        <v>946.66922898757639</v>
      </c>
      <c r="BQ239" s="16">
        <f t="shared" si="194"/>
        <v>1072.3623415578431</v>
      </c>
      <c r="BR239" s="16">
        <f t="shared" si="195"/>
        <v>989.90202139925862</v>
      </c>
      <c r="BS239" s="16">
        <f t="shared" si="196"/>
        <v>996.76082226298081</v>
      </c>
      <c r="BT239" s="16">
        <f t="shared" si="197"/>
        <v>779.85769118918074</v>
      </c>
      <c r="BU239" s="16">
        <f t="shared" si="198"/>
        <v>910.00300782888121</v>
      </c>
      <c r="BV239" s="16">
        <f t="shared" si="199"/>
        <v>660.18107060463524</v>
      </c>
      <c r="BW239" s="16">
        <f t="shared" si="200"/>
        <v>582.41361419491341</v>
      </c>
      <c r="BX239" s="16">
        <f t="shared" si="201"/>
        <v>652.68624058813691</v>
      </c>
      <c r="BY239" s="10">
        <f t="shared" si="168"/>
        <v>2788.093956114506</v>
      </c>
      <c r="BZ239" s="10">
        <f t="shared" si="169"/>
        <v>3008.933591944678</v>
      </c>
      <c r="CA239" s="10">
        <f t="shared" si="170"/>
        <v>2686.621521281043</v>
      </c>
      <c r="CB239" s="10">
        <f t="shared" si="171"/>
        <v>1895.2809253876858</v>
      </c>
      <c r="CC239" s="10">
        <f>IFERROR(Table1[[#This Row],[Labor
Saving]]*Table1[[#This Row],[Annual Volume]],"")</f>
        <v>1005.2700827463364</v>
      </c>
      <c r="CD239" s="10">
        <f>IFERROR(Table1[[#This Row],[Annual Volume]]*Table1[[#This Row],[Yield
Saving]],"")</f>
        <v>9373.6599119815764</v>
      </c>
      <c r="CE239" s="10">
        <f>IFERROR(Table1[[#This Row],[Annual Volume]]*Table1[[#This Row],[Material
Saving]],"")</f>
        <v>0</v>
      </c>
      <c r="CF239" s="10">
        <f>IFERROR(Table1[[#This Row],[OH
Saving]]*Table1[[#This Row],[Annual Volume]],"")</f>
        <v>0</v>
      </c>
      <c r="CG239" s="10">
        <f>SUM(Table1[[#This Row],[Labor_ASV]:[OH_ASV]])</f>
        <v>10378.929994727912</v>
      </c>
    </row>
    <row r="240" spans="1:85" x14ac:dyDescent="0.3">
      <c r="A240" t="str">
        <f>Table1[[#This Row],[Project Name]]&amp;Table1[[#This Row],[Part Number]]</f>
        <v>New Etching Chemical Nitric AcidR91</v>
      </c>
      <c r="B240" t="str">
        <f>IFERROR(Table1[[#This Row],[Project Number]]&amp;Table1[[#This Row],[Part Number]],"")</f>
        <v>AME25-071R91</v>
      </c>
      <c r="C240" s="22" t="s">
        <v>118</v>
      </c>
      <c r="D240" s="24" t="s">
        <v>329</v>
      </c>
      <c r="E240" s="25" t="s">
        <v>58</v>
      </c>
      <c r="F240" s="6">
        <f>INDEX(Proj_Reg!G:G,MATCH($C240,Proj_Reg!$B:$B,0),1)</f>
        <v>46204</v>
      </c>
      <c r="G240" s="6">
        <f>INDEX(Proj_Reg!H:H,MATCH($C240,Proj_Reg!$B:$B,0),1)</f>
        <v>46539</v>
      </c>
      <c r="H240" s="6" t="str">
        <f>IF(INDEX(Proj_Reg!C:C,MATCH($C240,Proj_Reg!$B:$B,0),1)=0,"",INDEX(Proj_Reg!C:C,MATCH($C240,Proj_Reg!$B:$B,0),1))</f>
        <v>Wet Etching</v>
      </c>
      <c r="I240" s="6" t="str">
        <f>IF(INDEX(Proj_Reg!D:D,MATCH($C240,Proj_Reg!$B:$B,0),1)=0,"",INDEX(Proj_Reg!D:D,MATCH($C240,Proj_Reg!$B:$B,0),1))</f>
        <v>XWP</v>
      </c>
      <c r="J240" s="6" t="str">
        <f>INDEX(Proj_Reg!E:E,MATCH($C240,Proj_Reg!$B:$B,0),1)</f>
        <v>New Etching Chemical Nitric Acid</v>
      </c>
      <c r="K240" s="21">
        <v>1.6649663994818234E-3</v>
      </c>
      <c r="L240" s="21">
        <v>1.5525010702578723E-2</v>
      </c>
      <c r="M240" s="21">
        <v>0</v>
      </c>
      <c r="N240" s="21">
        <v>0</v>
      </c>
      <c r="O240" s="11">
        <f>SUM(Table1[[#This Row],[Labor
Saving]:[OH
Saving]])</f>
        <v>1.7189977102060546E-2</v>
      </c>
      <c r="Q240" s="40">
        <f t="shared" si="152"/>
        <v>0</v>
      </c>
      <c r="R240" s="40">
        <f t="shared" si="153"/>
        <v>0</v>
      </c>
      <c r="S240" s="40">
        <f t="shared" si="154"/>
        <v>0</v>
      </c>
      <c r="T240" s="40">
        <f t="shared" si="155"/>
        <v>0</v>
      </c>
      <c r="U240" s="40">
        <f t="shared" si="156"/>
        <v>0</v>
      </c>
      <c r="V240" s="40">
        <f t="shared" si="157"/>
        <v>0</v>
      </c>
      <c r="W240" s="40">
        <f t="shared" si="158"/>
        <v>5641.8</v>
      </c>
      <c r="X240" s="40">
        <f t="shared" si="159"/>
        <v>14714</v>
      </c>
      <c r="Y240" s="40">
        <f t="shared" si="160"/>
        <v>17169</v>
      </c>
      <c r="Z240" s="40">
        <f t="shared" si="161"/>
        <v>16867</v>
      </c>
      <c r="AA240" s="40">
        <f t="shared" si="162"/>
        <v>14880</v>
      </c>
      <c r="AB240" s="40">
        <f t="shared" si="163"/>
        <v>16676</v>
      </c>
      <c r="AC240" s="37">
        <f>SUM(Table1[[#This Row],[Jan]:[Dec]])</f>
        <v>85947.8</v>
      </c>
      <c r="AD240" s="15">
        <f t="shared" si="172"/>
        <v>0</v>
      </c>
      <c r="AE240" s="15">
        <f t="shared" si="173"/>
        <v>0</v>
      </c>
      <c r="AF240" s="15">
        <f t="shared" si="174"/>
        <v>0</v>
      </c>
      <c r="AG240" s="15">
        <f t="shared" si="175"/>
        <v>0</v>
      </c>
      <c r="AH240" s="15">
        <f t="shared" si="176"/>
        <v>0</v>
      </c>
      <c r="AI240" s="15">
        <f t="shared" si="177"/>
        <v>0</v>
      </c>
      <c r="AJ240" s="15">
        <f t="shared" si="178"/>
        <v>96.982412814405194</v>
      </c>
      <c r="AK240" s="15">
        <f t="shared" si="179"/>
        <v>252.93332307971889</v>
      </c>
      <c r="AL240" s="15">
        <f t="shared" si="180"/>
        <v>295.13471686527754</v>
      </c>
      <c r="AM240" s="15">
        <f t="shared" si="181"/>
        <v>289.94334378045522</v>
      </c>
      <c r="AN240" s="15">
        <f t="shared" si="182"/>
        <v>255.78685927866093</v>
      </c>
      <c r="AO240" s="15">
        <f t="shared" si="183"/>
        <v>286.66005815396164</v>
      </c>
      <c r="AP240" s="10">
        <f t="shared" si="184"/>
        <v>0</v>
      </c>
      <c r="AQ240" s="10">
        <f t="shared" si="185"/>
        <v>0</v>
      </c>
      <c r="AR240" s="10">
        <f t="shared" si="186"/>
        <v>645.05045275940165</v>
      </c>
      <c r="AS240" s="10">
        <f t="shared" si="187"/>
        <v>832.39026121307779</v>
      </c>
      <c r="AT240" s="10" t="b">
        <f t="shared" si="188"/>
        <v>1</v>
      </c>
      <c r="AU240" s="10">
        <f t="shared" si="164"/>
        <v>143.10019910938388</v>
      </c>
      <c r="AV240" s="10">
        <f t="shared" si="165"/>
        <v>1334.3405148630957</v>
      </c>
      <c r="AW240" s="10">
        <f t="shared" si="166"/>
        <v>0</v>
      </c>
      <c r="AX240" s="10">
        <f t="shared" si="167"/>
        <v>0</v>
      </c>
      <c r="AY240" s="10">
        <f t="shared" si="189"/>
        <v>1477.4407139724794</v>
      </c>
      <c r="AZ240" s="19">
        <f>IFERROR(IF($E240="REC",INDEX(A_Type_Volume!$B:$B,MATCH($D240,A_Type_Volume!$A:$A,0),1),IF($E240="VAM",INDEX(C_Type_Volume!$B:$B,MATCH($D240,C_Type_Volume!$A:$A,0),1),"X")),"")</f>
        <v>6761</v>
      </c>
      <c r="BA240" s="19">
        <f>IFERROR(IF($E240="REC",INDEX(A_Type_Volume!$C:$C,MATCH($D240,A_Type_Volume!$A:$A,0),1),IF($E240="VAM",INDEX(C_Type_Volume!$C:$C,MATCH($D240,C_Type_Volume!$A:$A,0),1),"X")),"")</f>
        <v>20544</v>
      </c>
      <c r="BB240" s="19">
        <f>IFERROR(IF($E240="REC",INDEX(A_Type_Volume!$D:$D,MATCH($D240,A_Type_Volume!$A:$A,0),1),IF($E240="VAM",INDEX(C_Type_Volume!$D:$D,MATCH($D240,C_Type_Volume!$A:$A,0),1),"X")),"")</f>
        <v>36147</v>
      </c>
      <c r="BC240" s="19">
        <f>IFERROR(IF($E240="REC",INDEX(A_Type_Volume!$E:$E,MATCH($D240,A_Type_Volume!$A:$A,0),1),IF($E240="VAM",INDEX(C_Type_Volume!$E:$E,MATCH($D240,C_Type_Volume!$A:$A,0),1),"X")),"")</f>
        <v>17061</v>
      </c>
      <c r="BD240" s="19">
        <f>IFERROR(IF($E240="REC",INDEX(A_Type_Volume!$F:$F,MATCH($D240,A_Type_Volume!$A:$A,0),1),IF($E240="VAM",INDEX(C_Type_Volume!$F:$F,MATCH($D240,C_Type_Volume!$A:$A,0),1),"X")),"")</f>
        <v>21612</v>
      </c>
      <c r="BE240" s="19">
        <f>IFERROR(IF($E240="REC",INDEX(A_Type_Volume!$G:$G,MATCH($D240,A_Type_Volume!$A:$A,0),1),IF($E240="VAM",INDEX(C_Type_Volume!$G:$G,MATCH($D240,C_Type_Volume!$A:$A,0),1),"X")),"")</f>
        <v>114329</v>
      </c>
      <c r="BF240" s="19">
        <f>IFERROR(IF($E240="REC",INDEX(A_Type_Volume!$H:$H,MATCH($D240,A_Type_Volume!$A:$A,0),1),IF($E240="VAM",INDEX(C_Type_Volume!$H:$H,MATCH($D240,C_Type_Volume!$A:$A,0),1),"X")),"")</f>
        <v>18806</v>
      </c>
      <c r="BG240" s="19">
        <f>IFERROR(IF($E240="REC",INDEX(A_Type_Volume!$I:$I,MATCH($D240,A_Type_Volume!$A:$A,0),1),IF($E240="VAM",INDEX(C_Type_Volume!$I:$I,MATCH($D240,C_Type_Volume!$A:$A,0),1),"X")),"")</f>
        <v>14714</v>
      </c>
      <c r="BH240" s="19">
        <f>IFERROR(IF($E240="REC",INDEX(A_Type_Volume!$J:$J,MATCH($D240,A_Type_Volume!$A:$A,0),1),IF($E240="VAM",INDEX(C_Type_Volume!$J:$J,MATCH($D240,C_Type_Volume!$A:$A,0),1),"X")),"")</f>
        <v>17169</v>
      </c>
      <c r="BI240" s="19">
        <f>IFERROR(IF($E240="REC",INDEX(A_Type_Volume!$K:$K,MATCH($D240,A_Type_Volume!$A:$A,0),1),IF($E240="VAM",INDEX(C_Type_Volume!$K:$K,MATCH($D240,C_Type_Volume!$A:$A,0),1),"X")),"")</f>
        <v>16867</v>
      </c>
      <c r="BJ240" s="19">
        <f>IFERROR(IF($E240="REC",INDEX(A_Type_Volume!$L:$L,MATCH($D240,A_Type_Volume!$A:$A,0),1),IF($E240="VAM",INDEX(C_Type_Volume!$L:$L,MATCH($D240,C_Type_Volume!$A:$A,0),1),"X")),"")</f>
        <v>14880</v>
      </c>
      <c r="BK240" s="19">
        <f>IFERROR(IF($E240="REC",INDEX(A_Type_Volume!M:M,MATCH($D240,A_Type_Volume!$A:$A,0),1),IF($E240="VAM",INDEX(C_Type_Volume!M:M,MATCH($D240,C_Type_Volume!$A:$A,0),1),"X")),"")</f>
        <v>16676</v>
      </c>
      <c r="BL240" s="38">
        <f>SUM(Table1[[#This Row],[Jan_AVF]:[Dec_AVF]])</f>
        <v>315566</v>
      </c>
      <c r="BM240" s="16">
        <f t="shared" si="190"/>
        <v>116.22143518703135</v>
      </c>
      <c r="BN240" s="16">
        <f t="shared" si="191"/>
        <v>353.15088958473189</v>
      </c>
      <c r="BO240" s="16">
        <f t="shared" si="192"/>
        <v>621.36610230818258</v>
      </c>
      <c r="BP240" s="16">
        <f t="shared" si="193"/>
        <v>293.27819933825498</v>
      </c>
      <c r="BQ240" s="16">
        <f t="shared" si="194"/>
        <v>371.50978512973251</v>
      </c>
      <c r="BR240" s="16">
        <f t="shared" si="195"/>
        <v>1965.3128921014802</v>
      </c>
      <c r="BS240" s="16">
        <f t="shared" si="196"/>
        <v>323.27470938135065</v>
      </c>
      <c r="BT240" s="16">
        <f t="shared" si="197"/>
        <v>252.93332307971889</v>
      </c>
      <c r="BU240" s="16">
        <f t="shared" si="198"/>
        <v>295.13471686527754</v>
      </c>
      <c r="BV240" s="16">
        <f t="shared" si="199"/>
        <v>289.94334378045522</v>
      </c>
      <c r="BW240" s="16">
        <f t="shared" si="200"/>
        <v>255.78685927866093</v>
      </c>
      <c r="BX240" s="16">
        <f t="shared" si="201"/>
        <v>286.66005815396164</v>
      </c>
      <c r="BY240" s="10">
        <f t="shared" si="168"/>
        <v>1090.7384270799457</v>
      </c>
      <c r="BZ240" s="10">
        <f t="shared" si="169"/>
        <v>2630.1008765694678</v>
      </c>
      <c r="CA240" s="10">
        <f t="shared" si="170"/>
        <v>871.34274932634708</v>
      </c>
      <c r="CB240" s="10">
        <f t="shared" si="171"/>
        <v>832.39026121307779</v>
      </c>
      <c r="CC240" s="10">
        <f>IFERROR(Table1[[#This Row],[Labor
Saving]]*Table1[[#This Row],[Annual Volume]],"")</f>
        <v>525.40678681888107</v>
      </c>
      <c r="CD240" s="10">
        <f>IFERROR(Table1[[#This Row],[Annual Volume]]*Table1[[#This Row],[Yield
Saving]],"")</f>
        <v>4899.1655273699571</v>
      </c>
      <c r="CE240" s="10">
        <f>IFERROR(Table1[[#This Row],[Annual Volume]]*Table1[[#This Row],[Material
Saving]],"")</f>
        <v>0</v>
      </c>
      <c r="CF240" s="10">
        <f>IFERROR(Table1[[#This Row],[OH
Saving]]*Table1[[#This Row],[Annual Volume]],"")</f>
        <v>0</v>
      </c>
      <c r="CG240" s="10">
        <f>SUM(Table1[[#This Row],[Labor_ASV]:[OH_ASV]])</f>
        <v>5424.5723141888384</v>
      </c>
    </row>
    <row r="241" spans="1:85" x14ac:dyDescent="0.3">
      <c r="A241" t="str">
        <f>Table1[[#This Row],[Project Name]]&amp;Table1[[#This Row],[Part Number]]</f>
        <v>New Etching Chemical Nitric AcidR180</v>
      </c>
      <c r="B241" t="str">
        <f>IFERROR(Table1[[#This Row],[Project Number]]&amp;Table1[[#This Row],[Part Number]],"")</f>
        <v>AME25-071R180</v>
      </c>
      <c r="C241" s="22" t="s">
        <v>118</v>
      </c>
      <c r="D241" s="24" t="s">
        <v>418</v>
      </c>
      <c r="E241" s="25" t="s">
        <v>58</v>
      </c>
      <c r="F241" s="6">
        <f>INDEX(Proj_Reg!G:G,MATCH($C241,Proj_Reg!$B:$B,0),1)</f>
        <v>46204</v>
      </c>
      <c r="G241" s="6">
        <f>INDEX(Proj_Reg!H:H,MATCH($C241,Proj_Reg!$B:$B,0),1)</f>
        <v>46539</v>
      </c>
      <c r="H241" s="6" t="str">
        <f>IF(INDEX(Proj_Reg!C:C,MATCH($C241,Proj_Reg!$B:$B,0),1)=0,"",INDEX(Proj_Reg!C:C,MATCH($C241,Proj_Reg!$B:$B,0),1))</f>
        <v>Wet Etching</v>
      </c>
      <c r="I241" s="6" t="str">
        <f>IF(INDEX(Proj_Reg!D:D,MATCH($C241,Proj_Reg!$B:$B,0),1)=0,"",INDEX(Proj_Reg!D:D,MATCH($C241,Proj_Reg!$B:$B,0),1))</f>
        <v>XWP</v>
      </c>
      <c r="J241" s="6" t="str">
        <f>INDEX(Proj_Reg!E:E,MATCH($C241,Proj_Reg!$B:$B,0),1)</f>
        <v>New Etching Chemical Nitric Acid</v>
      </c>
      <c r="K241" s="21">
        <v>1.6649663994818234E-3</v>
      </c>
      <c r="L241" s="21">
        <v>1.5525010702578723E-2</v>
      </c>
      <c r="M241" s="21">
        <v>0</v>
      </c>
      <c r="N241" s="21">
        <v>0</v>
      </c>
      <c r="O241" s="11">
        <f>SUM(Table1[[#This Row],[Labor
Saving]:[OH
Saving]])</f>
        <v>1.7189977102060546E-2</v>
      </c>
      <c r="Q241" s="40">
        <f t="shared" si="152"/>
        <v>0</v>
      </c>
      <c r="R241" s="40">
        <f t="shared" si="153"/>
        <v>0</v>
      </c>
      <c r="S241" s="40">
        <f t="shared" si="154"/>
        <v>0</v>
      </c>
      <c r="T241" s="40">
        <f t="shared" si="155"/>
        <v>0</v>
      </c>
      <c r="U241" s="40">
        <f t="shared" si="156"/>
        <v>0</v>
      </c>
      <c r="V241" s="40">
        <f t="shared" si="157"/>
        <v>0</v>
      </c>
      <c r="W241" s="40">
        <f t="shared" si="158"/>
        <v>0</v>
      </c>
      <c r="X241" s="40">
        <f t="shared" si="159"/>
        <v>0</v>
      </c>
      <c r="Y241" s="40">
        <f t="shared" si="160"/>
        <v>0</v>
      </c>
      <c r="Z241" s="40">
        <f t="shared" si="161"/>
        <v>0</v>
      </c>
      <c r="AA241" s="40">
        <f t="shared" si="162"/>
        <v>0</v>
      </c>
      <c r="AB241" s="40">
        <f t="shared" si="163"/>
        <v>0</v>
      </c>
      <c r="AC241" s="37">
        <f>SUM(Table1[[#This Row],[Jan]:[Dec]])</f>
        <v>0</v>
      </c>
      <c r="AD241" s="15">
        <f t="shared" si="172"/>
        <v>0</v>
      </c>
      <c r="AE241" s="15">
        <f t="shared" si="173"/>
        <v>0</v>
      </c>
      <c r="AF241" s="15">
        <f t="shared" si="174"/>
        <v>0</v>
      </c>
      <c r="AG241" s="15">
        <f t="shared" si="175"/>
        <v>0</v>
      </c>
      <c r="AH241" s="15">
        <f t="shared" si="176"/>
        <v>0</v>
      </c>
      <c r="AI241" s="15">
        <f t="shared" si="177"/>
        <v>0</v>
      </c>
      <c r="AJ241" s="15">
        <f t="shared" si="178"/>
        <v>0</v>
      </c>
      <c r="AK241" s="15">
        <f t="shared" si="179"/>
        <v>0</v>
      </c>
      <c r="AL241" s="15">
        <f t="shared" si="180"/>
        <v>0</v>
      </c>
      <c r="AM241" s="15">
        <f t="shared" si="181"/>
        <v>0</v>
      </c>
      <c r="AN241" s="15">
        <f t="shared" si="182"/>
        <v>0</v>
      </c>
      <c r="AO241" s="15">
        <f t="shared" si="183"/>
        <v>0</v>
      </c>
      <c r="AP241" s="10">
        <f t="shared" si="184"/>
        <v>0</v>
      </c>
      <c r="AQ241" s="10">
        <f t="shared" si="185"/>
        <v>0</v>
      </c>
      <c r="AR241" s="10">
        <f t="shared" si="186"/>
        <v>0</v>
      </c>
      <c r="AS241" s="10">
        <f t="shared" si="187"/>
        <v>0</v>
      </c>
      <c r="AT241" s="10" t="b">
        <f t="shared" si="188"/>
        <v>1</v>
      </c>
      <c r="AU241" s="10">
        <f t="shared" si="164"/>
        <v>0</v>
      </c>
      <c r="AV241" s="10">
        <f t="shared" si="165"/>
        <v>0</v>
      </c>
      <c r="AW241" s="10">
        <f t="shared" si="166"/>
        <v>0</v>
      </c>
      <c r="AX241" s="10">
        <f t="shared" si="167"/>
        <v>0</v>
      </c>
      <c r="AY241" s="10">
        <f t="shared" si="189"/>
        <v>0</v>
      </c>
      <c r="AZ241" s="19">
        <f>IFERROR(IF($E241="REC",INDEX(A_Type_Volume!$B:$B,MATCH($D241,A_Type_Volume!$A:$A,0),1),IF($E241="VAM",INDEX(C_Type_Volume!$B:$B,MATCH($D241,C_Type_Volume!$A:$A,0),1),"X")),"")</f>
        <v>0</v>
      </c>
      <c r="BA241" s="19">
        <f>IFERROR(IF($E241="REC",INDEX(A_Type_Volume!$C:$C,MATCH($D241,A_Type_Volume!$A:$A,0),1),IF($E241="VAM",INDEX(C_Type_Volume!$C:$C,MATCH($D241,C_Type_Volume!$A:$A,0),1),"X")),"")</f>
        <v>0</v>
      </c>
      <c r="BB241" s="19">
        <f>IFERROR(IF($E241="REC",INDEX(A_Type_Volume!$D:$D,MATCH($D241,A_Type_Volume!$A:$A,0),1),IF($E241="VAM",INDEX(C_Type_Volume!$D:$D,MATCH($D241,C_Type_Volume!$A:$A,0),1),"X")),"")</f>
        <v>0</v>
      </c>
      <c r="BC241" s="19">
        <f>IFERROR(IF($E241="REC",INDEX(A_Type_Volume!$E:$E,MATCH($D241,A_Type_Volume!$A:$A,0),1),IF($E241="VAM",INDEX(C_Type_Volume!$E:$E,MATCH($D241,C_Type_Volume!$A:$A,0),1),"X")),"")</f>
        <v>0</v>
      </c>
      <c r="BD241" s="19">
        <f>IFERROR(IF($E241="REC",INDEX(A_Type_Volume!$F:$F,MATCH($D241,A_Type_Volume!$A:$A,0),1),IF($E241="VAM",INDEX(C_Type_Volume!$F:$F,MATCH($D241,C_Type_Volume!$A:$A,0),1),"X")),"")</f>
        <v>0</v>
      </c>
      <c r="BE241" s="19">
        <f>IFERROR(IF($E241="REC",INDEX(A_Type_Volume!$G:$G,MATCH($D241,A_Type_Volume!$A:$A,0),1),IF($E241="VAM",INDEX(C_Type_Volume!$G:$G,MATCH($D241,C_Type_Volume!$A:$A,0),1),"X")),"")</f>
        <v>0</v>
      </c>
      <c r="BF241" s="19">
        <f>IFERROR(IF($E241="REC",INDEX(A_Type_Volume!$H:$H,MATCH($D241,A_Type_Volume!$A:$A,0),1),IF($E241="VAM",INDEX(C_Type_Volume!$H:$H,MATCH($D241,C_Type_Volume!$A:$A,0),1),"X")),"")</f>
        <v>0</v>
      </c>
      <c r="BG241" s="19">
        <f>IFERROR(IF($E241="REC",INDEX(A_Type_Volume!$I:$I,MATCH($D241,A_Type_Volume!$A:$A,0),1),IF($E241="VAM",INDEX(C_Type_Volume!$I:$I,MATCH($D241,C_Type_Volume!$A:$A,0),1),"X")),"")</f>
        <v>0</v>
      </c>
      <c r="BH241" s="19">
        <f>IFERROR(IF($E241="REC",INDEX(A_Type_Volume!$J:$J,MATCH($D241,A_Type_Volume!$A:$A,0),1),IF($E241="VAM",INDEX(C_Type_Volume!$J:$J,MATCH($D241,C_Type_Volume!$A:$A,0),1),"X")),"")</f>
        <v>0</v>
      </c>
      <c r="BI241" s="19">
        <f>IFERROR(IF($E241="REC",INDEX(A_Type_Volume!$K:$K,MATCH($D241,A_Type_Volume!$A:$A,0),1),IF($E241="VAM",INDEX(C_Type_Volume!$K:$K,MATCH($D241,C_Type_Volume!$A:$A,0),1),"X")),"")</f>
        <v>0</v>
      </c>
      <c r="BJ241" s="19">
        <f>IFERROR(IF($E241="REC",INDEX(A_Type_Volume!$L:$L,MATCH($D241,A_Type_Volume!$A:$A,0),1),IF($E241="VAM",INDEX(C_Type_Volume!$L:$L,MATCH($D241,C_Type_Volume!$A:$A,0),1),"X")),"")</f>
        <v>0</v>
      </c>
      <c r="BK241" s="19">
        <f>IFERROR(IF($E241="REC",INDEX(A_Type_Volume!M:M,MATCH($D241,A_Type_Volume!$A:$A,0),1),IF($E241="VAM",INDEX(C_Type_Volume!M:M,MATCH($D241,C_Type_Volume!$A:$A,0),1),"X")),"")</f>
        <v>0</v>
      </c>
      <c r="BL241" s="38">
        <f>SUM(Table1[[#This Row],[Jan_AVF]:[Dec_AVF]])</f>
        <v>0</v>
      </c>
      <c r="BM241" s="16">
        <f t="shared" si="190"/>
        <v>0</v>
      </c>
      <c r="BN241" s="16">
        <f t="shared" si="191"/>
        <v>0</v>
      </c>
      <c r="BO241" s="16">
        <f t="shared" si="192"/>
        <v>0</v>
      </c>
      <c r="BP241" s="16">
        <f t="shared" si="193"/>
        <v>0</v>
      </c>
      <c r="BQ241" s="16">
        <f t="shared" si="194"/>
        <v>0</v>
      </c>
      <c r="BR241" s="16">
        <f t="shared" si="195"/>
        <v>0</v>
      </c>
      <c r="BS241" s="16">
        <f t="shared" si="196"/>
        <v>0</v>
      </c>
      <c r="BT241" s="16">
        <f t="shared" si="197"/>
        <v>0</v>
      </c>
      <c r="BU241" s="16">
        <f t="shared" si="198"/>
        <v>0</v>
      </c>
      <c r="BV241" s="16">
        <f t="shared" si="199"/>
        <v>0</v>
      </c>
      <c r="BW241" s="16">
        <f t="shared" si="200"/>
        <v>0</v>
      </c>
      <c r="BX241" s="16">
        <f t="shared" si="201"/>
        <v>0</v>
      </c>
      <c r="BY241" s="10">
        <f t="shared" si="168"/>
        <v>0</v>
      </c>
      <c r="BZ241" s="10">
        <f t="shared" si="169"/>
        <v>0</v>
      </c>
      <c r="CA241" s="10">
        <f t="shared" si="170"/>
        <v>0</v>
      </c>
      <c r="CB241" s="10">
        <f t="shared" si="171"/>
        <v>0</v>
      </c>
      <c r="CC241" s="10">
        <f>IFERROR(Table1[[#This Row],[Labor
Saving]]*Table1[[#This Row],[Annual Volume]],"")</f>
        <v>0</v>
      </c>
      <c r="CD241" s="10">
        <f>IFERROR(Table1[[#This Row],[Annual Volume]]*Table1[[#This Row],[Yield
Saving]],"")</f>
        <v>0</v>
      </c>
      <c r="CE241" s="10">
        <f>IFERROR(Table1[[#This Row],[Annual Volume]]*Table1[[#This Row],[Material
Saving]],"")</f>
        <v>0</v>
      </c>
      <c r="CF241" s="10">
        <f>IFERROR(Table1[[#This Row],[OH
Saving]]*Table1[[#This Row],[Annual Volume]],"")</f>
        <v>0</v>
      </c>
      <c r="CG241" s="10">
        <f>SUM(Table1[[#This Row],[Labor_ASV]:[OH_ASV]])</f>
        <v>0</v>
      </c>
    </row>
    <row r="242" spans="1:85" x14ac:dyDescent="0.3">
      <c r="A242" t="str">
        <f>Table1[[#This Row],[Project Name]]&amp;Table1[[#This Row],[Part Number]]</f>
        <v>New Etching Chemical Nitric AcidR181</v>
      </c>
      <c r="B242" t="str">
        <f>IFERROR(Table1[[#This Row],[Project Number]]&amp;Table1[[#This Row],[Part Number]],"")</f>
        <v>AME25-071R181</v>
      </c>
      <c r="C242" s="22" t="s">
        <v>118</v>
      </c>
      <c r="D242" s="24" t="s">
        <v>419</v>
      </c>
      <c r="E242" s="25" t="s">
        <v>58</v>
      </c>
      <c r="F242" s="6">
        <f>INDEX(Proj_Reg!G:G,MATCH($C242,Proj_Reg!$B:$B,0),1)</f>
        <v>46204</v>
      </c>
      <c r="G242" s="6">
        <f>INDEX(Proj_Reg!H:H,MATCH($C242,Proj_Reg!$B:$B,0),1)</f>
        <v>46539</v>
      </c>
      <c r="H242" s="6" t="str">
        <f>IF(INDEX(Proj_Reg!C:C,MATCH($C242,Proj_Reg!$B:$B,0),1)=0,"",INDEX(Proj_Reg!C:C,MATCH($C242,Proj_Reg!$B:$B,0),1))</f>
        <v>Wet Etching</v>
      </c>
      <c r="I242" s="6" t="str">
        <f>IF(INDEX(Proj_Reg!D:D,MATCH($C242,Proj_Reg!$B:$B,0),1)=0,"",INDEX(Proj_Reg!D:D,MATCH($C242,Proj_Reg!$B:$B,0),1))</f>
        <v>XWP</v>
      </c>
      <c r="J242" s="6" t="str">
        <f>INDEX(Proj_Reg!E:E,MATCH($C242,Proj_Reg!$B:$B,0),1)</f>
        <v>New Etching Chemical Nitric Acid</v>
      </c>
      <c r="K242" s="21">
        <v>1.6649663994818234E-3</v>
      </c>
      <c r="L242" s="21">
        <v>1.5525010702578723E-2</v>
      </c>
      <c r="M242" s="21">
        <v>0</v>
      </c>
      <c r="N242" s="21">
        <v>0</v>
      </c>
      <c r="O242" s="11">
        <f>SUM(Table1[[#This Row],[Labor
Saving]:[OH
Saving]])</f>
        <v>1.7189977102060546E-2</v>
      </c>
      <c r="Q242" s="40">
        <f t="shared" si="152"/>
        <v>0</v>
      </c>
      <c r="R242" s="40">
        <f t="shared" si="153"/>
        <v>0</v>
      </c>
      <c r="S242" s="40">
        <f t="shared" si="154"/>
        <v>0</v>
      </c>
      <c r="T242" s="40">
        <f t="shared" si="155"/>
        <v>0</v>
      </c>
      <c r="U242" s="40">
        <f t="shared" si="156"/>
        <v>0</v>
      </c>
      <c r="V242" s="40">
        <f t="shared" si="157"/>
        <v>0</v>
      </c>
      <c r="W242" s="40">
        <f t="shared" si="158"/>
        <v>0</v>
      </c>
      <c r="X242" s="40">
        <f t="shared" si="159"/>
        <v>0</v>
      </c>
      <c r="Y242" s="40">
        <f t="shared" si="160"/>
        <v>0</v>
      </c>
      <c r="Z242" s="40">
        <f t="shared" si="161"/>
        <v>0</v>
      </c>
      <c r="AA242" s="40">
        <f t="shared" si="162"/>
        <v>0</v>
      </c>
      <c r="AB242" s="40">
        <f t="shared" si="163"/>
        <v>0</v>
      </c>
      <c r="AC242" s="37">
        <f>SUM(Table1[[#This Row],[Jan]:[Dec]])</f>
        <v>0</v>
      </c>
      <c r="AD242" s="15">
        <f t="shared" si="172"/>
        <v>0</v>
      </c>
      <c r="AE242" s="15">
        <f t="shared" si="173"/>
        <v>0</v>
      </c>
      <c r="AF242" s="15">
        <f t="shared" si="174"/>
        <v>0</v>
      </c>
      <c r="AG242" s="15">
        <f t="shared" si="175"/>
        <v>0</v>
      </c>
      <c r="AH242" s="15">
        <f t="shared" si="176"/>
        <v>0</v>
      </c>
      <c r="AI242" s="15">
        <f t="shared" si="177"/>
        <v>0</v>
      </c>
      <c r="AJ242" s="15">
        <f t="shared" si="178"/>
        <v>0</v>
      </c>
      <c r="AK242" s="15">
        <f t="shared" si="179"/>
        <v>0</v>
      </c>
      <c r="AL242" s="15">
        <f t="shared" si="180"/>
        <v>0</v>
      </c>
      <c r="AM242" s="15">
        <f t="shared" si="181"/>
        <v>0</v>
      </c>
      <c r="AN242" s="15">
        <f t="shared" si="182"/>
        <v>0</v>
      </c>
      <c r="AO242" s="15">
        <f t="shared" si="183"/>
        <v>0</v>
      </c>
      <c r="AP242" s="10">
        <f t="shared" si="184"/>
        <v>0</v>
      </c>
      <c r="AQ242" s="10">
        <f t="shared" si="185"/>
        <v>0</v>
      </c>
      <c r="AR242" s="10">
        <f t="shared" si="186"/>
        <v>0</v>
      </c>
      <c r="AS242" s="10">
        <f t="shared" si="187"/>
        <v>0</v>
      </c>
      <c r="AT242" s="10" t="b">
        <f t="shared" si="188"/>
        <v>1</v>
      </c>
      <c r="AU242" s="10">
        <f t="shared" si="164"/>
        <v>0</v>
      </c>
      <c r="AV242" s="10">
        <f t="shared" si="165"/>
        <v>0</v>
      </c>
      <c r="AW242" s="10">
        <f t="shared" si="166"/>
        <v>0</v>
      </c>
      <c r="AX242" s="10">
        <f t="shared" si="167"/>
        <v>0</v>
      </c>
      <c r="AY242" s="10">
        <f t="shared" si="189"/>
        <v>0</v>
      </c>
      <c r="AZ242" s="19">
        <f>IFERROR(IF($E242="REC",INDEX(A_Type_Volume!$B:$B,MATCH($D242,A_Type_Volume!$A:$A,0),1),IF($E242="VAM",INDEX(C_Type_Volume!$B:$B,MATCH($D242,C_Type_Volume!$A:$A,0),1),"X")),"")</f>
        <v>0</v>
      </c>
      <c r="BA242" s="19">
        <f>IFERROR(IF($E242="REC",INDEX(A_Type_Volume!$C:$C,MATCH($D242,A_Type_Volume!$A:$A,0),1),IF($E242="VAM",INDEX(C_Type_Volume!$C:$C,MATCH($D242,C_Type_Volume!$A:$A,0),1),"X")),"")</f>
        <v>0</v>
      </c>
      <c r="BB242" s="19">
        <f>IFERROR(IF($E242="REC",INDEX(A_Type_Volume!$D:$D,MATCH($D242,A_Type_Volume!$A:$A,0),1),IF($E242="VAM",INDEX(C_Type_Volume!$D:$D,MATCH($D242,C_Type_Volume!$A:$A,0),1),"X")),"")</f>
        <v>0</v>
      </c>
      <c r="BC242" s="19">
        <f>IFERROR(IF($E242="REC",INDEX(A_Type_Volume!$E:$E,MATCH($D242,A_Type_Volume!$A:$A,0),1),IF($E242="VAM",INDEX(C_Type_Volume!$E:$E,MATCH($D242,C_Type_Volume!$A:$A,0),1),"X")),"")</f>
        <v>0</v>
      </c>
      <c r="BD242" s="19">
        <f>IFERROR(IF($E242="REC",INDEX(A_Type_Volume!$F:$F,MATCH($D242,A_Type_Volume!$A:$A,0),1),IF($E242="VAM",INDEX(C_Type_Volume!$F:$F,MATCH($D242,C_Type_Volume!$A:$A,0),1),"X")),"")</f>
        <v>0</v>
      </c>
      <c r="BE242" s="19">
        <f>IFERROR(IF($E242="REC",INDEX(A_Type_Volume!$G:$G,MATCH($D242,A_Type_Volume!$A:$A,0),1),IF($E242="VAM",INDEX(C_Type_Volume!$G:$G,MATCH($D242,C_Type_Volume!$A:$A,0),1),"X")),"")</f>
        <v>0</v>
      </c>
      <c r="BF242" s="19">
        <f>IFERROR(IF($E242="REC",INDEX(A_Type_Volume!$H:$H,MATCH($D242,A_Type_Volume!$A:$A,0),1),IF($E242="VAM",INDEX(C_Type_Volume!$H:$H,MATCH($D242,C_Type_Volume!$A:$A,0),1),"X")),"")</f>
        <v>0</v>
      </c>
      <c r="BG242" s="19">
        <f>IFERROR(IF($E242="REC",INDEX(A_Type_Volume!$I:$I,MATCH($D242,A_Type_Volume!$A:$A,0),1),IF($E242="VAM",INDEX(C_Type_Volume!$I:$I,MATCH($D242,C_Type_Volume!$A:$A,0),1),"X")),"")</f>
        <v>0</v>
      </c>
      <c r="BH242" s="19">
        <f>IFERROR(IF($E242="REC",INDEX(A_Type_Volume!$J:$J,MATCH($D242,A_Type_Volume!$A:$A,0),1),IF($E242="VAM",INDEX(C_Type_Volume!$J:$J,MATCH($D242,C_Type_Volume!$A:$A,0),1),"X")),"")</f>
        <v>0</v>
      </c>
      <c r="BI242" s="19">
        <f>IFERROR(IF($E242="REC",INDEX(A_Type_Volume!$K:$K,MATCH($D242,A_Type_Volume!$A:$A,0),1),IF($E242="VAM",INDEX(C_Type_Volume!$K:$K,MATCH($D242,C_Type_Volume!$A:$A,0),1),"X")),"")</f>
        <v>0</v>
      </c>
      <c r="BJ242" s="19">
        <f>IFERROR(IF($E242="REC",INDEX(A_Type_Volume!$L:$L,MATCH($D242,A_Type_Volume!$A:$A,0),1),IF($E242="VAM",INDEX(C_Type_Volume!$L:$L,MATCH($D242,C_Type_Volume!$A:$A,0),1),"X")),"")</f>
        <v>0</v>
      </c>
      <c r="BK242" s="19">
        <f>IFERROR(IF($E242="REC",INDEX(A_Type_Volume!M:M,MATCH($D242,A_Type_Volume!$A:$A,0),1),IF($E242="VAM",INDEX(C_Type_Volume!M:M,MATCH($D242,C_Type_Volume!$A:$A,0),1),"X")),"")</f>
        <v>0</v>
      </c>
      <c r="BL242" s="38">
        <f>SUM(Table1[[#This Row],[Jan_AVF]:[Dec_AVF]])</f>
        <v>0</v>
      </c>
      <c r="BM242" s="16">
        <f t="shared" si="190"/>
        <v>0</v>
      </c>
      <c r="BN242" s="16">
        <f t="shared" si="191"/>
        <v>0</v>
      </c>
      <c r="BO242" s="16">
        <f t="shared" si="192"/>
        <v>0</v>
      </c>
      <c r="BP242" s="16">
        <f t="shared" si="193"/>
        <v>0</v>
      </c>
      <c r="BQ242" s="16">
        <f t="shared" si="194"/>
        <v>0</v>
      </c>
      <c r="BR242" s="16">
        <f t="shared" si="195"/>
        <v>0</v>
      </c>
      <c r="BS242" s="16">
        <f t="shared" si="196"/>
        <v>0</v>
      </c>
      <c r="BT242" s="16">
        <f t="shared" si="197"/>
        <v>0</v>
      </c>
      <c r="BU242" s="16">
        <f t="shared" si="198"/>
        <v>0</v>
      </c>
      <c r="BV242" s="16">
        <f t="shared" si="199"/>
        <v>0</v>
      </c>
      <c r="BW242" s="16">
        <f t="shared" si="200"/>
        <v>0</v>
      </c>
      <c r="BX242" s="16">
        <f t="shared" si="201"/>
        <v>0</v>
      </c>
      <c r="BY242" s="10">
        <f t="shared" si="168"/>
        <v>0</v>
      </c>
      <c r="BZ242" s="10">
        <f t="shared" si="169"/>
        <v>0</v>
      </c>
      <c r="CA242" s="10">
        <f t="shared" si="170"/>
        <v>0</v>
      </c>
      <c r="CB242" s="10">
        <f t="shared" si="171"/>
        <v>0</v>
      </c>
      <c r="CC242" s="10">
        <f>IFERROR(Table1[[#This Row],[Labor
Saving]]*Table1[[#This Row],[Annual Volume]],"")</f>
        <v>0</v>
      </c>
      <c r="CD242" s="10">
        <f>IFERROR(Table1[[#This Row],[Annual Volume]]*Table1[[#This Row],[Yield
Saving]],"")</f>
        <v>0</v>
      </c>
      <c r="CE242" s="10">
        <f>IFERROR(Table1[[#This Row],[Annual Volume]]*Table1[[#This Row],[Material
Saving]],"")</f>
        <v>0</v>
      </c>
      <c r="CF242" s="10">
        <f>IFERROR(Table1[[#This Row],[OH
Saving]]*Table1[[#This Row],[Annual Volume]],"")</f>
        <v>0</v>
      </c>
      <c r="CG242" s="10">
        <f>SUM(Table1[[#This Row],[Labor_ASV]:[OH_ASV]])</f>
        <v>0</v>
      </c>
    </row>
    <row r="243" spans="1:85" x14ac:dyDescent="0.3">
      <c r="A243" t="str">
        <f>Table1[[#This Row],[Project Name]]&amp;Table1[[#This Row],[Part Number]]</f>
        <v>New Etching Chemical Nitric AcidR185</v>
      </c>
      <c r="B243" t="str">
        <f>IFERROR(Table1[[#This Row],[Project Number]]&amp;Table1[[#This Row],[Part Number]],"")</f>
        <v>AME25-071R185</v>
      </c>
      <c r="C243" s="22" t="s">
        <v>118</v>
      </c>
      <c r="D243" s="24" t="s">
        <v>423</v>
      </c>
      <c r="E243" s="25" t="s">
        <v>58</v>
      </c>
      <c r="F243" s="6">
        <f>INDEX(Proj_Reg!G:G,MATCH($C243,Proj_Reg!$B:$B,0),1)</f>
        <v>46204</v>
      </c>
      <c r="G243" s="6">
        <f>INDEX(Proj_Reg!H:H,MATCH($C243,Proj_Reg!$B:$B,0),1)</f>
        <v>46539</v>
      </c>
      <c r="H243" s="6" t="str">
        <f>IF(INDEX(Proj_Reg!C:C,MATCH($C243,Proj_Reg!$B:$B,0),1)=0,"",INDEX(Proj_Reg!C:C,MATCH($C243,Proj_Reg!$B:$B,0),1))</f>
        <v>Wet Etching</v>
      </c>
      <c r="I243" s="6" t="str">
        <f>IF(INDEX(Proj_Reg!D:D,MATCH($C243,Proj_Reg!$B:$B,0),1)=0,"",INDEX(Proj_Reg!D:D,MATCH($C243,Proj_Reg!$B:$B,0),1))</f>
        <v>XWP</v>
      </c>
      <c r="J243" s="6" t="str">
        <f>INDEX(Proj_Reg!E:E,MATCH($C243,Proj_Reg!$B:$B,0),1)</f>
        <v>New Etching Chemical Nitric Acid</v>
      </c>
      <c r="K243" s="21">
        <v>1.6649663994818234E-3</v>
      </c>
      <c r="L243" s="21">
        <v>1.5525010702578723E-2</v>
      </c>
      <c r="M243" s="21">
        <v>0</v>
      </c>
      <c r="N243" s="21">
        <v>0</v>
      </c>
      <c r="O243" s="11">
        <f>SUM(Table1[[#This Row],[Labor
Saving]:[OH
Saving]])</f>
        <v>1.7189977102060546E-2</v>
      </c>
      <c r="Q243" s="40">
        <f t="shared" si="152"/>
        <v>0</v>
      </c>
      <c r="R243" s="40">
        <f t="shared" si="153"/>
        <v>0</v>
      </c>
      <c r="S243" s="40">
        <f t="shared" si="154"/>
        <v>0</v>
      </c>
      <c r="T243" s="40">
        <f t="shared" si="155"/>
        <v>0</v>
      </c>
      <c r="U243" s="40">
        <f t="shared" si="156"/>
        <v>0</v>
      </c>
      <c r="V243" s="40">
        <f t="shared" si="157"/>
        <v>0</v>
      </c>
      <c r="W243" s="40">
        <f t="shared" si="158"/>
        <v>0</v>
      </c>
      <c r="X243" s="40">
        <f t="shared" si="159"/>
        <v>0</v>
      </c>
      <c r="Y243" s="40">
        <f t="shared" si="160"/>
        <v>0</v>
      </c>
      <c r="Z243" s="40">
        <f t="shared" si="161"/>
        <v>0</v>
      </c>
      <c r="AA243" s="40">
        <f t="shared" si="162"/>
        <v>0</v>
      </c>
      <c r="AB243" s="40">
        <f t="shared" si="163"/>
        <v>0</v>
      </c>
      <c r="AC243" s="37">
        <f>SUM(Table1[[#This Row],[Jan]:[Dec]])</f>
        <v>0</v>
      </c>
      <c r="AD243" s="15">
        <f t="shared" si="172"/>
        <v>0</v>
      </c>
      <c r="AE243" s="15">
        <f t="shared" si="173"/>
        <v>0</v>
      </c>
      <c r="AF243" s="15">
        <f t="shared" si="174"/>
        <v>0</v>
      </c>
      <c r="AG243" s="15">
        <f t="shared" si="175"/>
        <v>0</v>
      </c>
      <c r="AH243" s="15">
        <f t="shared" si="176"/>
        <v>0</v>
      </c>
      <c r="AI243" s="15">
        <f t="shared" si="177"/>
        <v>0</v>
      </c>
      <c r="AJ243" s="15">
        <f t="shared" si="178"/>
        <v>0</v>
      </c>
      <c r="AK243" s="15">
        <f t="shared" si="179"/>
        <v>0</v>
      </c>
      <c r="AL243" s="15">
        <f t="shared" si="180"/>
        <v>0</v>
      </c>
      <c r="AM243" s="15">
        <f t="shared" si="181"/>
        <v>0</v>
      </c>
      <c r="AN243" s="15">
        <f t="shared" si="182"/>
        <v>0</v>
      </c>
      <c r="AO243" s="15">
        <f t="shared" si="183"/>
        <v>0</v>
      </c>
      <c r="AP243" s="10">
        <f t="shared" si="184"/>
        <v>0</v>
      </c>
      <c r="AQ243" s="10">
        <f t="shared" si="185"/>
        <v>0</v>
      </c>
      <c r="AR243" s="10">
        <f t="shared" si="186"/>
        <v>0</v>
      </c>
      <c r="AS243" s="10">
        <f t="shared" si="187"/>
        <v>0</v>
      </c>
      <c r="AT243" s="10" t="b">
        <f t="shared" si="188"/>
        <v>1</v>
      </c>
      <c r="AU243" s="10">
        <f t="shared" si="164"/>
        <v>0</v>
      </c>
      <c r="AV243" s="10">
        <f t="shared" si="165"/>
        <v>0</v>
      </c>
      <c r="AW243" s="10">
        <f t="shared" si="166"/>
        <v>0</v>
      </c>
      <c r="AX243" s="10">
        <f t="shared" si="167"/>
        <v>0</v>
      </c>
      <c r="AY243" s="10">
        <f t="shared" si="189"/>
        <v>0</v>
      </c>
      <c r="AZ243" s="19">
        <f>IFERROR(IF($E243="REC",INDEX(A_Type_Volume!$B:$B,MATCH($D243,A_Type_Volume!$A:$A,0),1),IF($E243="VAM",INDEX(C_Type_Volume!$B:$B,MATCH($D243,C_Type_Volume!$A:$A,0),1),"X")),"")</f>
        <v>0</v>
      </c>
      <c r="BA243" s="19">
        <f>IFERROR(IF($E243="REC",INDEX(A_Type_Volume!$C:$C,MATCH($D243,A_Type_Volume!$A:$A,0),1),IF($E243="VAM",INDEX(C_Type_Volume!$C:$C,MATCH($D243,C_Type_Volume!$A:$A,0),1),"X")),"")</f>
        <v>0</v>
      </c>
      <c r="BB243" s="19">
        <f>IFERROR(IF($E243="REC",INDEX(A_Type_Volume!$D:$D,MATCH($D243,A_Type_Volume!$A:$A,0),1),IF($E243="VAM",INDEX(C_Type_Volume!$D:$D,MATCH($D243,C_Type_Volume!$A:$A,0),1),"X")),"")</f>
        <v>0</v>
      </c>
      <c r="BC243" s="19">
        <f>IFERROR(IF($E243="REC",INDEX(A_Type_Volume!$E:$E,MATCH($D243,A_Type_Volume!$A:$A,0),1),IF($E243="VAM",INDEX(C_Type_Volume!$E:$E,MATCH($D243,C_Type_Volume!$A:$A,0),1),"X")),"")</f>
        <v>0</v>
      </c>
      <c r="BD243" s="19">
        <f>IFERROR(IF($E243="REC",INDEX(A_Type_Volume!$F:$F,MATCH($D243,A_Type_Volume!$A:$A,0),1),IF($E243="VAM",INDEX(C_Type_Volume!$F:$F,MATCH($D243,C_Type_Volume!$A:$A,0),1),"X")),"")</f>
        <v>0</v>
      </c>
      <c r="BE243" s="19">
        <f>IFERROR(IF($E243="REC",INDEX(A_Type_Volume!$G:$G,MATCH($D243,A_Type_Volume!$A:$A,0),1),IF($E243="VAM",INDEX(C_Type_Volume!$G:$G,MATCH($D243,C_Type_Volume!$A:$A,0),1),"X")),"")</f>
        <v>0</v>
      </c>
      <c r="BF243" s="19">
        <f>IFERROR(IF($E243="REC",INDEX(A_Type_Volume!$H:$H,MATCH($D243,A_Type_Volume!$A:$A,0),1),IF($E243="VAM",INDEX(C_Type_Volume!$H:$H,MATCH($D243,C_Type_Volume!$A:$A,0),1),"X")),"")</f>
        <v>0</v>
      </c>
      <c r="BG243" s="19">
        <f>IFERROR(IF($E243="REC",INDEX(A_Type_Volume!$I:$I,MATCH($D243,A_Type_Volume!$A:$A,0),1),IF($E243="VAM",INDEX(C_Type_Volume!$I:$I,MATCH($D243,C_Type_Volume!$A:$A,0),1),"X")),"")</f>
        <v>0</v>
      </c>
      <c r="BH243" s="19">
        <f>IFERROR(IF($E243="REC",INDEX(A_Type_Volume!$J:$J,MATCH($D243,A_Type_Volume!$A:$A,0),1),IF($E243="VAM",INDEX(C_Type_Volume!$J:$J,MATCH($D243,C_Type_Volume!$A:$A,0),1),"X")),"")</f>
        <v>0</v>
      </c>
      <c r="BI243" s="19">
        <f>IFERROR(IF($E243="REC",INDEX(A_Type_Volume!$K:$K,MATCH($D243,A_Type_Volume!$A:$A,0),1),IF($E243="VAM",INDEX(C_Type_Volume!$K:$K,MATCH($D243,C_Type_Volume!$A:$A,0),1),"X")),"")</f>
        <v>0</v>
      </c>
      <c r="BJ243" s="19">
        <f>IFERROR(IF($E243="REC",INDEX(A_Type_Volume!$L:$L,MATCH($D243,A_Type_Volume!$A:$A,0),1),IF($E243="VAM",INDEX(C_Type_Volume!$L:$L,MATCH($D243,C_Type_Volume!$A:$A,0),1),"X")),"")</f>
        <v>0</v>
      </c>
      <c r="BK243" s="19">
        <f>IFERROR(IF($E243="REC",INDEX(A_Type_Volume!M:M,MATCH($D243,A_Type_Volume!$A:$A,0),1),IF($E243="VAM",INDEX(C_Type_Volume!M:M,MATCH($D243,C_Type_Volume!$A:$A,0),1),"X")),"")</f>
        <v>0</v>
      </c>
      <c r="BL243" s="38">
        <f>SUM(Table1[[#This Row],[Jan_AVF]:[Dec_AVF]])</f>
        <v>0</v>
      </c>
      <c r="BM243" s="16">
        <f t="shared" si="190"/>
        <v>0</v>
      </c>
      <c r="BN243" s="16">
        <f t="shared" si="191"/>
        <v>0</v>
      </c>
      <c r="BO243" s="16">
        <f t="shared" si="192"/>
        <v>0</v>
      </c>
      <c r="BP243" s="16">
        <f t="shared" si="193"/>
        <v>0</v>
      </c>
      <c r="BQ243" s="16">
        <f t="shared" si="194"/>
        <v>0</v>
      </c>
      <c r="BR243" s="16">
        <f t="shared" si="195"/>
        <v>0</v>
      </c>
      <c r="BS243" s="16">
        <f t="shared" si="196"/>
        <v>0</v>
      </c>
      <c r="BT243" s="16">
        <f t="shared" si="197"/>
        <v>0</v>
      </c>
      <c r="BU243" s="16">
        <f t="shared" si="198"/>
        <v>0</v>
      </c>
      <c r="BV243" s="16">
        <f t="shared" si="199"/>
        <v>0</v>
      </c>
      <c r="BW243" s="16">
        <f t="shared" si="200"/>
        <v>0</v>
      </c>
      <c r="BX243" s="16">
        <f t="shared" si="201"/>
        <v>0</v>
      </c>
      <c r="BY243" s="10">
        <f t="shared" si="168"/>
        <v>0</v>
      </c>
      <c r="BZ243" s="10">
        <f t="shared" si="169"/>
        <v>0</v>
      </c>
      <c r="CA243" s="10">
        <f t="shared" si="170"/>
        <v>0</v>
      </c>
      <c r="CB243" s="10">
        <f t="shared" si="171"/>
        <v>0</v>
      </c>
      <c r="CC243" s="10">
        <f>IFERROR(Table1[[#This Row],[Labor
Saving]]*Table1[[#This Row],[Annual Volume]],"")</f>
        <v>0</v>
      </c>
      <c r="CD243" s="10">
        <f>IFERROR(Table1[[#This Row],[Annual Volume]]*Table1[[#This Row],[Yield
Saving]],"")</f>
        <v>0</v>
      </c>
      <c r="CE243" s="10">
        <f>IFERROR(Table1[[#This Row],[Annual Volume]]*Table1[[#This Row],[Material
Saving]],"")</f>
        <v>0</v>
      </c>
      <c r="CF243" s="10">
        <f>IFERROR(Table1[[#This Row],[OH
Saving]]*Table1[[#This Row],[Annual Volume]],"")</f>
        <v>0</v>
      </c>
      <c r="CG243" s="10">
        <f>SUM(Table1[[#This Row],[Labor_ASV]:[OH_ASV]])</f>
        <v>0</v>
      </c>
    </row>
    <row r="244" spans="1:85" x14ac:dyDescent="0.3">
      <c r="A244" t="str">
        <f>Table1[[#This Row],[Project Name]]&amp;Table1[[#This Row],[Part Number]]</f>
        <v>New Etching Chemical Nitric AcidR187</v>
      </c>
      <c r="B244" t="str">
        <f>IFERROR(Table1[[#This Row],[Project Number]]&amp;Table1[[#This Row],[Part Number]],"")</f>
        <v>AME25-071R187</v>
      </c>
      <c r="C244" s="22" t="s">
        <v>118</v>
      </c>
      <c r="D244" s="24" t="s">
        <v>425</v>
      </c>
      <c r="E244" s="25" t="s">
        <v>58</v>
      </c>
      <c r="F244" s="6">
        <f>INDEX(Proj_Reg!G:G,MATCH($C244,Proj_Reg!$B:$B,0),1)</f>
        <v>46204</v>
      </c>
      <c r="G244" s="6">
        <f>INDEX(Proj_Reg!H:H,MATCH($C244,Proj_Reg!$B:$B,0),1)</f>
        <v>46539</v>
      </c>
      <c r="H244" s="6" t="str">
        <f>IF(INDEX(Proj_Reg!C:C,MATCH($C244,Proj_Reg!$B:$B,0),1)=0,"",INDEX(Proj_Reg!C:C,MATCH($C244,Proj_Reg!$B:$B,0),1))</f>
        <v>Wet Etching</v>
      </c>
      <c r="I244" s="6" t="str">
        <f>IF(INDEX(Proj_Reg!D:D,MATCH($C244,Proj_Reg!$B:$B,0),1)=0,"",INDEX(Proj_Reg!D:D,MATCH($C244,Proj_Reg!$B:$B,0),1))</f>
        <v>XWP</v>
      </c>
      <c r="J244" s="6" t="str">
        <f>INDEX(Proj_Reg!E:E,MATCH($C244,Proj_Reg!$B:$B,0),1)</f>
        <v>New Etching Chemical Nitric Acid</v>
      </c>
      <c r="K244" s="21">
        <v>1.6649663994818234E-3</v>
      </c>
      <c r="L244" s="21">
        <v>1.5525010702578723E-2</v>
      </c>
      <c r="M244" s="21">
        <v>0</v>
      </c>
      <c r="N244" s="21">
        <v>0</v>
      </c>
      <c r="O244" s="11">
        <f>SUM(Table1[[#This Row],[Labor
Saving]:[OH
Saving]])</f>
        <v>1.7189977102060546E-2</v>
      </c>
      <c r="Q244" s="40">
        <f t="shared" si="152"/>
        <v>0</v>
      </c>
      <c r="R244" s="40">
        <f t="shared" si="153"/>
        <v>0</v>
      </c>
      <c r="S244" s="40">
        <f t="shared" si="154"/>
        <v>0</v>
      </c>
      <c r="T244" s="40">
        <f t="shared" si="155"/>
        <v>0</v>
      </c>
      <c r="U244" s="40">
        <f t="shared" si="156"/>
        <v>0</v>
      </c>
      <c r="V244" s="40">
        <f t="shared" si="157"/>
        <v>0</v>
      </c>
      <c r="W244" s="40">
        <f t="shared" si="158"/>
        <v>0</v>
      </c>
      <c r="X244" s="40">
        <f t="shared" si="159"/>
        <v>0</v>
      </c>
      <c r="Y244" s="40">
        <f t="shared" si="160"/>
        <v>0</v>
      </c>
      <c r="Z244" s="40">
        <f t="shared" si="161"/>
        <v>0</v>
      </c>
      <c r="AA244" s="40">
        <f t="shared" si="162"/>
        <v>0</v>
      </c>
      <c r="AB244" s="40">
        <f t="shared" si="163"/>
        <v>0</v>
      </c>
      <c r="AC244" s="37">
        <f>SUM(Table1[[#This Row],[Jan]:[Dec]])</f>
        <v>0</v>
      </c>
      <c r="AD244" s="15">
        <f t="shared" si="172"/>
        <v>0</v>
      </c>
      <c r="AE244" s="15">
        <f t="shared" si="173"/>
        <v>0</v>
      </c>
      <c r="AF244" s="15">
        <f t="shared" si="174"/>
        <v>0</v>
      </c>
      <c r="AG244" s="15">
        <f t="shared" si="175"/>
        <v>0</v>
      </c>
      <c r="AH244" s="15">
        <f t="shared" si="176"/>
        <v>0</v>
      </c>
      <c r="AI244" s="15">
        <f t="shared" si="177"/>
        <v>0</v>
      </c>
      <c r="AJ244" s="15">
        <f t="shared" si="178"/>
        <v>0</v>
      </c>
      <c r="AK244" s="15">
        <f t="shared" si="179"/>
        <v>0</v>
      </c>
      <c r="AL244" s="15">
        <f t="shared" si="180"/>
        <v>0</v>
      </c>
      <c r="AM244" s="15">
        <f t="shared" si="181"/>
        <v>0</v>
      </c>
      <c r="AN244" s="15">
        <f t="shared" si="182"/>
        <v>0</v>
      </c>
      <c r="AO244" s="15">
        <f t="shared" si="183"/>
        <v>0</v>
      </c>
      <c r="AP244" s="10">
        <f t="shared" si="184"/>
        <v>0</v>
      </c>
      <c r="AQ244" s="10">
        <f t="shared" si="185"/>
        <v>0</v>
      </c>
      <c r="AR244" s="10">
        <f t="shared" si="186"/>
        <v>0</v>
      </c>
      <c r="AS244" s="10">
        <f t="shared" si="187"/>
        <v>0</v>
      </c>
      <c r="AT244" s="10" t="b">
        <f t="shared" si="188"/>
        <v>1</v>
      </c>
      <c r="AU244" s="10">
        <f t="shared" si="164"/>
        <v>0</v>
      </c>
      <c r="AV244" s="10">
        <f t="shared" si="165"/>
        <v>0</v>
      </c>
      <c r="AW244" s="10">
        <f t="shared" si="166"/>
        <v>0</v>
      </c>
      <c r="AX244" s="10">
        <f t="shared" si="167"/>
        <v>0</v>
      </c>
      <c r="AY244" s="10">
        <f t="shared" si="189"/>
        <v>0</v>
      </c>
      <c r="AZ244" s="19">
        <f>IFERROR(IF($E244="REC",INDEX(A_Type_Volume!$B:$B,MATCH($D244,A_Type_Volume!$A:$A,0),1),IF($E244="VAM",INDEX(C_Type_Volume!$B:$B,MATCH($D244,C_Type_Volume!$A:$A,0),1),"X")),"")</f>
        <v>0</v>
      </c>
      <c r="BA244" s="19">
        <f>IFERROR(IF($E244="REC",INDEX(A_Type_Volume!$C:$C,MATCH($D244,A_Type_Volume!$A:$A,0),1),IF($E244="VAM",INDEX(C_Type_Volume!$C:$C,MATCH($D244,C_Type_Volume!$A:$A,0),1),"X")),"")</f>
        <v>0</v>
      </c>
      <c r="BB244" s="19">
        <f>IFERROR(IF($E244="REC",INDEX(A_Type_Volume!$D:$D,MATCH($D244,A_Type_Volume!$A:$A,0),1),IF($E244="VAM",INDEX(C_Type_Volume!$D:$D,MATCH($D244,C_Type_Volume!$A:$A,0),1),"X")),"")</f>
        <v>0</v>
      </c>
      <c r="BC244" s="19">
        <f>IFERROR(IF($E244="REC",INDEX(A_Type_Volume!$E:$E,MATCH($D244,A_Type_Volume!$A:$A,0),1),IF($E244="VAM",INDEX(C_Type_Volume!$E:$E,MATCH($D244,C_Type_Volume!$A:$A,0),1),"X")),"")</f>
        <v>0</v>
      </c>
      <c r="BD244" s="19">
        <f>IFERROR(IF($E244="REC",INDEX(A_Type_Volume!$F:$F,MATCH($D244,A_Type_Volume!$A:$A,0),1),IF($E244="VAM",INDEX(C_Type_Volume!$F:$F,MATCH($D244,C_Type_Volume!$A:$A,0),1),"X")),"")</f>
        <v>0</v>
      </c>
      <c r="BE244" s="19">
        <f>IFERROR(IF($E244="REC",INDEX(A_Type_Volume!$G:$G,MATCH($D244,A_Type_Volume!$A:$A,0),1),IF($E244="VAM",INDEX(C_Type_Volume!$G:$G,MATCH($D244,C_Type_Volume!$A:$A,0),1),"X")),"")</f>
        <v>0</v>
      </c>
      <c r="BF244" s="19">
        <f>IFERROR(IF($E244="REC",INDEX(A_Type_Volume!$H:$H,MATCH($D244,A_Type_Volume!$A:$A,0),1),IF($E244="VAM",INDEX(C_Type_Volume!$H:$H,MATCH($D244,C_Type_Volume!$A:$A,0),1),"X")),"")</f>
        <v>0</v>
      </c>
      <c r="BG244" s="19">
        <f>IFERROR(IF($E244="REC",INDEX(A_Type_Volume!$I:$I,MATCH($D244,A_Type_Volume!$A:$A,0),1),IF($E244="VAM",INDEX(C_Type_Volume!$I:$I,MATCH($D244,C_Type_Volume!$A:$A,0),1),"X")),"")</f>
        <v>0</v>
      </c>
      <c r="BH244" s="19">
        <f>IFERROR(IF($E244="REC",INDEX(A_Type_Volume!$J:$J,MATCH($D244,A_Type_Volume!$A:$A,0),1),IF($E244="VAM",INDEX(C_Type_Volume!$J:$J,MATCH($D244,C_Type_Volume!$A:$A,0),1),"X")),"")</f>
        <v>0</v>
      </c>
      <c r="BI244" s="19">
        <f>IFERROR(IF($E244="REC",INDEX(A_Type_Volume!$K:$K,MATCH($D244,A_Type_Volume!$A:$A,0),1),IF($E244="VAM",INDEX(C_Type_Volume!$K:$K,MATCH($D244,C_Type_Volume!$A:$A,0),1),"X")),"")</f>
        <v>0</v>
      </c>
      <c r="BJ244" s="19">
        <f>IFERROR(IF($E244="REC",INDEX(A_Type_Volume!$L:$L,MATCH($D244,A_Type_Volume!$A:$A,0),1),IF($E244="VAM",INDEX(C_Type_Volume!$L:$L,MATCH($D244,C_Type_Volume!$A:$A,0),1),"X")),"")</f>
        <v>0</v>
      </c>
      <c r="BK244" s="19">
        <f>IFERROR(IF($E244="REC",INDEX(A_Type_Volume!M:M,MATCH($D244,A_Type_Volume!$A:$A,0),1),IF($E244="VAM",INDEX(C_Type_Volume!M:M,MATCH($D244,C_Type_Volume!$A:$A,0),1),"X")),"")</f>
        <v>0</v>
      </c>
      <c r="BL244" s="38">
        <f>SUM(Table1[[#This Row],[Jan_AVF]:[Dec_AVF]])</f>
        <v>0</v>
      </c>
      <c r="BM244" s="16">
        <f t="shared" si="190"/>
        <v>0</v>
      </c>
      <c r="BN244" s="16">
        <f t="shared" si="191"/>
        <v>0</v>
      </c>
      <c r="BO244" s="16">
        <f t="shared" si="192"/>
        <v>0</v>
      </c>
      <c r="BP244" s="16">
        <f t="shared" si="193"/>
        <v>0</v>
      </c>
      <c r="BQ244" s="16">
        <f t="shared" si="194"/>
        <v>0</v>
      </c>
      <c r="BR244" s="16">
        <f t="shared" si="195"/>
        <v>0</v>
      </c>
      <c r="BS244" s="16">
        <f t="shared" si="196"/>
        <v>0</v>
      </c>
      <c r="BT244" s="16">
        <f t="shared" si="197"/>
        <v>0</v>
      </c>
      <c r="BU244" s="16">
        <f t="shared" si="198"/>
        <v>0</v>
      </c>
      <c r="BV244" s="16">
        <f t="shared" si="199"/>
        <v>0</v>
      </c>
      <c r="BW244" s="16">
        <f t="shared" si="200"/>
        <v>0</v>
      </c>
      <c r="BX244" s="16">
        <f t="shared" si="201"/>
        <v>0</v>
      </c>
      <c r="BY244" s="10">
        <f t="shared" si="168"/>
        <v>0</v>
      </c>
      <c r="BZ244" s="10">
        <f t="shared" si="169"/>
        <v>0</v>
      </c>
      <c r="CA244" s="10">
        <f t="shared" si="170"/>
        <v>0</v>
      </c>
      <c r="CB244" s="10">
        <f t="shared" si="171"/>
        <v>0</v>
      </c>
      <c r="CC244" s="10">
        <f>IFERROR(Table1[[#This Row],[Labor
Saving]]*Table1[[#This Row],[Annual Volume]],"")</f>
        <v>0</v>
      </c>
      <c r="CD244" s="10">
        <f>IFERROR(Table1[[#This Row],[Annual Volume]]*Table1[[#This Row],[Yield
Saving]],"")</f>
        <v>0</v>
      </c>
      <c r="CE244" s="10">
        <f>IFERROR(Table1[[#This Row],[Annual Volume]]*Table1[[#This Row],[Material
Saving]],"")</f>
        <v>0</v>
      </c>
      <c r="CF244" s="10">
        <f>IFERROR(Table1[[#This Row],[OH
Saving]]*Table1[[#This Row],[Annual Volume]],"")</f>
        <v>0</v>
      </c>
      <c r="CG244" s="10">
        <f>SUM(Table1[[#This Row],[Labor_ASV]:[OH_ASV]])</f>
        <v>0</v>
      </c>
    </row>
    <row r="245" spans="1:85" x14ac:dyDescent="0.3">
      <c r="A245" t="str">
        <f>Table1[[#This Row],[Project Name]]&amp;Table1[[#This Row],[Part Number]]</f>
        <v>New Etching Chemical Nitric AcidR188</v>
      </c>
      <c r="B245" t="str">
        <f>IFERROR(Table1[[#This Row],[Project Number]]&amp;Table1[[#This Row],[Part Number]],"")</f>
        <v>AME25-071R188</v>
      </c>
      <c r="C245" s="22" t="s">
        <v>118</v>
      </c>
      <c r="D245" s="24" t="s">
        <v>426</v>
      </c>
      <c r="E245" s="25" t="s">
        <v>58</v>
      </c>
      <c r="F245" s="6">
        <f>INDEX(Proj_Reg!G:G,MATCH($C245,Proj_Reg!$B:$B,0),1)</f>
        <v>46204</v>
      </c>
      <c r="G245" s="6">
        <f>INDEX(Proj_Reg!H:H,MATCH($C245,Proj_Reg!$B:$B,0),1)</f>
        <v>46539</v>
      </c>
      <c r="H245" s="6" t="str">
        <f>IF(INDEX(Proj_Reg!C:C,MATCH($C245,Proj_Reg!$B:$B,0),1)=0,"",INDEX(Proj_Reg!C:C,MATCH($C245,Proj_Reg!$B:$B,0),1))</f>
        <v>Wet Etching</v>
      </c>
      <c r="I245" s="6" t="str">
        <f>IF(INDEX(Proj_Reg!D:D,MATCH($C245,Proj_Reg!$B:$B,0),1)=0,"",INDEX(Proj_Reg!D:D,MATCH($C245,Proj_Reg!$B:$B,0),1))</f>
        <v>XWP</v>
      </c>
      <c r="J245" s="6" t="str">
        <f>INDEX(Proj_Reg!E:E,MATCH($C245,Proj_Reg!$B:$B,0),1)</f>
        <v>New Etching Chemical Nitric Acid</v>
      </c>
      <c r="K245" s="21">
        <v>1.6649663994818234E-3</v>
      </c>
      <c r="L245" s="21">
        <v>1.5525010702578723E-2</v>
      </c>
      <c r="M245" s="21">
        <v>0</v>
      </c>
      <c r="N245" s="21">
        <v>0</v>
      </c>
      <c r="O245" s="11">
        <f>SUM(Table1[[#This Row],[Labor
Saving]:[OH
Saving]])</f>
        <v>1.7189977102060546E-2</v>
      </c>
      <c r="Q245" s="40">
        <f t="shared" si="152"/>
        <v>0</v>
      </c>
      <c r="R245" s="40">
        <f t="shared" si="153"/>
        <v>0</v>
      </c>
      <c r="S245" s="40">
        <f t="shared" si="154"/>
        <v>0</v>
      </c>
      <c r="T245" s="40">
        <f t="shared" si="155"/>
        <v>0</v>
      </c>
      <c r="U245" s="40">
        <f t="shared" si="156"/>
        <v>0</v>
      </c>
      <c r="V245" s="40">
        <f t="shared" si="157"/>
        <v>0</v>
      </c>
      <c r="W245" s="40">
        <f t="shared" si="158"/>
        <v>0</v>
      </c>
      <c r="X245" s="40">
        <f t="shared" si="159"/>
        <v>0</v>
      </c>
      <c r="Y245" s="40">
        <f t="shared" si="160"/>
        <v>0</v>
      </c>
      <c r="Z245" s="40">
        <f t="shared" si="161"/>
        <v>0</v>
      </c>
      <c r="AA245" s="40">
        <f t="shared" si="162"/>
        <v>0</v>
      </c>
      <c r="AB245" s="40">
        <f t="shared" si="163"/>
        <v>0</v>
      </c>
      <c r="AC245" s="37">
        <f>SUM(Table1[[#This Row],[Jan]:[Dec]])</f>
        <v>0</v>
      </c>
      <c r="AD245" s="15">
        <f t="shared" si="172"/>
        <v>0</v>
      </c>
      <c r="AE245" s="15">
        <f t="shared" si="173"/>
        <v>0</v>
      </c>
      <c r="AF245" s="15">
        <f t="shared" si="174"/>
        <v>0</v>
      </c>
      <c r="AG245" s="15">
        <f t="shared" si="175"/>
        <v>0</v>
      </c>
      <c r="AH245" s="15">
        <f t="shared" si="176"/>
        <v>0</v>
      </c>
      <c r="AI245" s="15">
        <f t="shared" si="177"/>
        <v>0</v>
      </c>
      <c r="AJ245" s="15">
        <f t="shared" si="178"/>
        <v>0</v>
      </c>
      <c r="AK245" s="15">
        <f t="shared" si="179"/>
        <v>0</v>
      </c>
      <c r="AL245" s="15">
        <f t="shared" si="180"/>
        <v>0</v>
      </c>
      <c r="AM245" s="15">
        <f t="shared" si="181"/>
        <v>0</v>
      </c>
      <c r="AN245" s="15">
        <f t="shared" si="182"/>
        <v>0</v>
      </c>
      <c r="AO245" s="15">
        <f t="shared" si="183"/>
        <v>0</v>
      </c>
      <c r="AP245" s="10">
        <f t="shared" si="184"/>
        <v>0</v>
      </c>
      <c r="AQ245" s="10">
        <f t="shared" si="185"/>
        <v>0</v>
      </c>
      <c r="AR245" s="10">
        <f t="shared" si="186"/>
        <v>0</v>
      </c>
      <c r="AS245" s="10">
        <f t="shared" si="187"/>
        <v>0</v>
      </c>
      <c r="AT245" s="10" t="b">
        <f t="shared" si="188"/>
        <v>1</v>
      </c>
      <c r="AU245" s="10">
        <f t="shared" si="164"/>
        <v>0</v>
      </c>
      <c r="AV245" s="10">
        <f t="shared" si="165"/>
        <v>0</v>
      </c>
      <c r="AW245" s="10">
        <f t="shared" si="166"/>
        <v>0</v>
      </c>
      <c r="AX245" s="10">
        <f t="shared" si="167"/>
        <v>0</v>
      </c>
      <c r="AY245" s="10">
        <f t="shared" si="189"/>
        <v>0</v>
      </c>
      <c r="AZ245" s="19">
        <f>IFERROR(IF($E245="REC",INDEX(A_Type_Volume!$B:$B,MATCH($D245,A_Type_Volume!$A:$A,0),1),IF($E245="VAM",INDEX(C_Type_Volume!$B:$B,MATCH($D245,C_Type_Volume!$A:$A,0),1),"X")),"")</f>
        <v>0</v>
      </c>
      <c r="BA245" s="19">
        <f>IFERROR(IF($E245="REC",INDEX(A_Type_Volume!$C:$C,MATCH($D245,A_Type_Volume!$A:$A,0),1),IF($E245="VAM",INDEX(C_Type_Volume!$C:$C,MATCH($D245,C_Type_Volume!$A:$A,0),1),"X")),"")</f>
        <v>0</v>
      </c>
      <c r="BB245" s="19">
        <f>IFERROR(IF($E245="REC",INDEX(A_Type_Volume!$D:$D,MATCH($D245,A_Type_Volume!$A:$A,0),1),IF($E245="VAM",INDEX(C_Type_Volume!$D:$D,MATCH($D245,C_Type_Volume!$A:$A,0),1),"X")),"")</f>
        <v>0</v>
      </c>
      <c r="BC245" s="19">
        <f>IFERROR(IF($E245="REC",INDEX(A_Type_Volume!$E:$E,MATCH($D245,A_Type_Volume!$A:$A,0),1),IF($E245="VAM",INDEX(C_Type_Volume!$E:$E,MATCH($D245,C_Type_Volume!$A:$A,0),1),"X")),"")</f>
        <v>0</v>
      </c>
      <c r="BD245" s="19">
        <f>IFERROR(IF($E245="REC",INDEX(A_Type_Volume!$F:$F,MATCH($D245,A_Type_Volume!$A:$A,0),1),IF($E245="VAM",INDEX(C_Type_Volume!$F:$F,MATCH($D245,C_Type_Volume!$A:$A,0),1),"X")),"")</f>
        <v>0</v>
      </c>
      <c r="BE245" s="19">
        <f>IFERROR(IF($E245="REC",INDEX(A_Type_Volume!$G:$G,MATCH($D245,A_Type_Volume!$A:$A,0),1),IF($E245="VAM",INDEX(C_Type_Volume!$G:$G,MATCH($D245,C_Type_Volume!$A:$A,0),1),"X")),"")</f>
        <v>0</v>
      </c>
      <c r="BF245" s="19">
        <f>IFERROR(IF($E245="REC",INDEX(A_Type_Volume!$H:$H,MATCH($D245,A_Type_Volume!$A:$A,0),1),IF($E245="VAM",INDEX(C_Type_Volume!$H:$H,MATCH($D245,C_Type_Volume!$A:$A,0),1),"X")),"")</f>
        <v>0</v>
      </c>
      <c r="BG245" s="19">
        <f>IFERROR(IF($E245="REC",INDEX(A_Type_Volume!$I:$I,MATCH($D245,A_Type_Volume!$A:$A,0),1),IF($E245="VAM",INDEX(C_Type_Volume!$I:$I,MATCH($D245,C_Type_Volume!$A:$A,0),1),"X")),"")</f>
        <v>0</v>
      </c>
      <c r="BH245" s="19">
        <f>IFERROR(IF($E245="REC",INDEX(A_Type_Volume!$J:$J,MATCH($D245,A_Type_Volume!$A:$A,0),1),IF($E245="VAM",INDEX(C_Type_Volume!$J:$J,MATCH($D245,C_Type_Volume!$A:$A,0),1),"X")),"")</f>
        <v>0</v>
      </c>
      <c r="BI245" s="19">
        <f>IFERROR(IF($E245="REC",INDEX(A_Type_Volume!$K:$K,MATCH($D245,A_Type_Volume!$A:$A,0),1),IF($E245="VAM",INDEX(C_Type_Volume!$K:$K,MATCH($D245,C_Type_Volume!$A:$A,0),1),"X")),"")</f>
        <v>0</v>
      </c>
      <c r="BJ245" s="19">
        <f>IFERROR(IF($E245="REC",INDEX(A_Type_Volume!$L:$L,MATCH($D245,A_Type_Volume!$A:$A,0),1),IF($E245="VAM",INDEX(C_Type_Volume!$L:$L,MATCH($D245,C_Type_Volume!$A:$A,0),1),"X")),"")</f>
        <v>0</v>
      </c>
      <c r="BK245" s="19">
        <f>IFERROR(IF($E245="REC",INDEX(A_Type_Volume!M:M,MATCH($D245,A_Type_Volume!$A:$A,0),1),IF($E245="VAM",INDEX(C_Type_Volume!M:M,MATCH($D245,C_Type_Volume!$A:$A,0),1),"X")),"")</f>
        <v>0</v>
      </c>
      <c r="BL245" s="38">
        <f>SUM(Table1[[#This Row],[Jan_AVF]:[Dec_AVF]])</f>
        <v>0</v>
      </c>
      <c r="BM245" s="16">
        <f t="shared" si="190"/>
        <v>0</v>
      </c>
      <c r="BN245" s="16">
        <f t="shared" si="191"/>
        <v>0</v>
      </c>
      <c r="BO245" s="16">
        <f t="shared" si="192"/>
        <v>0</v>
      </c>
      <c r="BP245" s="16">
        <f t="shared" si="193"/>
        <v>0</v>
      </c>
      <c r="BQ245" s="16">
        <f t="shared" si="194"/>
        <v>0</v>
      </c>
      <c r="BR245" s="16">
        <f t="shared" si="195"/>
        <v>0</v>
      </c>
      <c r="BS245" s="16">
        <f t="shared" si="196"/>
        <v>0</v>
      </c>
      <c r="BT245" s="16">
        <f t="shared" si="197"/>
        <v>0</v>
      </c>
      <c r="BU245" s="16">
        <f t="shared" si="198"/>
        <v>0</v>
      </c>
      <c r="BV245" s="16">
        <f t="shared" si="199"/>
        <v>0</v>
      </c>
      <c r="BW245" s="16">
        <f t="shared" si="200"/>
        <v>0</v>
      </c>
      <c r="BX245" s="16">
        <f t="shared" si="201"/>
        <v>0</v>
      </c>
      <c r="BY245" s="10">
        <f t="shared" si="168"/>
        <v>0</v>
      </c>
      <c r="BZ245" s="10">
        <f t="shared" si="169"/>
        <v>0</v>
      </c>
      <c r="CA245" s="10">
        <f t="shared" si="170"/>
        <v>0</v>
      </c>
      <c r="CB245" s="10">
        <f t="shared" si="171"/>
        <v>0</v>
      </c>
      <c r="CC245" s="10">
        <f>IFERROR(Table1[[#This Row],[Labor
Saving]]*Table1[[#This Row],[Annual Volume]],"")</f>
        <v>0</v>
      </c>
      <c r="CD245" s="10">
        <f>IFERROR(Table1[[#This Row],[Annual Volume]]*Table1[[#This Row],[Yield
Saving]],"")</f>
        <v>0</v>
      </c>
      <c r="CE245" s="10">
        <f>IFERROR(Table1[[#This Row],[Annual Volume]]*Table1[[#This Row],[Material
Saving]],"")</f>
        <v>0</v>
      </c>
      <c r="CF245" s="10">
        <f>IFERROR(Table1[[#This Row],[OH
Saving]]*Table1[[#This Row],[Annual Volume]],"")</f>
        <v>0</v>
      </c>
      <c r="CG245" s="10">
        <f>SUM(Table1[[#This Row],[Labor_ASV]:[OH_ASV]])</f>
        <v>0</v>
      </c>
    </row>
    <row r="246" spans="1:85" x14ac:dyDescent="0.3">
      <c r="A246" t="str">
        <f>Table1[[#This Row],[Project Name]]&amp;Table1[[#This Row],[Part Number]]</f>
        <v>New Etching Chemical Nitric AcidR189</v>
      </c>
      <c r="B246" t="str">
        <f>IFERROR(Table1[[#This Row],[Project Number]]&amp;Table1[[#This Row],[Part Number]],"")</f>
        <v>AME25-071R189</v>
      </c>
      <c r="C246" s="22" t="s">
        <v>118</v>
      </c>
      <c r="D246" s="24" t="s">
        <v>427</v>
      </c>
      <c r="E246" s="25" t="s">
        <v>58</v>
      </c>
      <c r="F246" s="6">
        <f>INDEX(Proj_Reg!G:G,MATCH($C246,Proj_Reg!$B:$B,0),1)</f>
        <v>46204</v>
      </c>
      <c r="G246" s="6">
        <f>INDEX(Proj_Reg!H:H,MATCH($C246,Proj_Reg!$B:$B,0),1)</f>
        <v>46539</v>
      </c>
      <c r="H246" s="6" t="str">
        <f>IF(INDEX(Proj_Reg!C:C,MATCH($C246,Proj_Reg!$B:$B,0),1)=0,"",INDEX(Proj_Reg!C:C,MATCH($C246,Proj_Reg!$B:$B,0),1))</f>
        <v>Wet Etching</v>
      </c>
      <c r="I246" s="6" t="str">
        <f>IF(INDEX(Proj_Reg!D:D,MATCH($C246,Proj_Reg!$B:$B,0),1)=0,"",INDEX(Proj_Reg!D:D,MATCH($C246,Proj_Reg!$B:$B,0),1))</f>
        <v>XWP</v>
      </c>
      <c r="J246" s="6" t="str">
        <f>INDEX(Proj_Reg!E:E,MATCH($C246,Proj_Reg!$B:$B,0),1)</f>
        <v>New Etching Chemical Nitric Acid</v>
      </c>
      <c r="K246" s="21">
        <v>1.6649663994818234E-3</v>
      </c>
      <c r="L246" s="21">
        <v>1.5525010702578723E-2</v>
      </c>
      <c r="M246" s="21">
        <v>0</v>
      </c>
      <c r="N246" s="21">
        <v>0</v>
      </c>
      <c r="O246" s="11">
        <f>SUM(Table1[[#This Row],[Labor
Saving]:[OH
Saving]])</f>
        <v>1.7189977102060546E-2</v>
      </c>
      <c r="Q246" s="40">
        <f t="shared" si="152"/>
        <v>0</v>
      </c>
      <c r="R246" s="40">
        <f t="shared" si="153"/>
        <v>0</v>
      </c>
      <c r="S246" s="40">
        <f t="shared" si="154"/>
        <v>0</v>
      </c>
      <c r="T246" s="40">
        <f t="shared" si="155"/>
        <v>0</v>
      </c>
      <c r="U246" s="40">
        <f t="shared" si="156"/>
        <v>0</v>
      </c>
      <c r="V246" s="40">
        <f t="shared" si="157"/>
        <v>0</v>
      </c>
      <c r="W246" s="40">
        <f t="shared" si="158"/>
        <v>0</v>
      </c>
      <c r="X246" s="40">
        <f t="shared" si="159"/>
        <v>0</v>
      </c>
      <c r="Y246" s="40">
        <f t="shared" si="160"/>
        <v>0</v>
      </c>
      <c r="Z246" s="40">
        <f t="shared" si="161"/>
        <v>0</v>
      </c>
      <c r="AA246" s="40">
        <f t="shared" si="162"/>
        <v>0</v>
      </c>
      <c r="AB246" s="40">
        <f t="shared" si="163"/>
        <v>0</v>
      </c>
      <c r="AC246" s="37">
        <f>SUM(Table1[[#This Row],[Jan]:[Dec]])</f>
        <v>0</v>
      </c>
      <c r="AD246" s="15">
        <f t="shared" si="172"/>
        <v>0</v>
      </c>
      <c r="AE246" s="15">
        <f t="shared" si="173"/>
        <v>0</v>
      </c>
      <c r="AF246" s="15">
        <f t="shared" si="174"/>
        <v>0</v>
      </c>
      <c r="AG246" s="15">
        <f t="shared" si="175"/>
        <v>0</v>
      </c>
      <c r="AH246" s="15">
        <f t="shared" si="176"/>
        <v>0</v>
      </c>
      <c r="AI246" s="15">
        <f t="shared" si="177"/>
        <v>0</v>
      </c>
      <c r="AJ246" s="15">
        <f t="shared" si="178"/>
        <v>0</v>
      </c>
      <c r="AK246" s="15">
        <f t="shared" si="179"/>
        <v>0</v>
      </c>
      <c r="AL246" s="15">
        <f t="shared" si="180"/>
        <v>0</v>
      </c>
      <c r="AM246" s="15">
        <f t="shared" si="181"/>
        <v>0</v>
      </c>
      <c r="AN246" s="15">
        <f t="shared" si="182"/>
        <v>0</v>
      </c>
      <c r="AO246" s="15">
        <f t="shared" si="183"/>
        <v>0</v>
      </c>
      <c r="AP246" s="10">
        <f t="shared" si="184"/>
        <v>0</v>
      </c>
      <c r="AQ246" s="10">
        <f t="shared" si="185"/>
        <v>0</v>
      </c>
      <c r="AR246" s="10">
        <f t="shared" si="186"/>
        <v>0</v>
      </c>
      <c r="AS246" s="10">
        <f t="shared" si="187"/>
        <v>0</v>
      </c>
      <c r="AT246" s="10" t="b">
        <f t="shared" si="188"/>
        <v>1</v>
      </c>
      <c r="AU246" s="10">
        <f t="shared" si="164"/>
        <v>0</v>
      </c>
      <c r="AV246" s="10">
        <f t="shared" si="165"/>
        <v>0</v>
      </c>
      <c r="AW246" s="10">
        <f t="shared" si="166"/>
        <v>0</v>
      </c>
      <c r="AX246" s="10">
        <f t="shared" si="167"/>
        <v>0</v>
      </c>
      <c r="AY246" s="10">
        <f t="shared" si="189"/>
        <v>0</v>
      </c>
      <c r="AZ246" s="19">
        <f>IFERROR(IF($E246="REC",INDEX(A_Type_Volume!$B:$B,MATCH($D246,A_Type_Volume!$A:$A,0),1),IF($E246="VAM",INDEX(C_Type_Volume!$B:$B,MATCH($D246,C_Type_Volume!$A:$A,0),1),"X")),"")</f>
        <v>0</v>
      </c>
      <c r="BA246" s="19">
        <f>IFERROR(IF($E246="REC",INDEX(A_Type_Volume!$C:$C,MATCH($D246,A_Type_Volume!$A:$A,0),1),IF($E246="VAM",INDEX(C_Type_Volume!$C:$C,MATCH($D246,C_Type_Volume!$A:$A,0),1),"X")),"")</f>
        <v>0</v>
      </c>
      <c r="BB246" s="19">
        <f>IFERROR(IF($E246="REC",INDEX(A_Type_Volume!$D:$D,MATCH($D246,A_Type_Volume!$A:$A,0),1),IF($E246="VAM",INDEX(C_Type_Volume!$D:$D,MATCH($D246,C_Type_Volume!$A:$A,0),1),"X")),"")</f>
        <v>0</v>
      </c>
      <c r="BC246" s="19">
        <f>IFERROR(IF($E246="REC",INDEX(A_Type_Volume!$E:$E,MATCH($D246,A_Type_Volume!$A:$A,0),1),IF($E246="VAM",INDEX(C_Type_Volume!$E:$E,MATCH($D246,C_Type_Volume!$A:$A,0),1),"X")),"")</f>
        <v>0</v>
      </c>
      <c r="BD246" s="19">
        <f>IFERROR(IF($E246="REC",INDEX(A_Type_Volume!$F:$F,MATCH($D246,A_Type_Volume!$A:$A,0),1),IF($E246="VAM",INDEX(C_Type_Volume!$F:$F,MATCH($D246,C_Type_Volume!$A:$A,0),1),"X")),"")</f>
        <v>0</v>
      </c>
      <c r="BE246" s="19">
        <f>IFERROR(IF($E246="REC",INDEX(A_Type_Volume!$G:$G,MATCH($D246,A_Type_Volume!$A:$A,0),1),IF($E246="VAM",INDEX(C_Type_Volume!$G:$G,MATCH($D246,C_Type_Volume!$A:$A,0),1),"X")),"")</f>
        <v>0</v>
      </c>
      <c r="BF246" s="19">
        <f>IFERROR(IF($E246="REC",INDEX(A_Type_Volume!$H:$H,MATCH($D246,A_Type_Volume!$A:$A,0),1),IF($E246="VAM",INDEX(C_Type_Volume!$H:$H,MATCH($D246,C_Type_Volume!$A:$A,0),1),"X")),"")</f>
        <v>0</v>
      </c>
      <c r="BG246" s="19">
        <f>IFERROR(IF($E246="REC",INDEX(A_Type_Volume!$I:$I,MATCH($D246,A_Type_Volume!$A:$A,0),1),IF($E246="VAM",INDEX(C_Type_Volume!$I:$I,MATCH($D246,C_Type_Volume!$A:$A,0),1),"X")),"")</f>
        <v>0</v>
      </c>
      <c r="BH246" s="19">
        <f>IFERROR(IF($E246="REC",INDEX(A_Type_Volume!$J:$J,MATCH($D246,A_Type_Volume!$A:$A,0),1),IF($E246="VAM",INDEX(C_Type_Volume!$J:$J,MATCH($D246,C_Type_Volume!$A:$A,0),1),"X")),"")</f>
        <v>0</v>
      </c>
      <c r="BI246" s="19">
        <f>IFERROR(IF($E246="REC",INDEX(A_Type_Volume!$K:$K,MATCH($D246,A_Type_Volume!$A:$A,0),1),IF($E246="VAM",INDEX(C_Type_Volume!$K:$K,MATCH($D246,C_Type_Volume!$A:$A,0),1),"X")),"")</f>
        <v>0</v>
      </c>
      <c r="BJ246" s="19">
        <f>IFERROR(IF($E246="REC",INDEX(A_Type_Volume!$L:$L,MATCH($D246,A_Type_Volume!$A:$A,0),1),IF($E246="VAM",INDEX(C_Type_Volume!$L:$L,MATCH($D246,C_Type_Volume!$A:$A,0),1),"X")),"")</f>
        <v>0</v>
      </c>
      <c r="BK246" s="19">
        <f>IFERROR(IF($E246="REC",INDEX(A_Type_Volume!M:M,MATCH($D246,A_Type_Volume!$A:$A,0),1),IF($E246="VAM",INDEX(C_Type_Volume!M:M,MATCH($D246,C_Type_Volume!$A:$A,0),1),"X")),"")</f>
        <v>0</v>
      </c>
      <c r="BL246" s="38">
        <f>SUM(Table1[[#This Row],[Jan_AVF]:[Dec_AVF]])</f>
        <v>0</v>
      </c>
      <c r="BM246" s="16">
        <f t="shared" si="190"/>
        <v>0</v>
      </c>
      <c r="BN246" s="16">
        <f t="shared" si="191"/>
        <v>0</v>
      </c>
      <c r="BO246" s="16">
        <f t="shared" si="192"/>
        <v>0</v>
      </c>
      <c r="BP246" s="16">
        <f t="shared" si="193"/>
        <v>0</v>
      </c>
      <c r="BQ246" s="16">
        <f t="shared" si="194"/>
        <v>0</v>
      </c>
      <c r="BR246" s="16">
        <f t="shared" si="195"/>
        <v>0</v>
      </c>
      <c r="BS246" s="16">
        <f t="shared" si="196"/>
        <v>0</v>
      </c>
      <c r="BT246" s="16">
        <f t="shared" si="197"/>
        <v>0</v>
      </c>
      <c r="BU246" s="16">
        <f t="shared" si="198"/>
        <v>0</v>
      </c>
      <c r="BV246" s="16">
        <f t="shared" si="199"/>
        <v>0</v>
      </c>
      <c r="BW246" s="16">
        <f t="shared" si="200"/>
        <v>0</v>
      </c>
      <c r="BX246" s="16">
        <f t="shared" si="201"/>
        <v>0</v>
      </c>
      <c r="BY246" s="10">
        <f t="shared" si="168"/>
        <v>0</v>
      </c>
      <c r="BZ246" s="10">
        <f t="shared" si="169"/>
        <v>0</v>
      </c>
      <c r="CA246" s="10">
        <f t="shared" si="170"/>
        <v>0</v>
      </c>
      <c r="CB246" s="10">
        <f t="shared" si="171"/>
        <v>0</v>
      </c>
      <c r="CC246" s="10">
        <f>IFERROR(Table1[[#This Row],[Labor
Saving]]*Table1[[#This Row],[Annual Volume]],"")</f>
        <v>0</v>
      </c>
      <c r="CD246" s="10">
        <f>IFERROR(Table1[[#This Row],[Annual Volume]]*Table1[[#This Row],[Yield
Saving]],"")</f>
        <v>0</v>
      </c>
      <c r="CE246" s="10">
        <f>IFERROR(Table1[[#This Row],[Annual Volume]]*Table1[[#This Row],[Material
Saving]],"")</f>
        <v>0</v>
      </c>
      <c r="CF246" s="10">
        <f>IFERROR(Table1[[#This Row],[OH
Saving]]*Table1[[#This Row],[Annual Volume]],"")</f>
        <v>0</v>
      </c>
      <c r="CG246" s="10">
        <f>SUM(Table1[[#This Row],[Labor_ASV]:[OH_ASV]])</f>
        <v>0</v>
      </c>
    </row>
    <row r="247" spans="1:85" x14ac:dyDescent="0.3">
      <c r="A247" t="str">
        <f>Table1[[#This Row],[Project Name]]&amp;Table1[[#This Row],[Part Number]]</f>
        <v>New Etching Chemical Nitric AcidR190</v>
      </c>
      <c r="B247" t="str">
        <f>IFERROR(Table1[[#This Row],[Project Number]]&amp;Table1[[#This Row],[Part Number]],"")</f>
        <v>AME25-071R190</v>
      </c>
      <c r="C247" s="22" t="s">
        <v>118</v>
      </c>
      <c r="D247" s="24" t="s">
        <v>428</v>
      </c>
      <c r="E247" s="25" t="s">
        <v>58</v>
      </c>
      <c r="F247" s="6">
        <f>INDEX(Proj_Reg!G:G,MATCH($C247,Proj_Reg!$B:$B,0),1)</f>
        <v>46204</v>
      </c>
      <c r="G247" s="6">
        <f>INDEX(Proj_Reg!H:H,MATCH($C247,Proj_Reg!$B:$B,0),1)</f>
        <v>46539</v>
      </c>
      <c r="H247" s="6" t="str">
        <f>IF(INDEX(Proj_Reg!C:C,MATCH($C247,Proj_Reg!$B:$B,0),1)=0,"",INDEX(Proj_Reg!C:C,MATCH($C247,Proj_Reg!$B:$B,0),1))</f>
        <v>Wet Etching</v>
      </c>
      <c r="I247" s="6" t="str">
        <f>IF(INDEX(Proj_Reg!D:D,MATCH($C247,Proj_Reg!$B:$B,0),1)=0,"",INDEX(Proj_Reg!D:D,MATCH($C247,Proj_Reg!$B:$B,0),1))</f>
        <v>XWP</v>
      </c>
      <c r="J247" s="6" t="str">
        <f>INDEX(Proj_Reg!E:E,MATCH($C247,Proj_Reg!$B:$B,0),1)</f>
        <v>New Etching Chemical Nitric Acid</v>
      </c>
      <c r="K247" s="21">
        <v>1.6649663994818234E-3</v>
      </c>
      <c r="L247" s="21">
        <v>1.5525010702578723E-2</v>
      </c>
      <c r="M247" s="21">
        <v>0</v>
      </c>
      <c r="N247" s="21">
        <v>0</v>
      </c>
      <c r="O247" s="11">
        <f>SUM(Table1[[#This Row],[Labor
Saving]:[OH
Saving]])</f>
        <v>1.7189977102060546E-2</v>
      </c>
      <c r="Q247" s="40">
        <f t="shared" si="152"/>
        <v>0</v>
      </c>
      <c r="R247" s="40">
        <f t="shared" si="153"/>
        <v>0</v>
      </c>
      <c r="S247" s="40">
        <f t="shared" si="154"/>
        <v>0</v>
      </c>
      <c r="T247" s="40">
        <f t="shared" si="155"/>
        <v>0</v>
      </c>
      <c r="U247" s="40">
        <f t="shared" si="156"/>
        <v>0</v>
      </c>
      <c r="V247" s="40">
        <f t="shared" si="157"/>
        <v>0</v>
      </c>
      <c r="W247" s="40">
        <f t="shared" si="158"/>
        <v>0</v>
      </c>
      <c r="X247" s="40">
        <f t="shared" si="159"/>
        <v>0</v>
      </c>
      <c r="Y247" s="40">
        <f t="shared" si="160"/>
        <v>0</v>
      </c>
      <c r="Z247" s="40">
        <f t="shared" si="161"/>
        <v>0</v>
      </c>
      <c r="AA247" s="40">
        <f t="shared" si="162"/>
        <v>0</v>
      </c>
      <c r="AB247" s="40">
        <f t="shared" si="163"/>
        <v>0</v>
      </c>
      <c r="AC247" s="37">
        <f>SUM(Table1[[#This Row],[Jan]:[Dec]])</f>
        <v>0</v>
      </c>
      <c r="AD247" s="15">
        <f t="shared" si="172"/>
        <v>0</v>
      </c>
      <c r="AE247" s="15">
        <f t="shared" si="173"/>
        <v>0</v>
      </c>
      <c r="AF247" s="15">
        <f t="shared" si="174"/>
        <v>0</v>
      </c>
      <c r="AG247" s="15">
        <f t="shared" si="175"/>
        <v>0</v>
      </c>
      <c r="AH247" s="15">
        <f t="shared" si="176"/>
        <v>0</v>
      </c>
      <c r="AI247" s="15">
        <f t="shared" si="177"/>
        <v>0</v>
      </c>
      <c r="AJ247" s="15">
        <f t="shared" si="178"/>
        <v>0</v>
      </c>
      <c r="AK247" s="15">
        <f t="shared" si="179"/>
        <v>0</v>
      </c>
      <c r="AL247" s="15">
        <f t="shared" si="180"/>
        <v>0</v>
      </c>
      <c r="AM247" s="15">
        <f t="shared" si="181"/>
        <v>0</v>
      </c>
      <c r="AN247" s="15">
        <f t="shared" si="182"/>
        <v>0</v>
      </c>
      <c r="AO247" s="15">
        <f t="shared" si="183"/>
        <v>0</v>
      </c>
      <c r="AP247" s="10">
        <f t="shared" si="184"/>
        <v>0</v>
      </c>
      <c r="AQ247" s="10">
        <f t="shared" si="185"/>
        <v>0</v>
      </c>
      <c r="AR247" s="10">
        <f t="shared" si="186"/>
        <v>0</v>
      </c>
      <c r="AS247" s="10">
        <f t="shared" si="187"/>
        <v>0</v>
      </c>
      <c r="AT247" s="10" t="b">
        <f t="shared" si="188"/>
        <v>1</v>
      </c>
      <c r="AU247" s="10">
        <f t="shared" si="164"/>
        <v>0</v>
      </c>
      <c r="AV247" s="10">
        <f t="shared" si="165"/>
        <v>0</v>
      </c>
      <c r="AW247" s="10">
        <f t="shared" si="166"/>
        <v>0</v>
      </c>
      <c r="AX247" s="10">
        <f t="shared" si="167"/>
        <v>0</v>
      </c>
      <c r="AY247" s="10">
        <f t="shared" si="189"/>
        <v>0</v>
      </c>
      <c r="AZ247" s="19">
        <f>IFERROR(IF($E247="REC",INDEX(A_Type_Volume!$B:$B,MATCH($D247,A_Type_Volume!$A:$A,0),1),IF($E247="VAM",INDEX(C_Type_Volume!$B:$B,MATCH($D247,C_Type_Volume!$A:$A,0),1),"X")),"")</f>
        <v>0</v>
      </c>
      <c r="BA247" s="19">
        <f>IFERROR(IF($E247="REC",INDEX(A_Type_Volume!$C:$C,MATCH($D247,A_Type_Volume!$A:$A,0),1),IF($E247="VAM",INDEX(C_Type_Volume!$C:$C,MATCH($D247,C_Type_Volume!$A:$A,0),1),"X")),"")</f>
        <v>0</v>
      </c>
      <c r="BB247" s="19">
        <f>IFERROR(IF($E247="REC",INDEX(A_Type_Volume!$D:$D,MATCH($D247,A_Type_Volume!$A:$A,0),1),IF($E247="VAM",INDEX(C_Type_Volume!$D:$D,MATCH($D247,C_Type_Volume!$A:$A,0),1),"X")),"")</f>
        <v>0</v>
      </c>
      <c r="BC247" s="19">
        <f>IFERROR(IF($E247="REC",INDEX(A_Type_Volume!$E:$E,MATCH($D247,A_Type_Volume!$A:$A,0),1),IF($E247="VAM",INDEX(C_Type_Volume!$E:$E,MATCH($D247,C_Type_Volume!$A:$A,0),1),"X")),"")</f>
        <v>0</v>
      </c>
      <c r="BD247" s="19">
        <f>IFERROR(IF($E247="REC",INDEX(A_Type_Volume!$F:$F,MATCH($D247,A_Type_Volume!$A:$A,0),1),IF($E247="VAM",INDEX(C_Type_Volume!$F:$F,MATCH($D247,C_Type_Volume!$A:$A,0),1),"X")),"")</f>
        <v>0</v>
      </c>
      <c r="BE247" s="19">
        <f>IFERROR(IF($E247="REC",INDEX(A_Type_Volume!$G:$G,MATCH($D247,A_Type_Volume!$A:$A,0),1),IF($E247="VAM",INDEX(C_Type_Volume!$G:$G,MATCH($D247,C_Type_Volume!$A:$A,0),1),"X")),"")</f>
        <v>0</v>
      </c>
      <c r="BF247" s="19">
        <f>IFERROR(IF($E247="REC",INDEX(A_Type_Volume!$H:$H,MATCH($D247,A_Type_Volume!$A:$A,0),1),IF($E247="VAM",INDEX(C_Type_Volume!$H:$H,MATCH($D247,C_Type_Volume!$A:$A,0),1),"X")),"")</f>
        <v>0</v>
      </c>
      <c r="BG247" s="19">
        <f>IFERROR(IF($E247="REC",INDEX(A_Type_Volume!$I:$I,MATCH($D247,A_Type_Volume!$A:$A,0),1),IF($E247="VAM",INDEX(C_Type_Volume!$I:$I,MATCH($D247,C_Type_Volume!$A:$A,0),1),"X")),"")</f>
        <v>0</v>
      </c>
      <c r="BH247" s="19">
        <f>IFERROR(IF($E247="REC",INDEX(A_Type_Volume!$J:$J,MATCH($D247,A_Type_Volume!$A:$A,0),1),IF($E247="VAM",INDEX(C_Type_Volume!$J:$J,MATCH($D247,C_Type_Volume!$A:$A,0),1),"X")),"")</f>
        <v>0</v>
      </c>
      <c r="BI247" s="19">
        <f>IFERROR(IF($E247="REC",INDEX(A_Type_Volume!$K:$K,MATCH($D247,A_Type_Volume!$A:$A,0),1),IF($E247="VAM",INDEX(C_Type_Volume!$K:$K,MATCH($D247,C_Type_Volume!$A:$A,0),1),"X")),"")</f>
        <v>0</v>
      </c>
      <c r="BJ247" s="19">
        <f>IFERROR(IF($E247="REC",INDEX(A_Type_Volume!$L:$L,MATCH($D247,A_Type_Volume!$A:$A,0),1),IF($E247="VAM",INDEX(C_Type_Volume!$L:$L,MATCH($D247,C_Type_Volume!$A:$A,0),1),"X")),"")</f>
        <v>0</v>
      </c>
      <c r="BK247" s="19">
        <f>IFERROR(IF($E247="REC",INDEX(A_Type_Volume!M:M,MATCH($D247,A_Type_Volume!$A:$A,0),1),IF($E247="VAM",INDEX(C_Type_Volume!M:M,MATCH($D247,C_Type_Volume!$A:$A,0),1),"X")),"")</f>
        <v>0</v>
      </c>
      <c r="BL247" s="38">
        <f>SUM(Table1[[#This Row],[Jan_AVF]:[Dec_AVF]])</f>
        <v>0</v>
      </c>
      <c r="BM247" s="16">
        <f t="shared" si="190"/>
        <v>0</v>
      </c>
      <c r="BN247" s="16">
        <f t="shared" si="191"/>
        <v>0</v>
      </c>
      <c r="BO247" s="16">
        <f t="shared" si="192"/>
        <v>0</v>
      </c>
      <c r="BP247" s="16">
        <f t="shared" si="193"/>
        <v>0</v>
      </c>
      <c r="BQ247" s="16">
        <f t="shared" si="194"/>
        <v>0</v>
      </c>
      <c r="BR247" s="16">
        <f t="shared" si="195"/>
        <v>0</v>
      </c>
      <c r="BS247" s="16">
        <f t="shared" si="196"/>
        <v>0</v>
      </c>
      <c r="BT247" s="16">
        <f t="shared" si="197"/>
        <v>0</v>
      </c>
      <c r="BU247" s="16">
        <f t="shared" si="198"/>
        <v>0</v>
      </c>
      <c r="BV247" s="16">
        <f t="shared" si="199"/>
        <v>0</v>
      </c>
      <c r="BW247" s="16">
        <f t="shared" si="200"/>
        <v>0</v>
      </c>
      <c r="BX247" s="16">
        <f t="shared" si="201"/>
        <v>0</v>
      </c>
      <c r="BY247" s="10">
        <f t="shared" si="168"/>
        <v>0</v>
      </c>
      <c r="BZ247" s="10">
        <f t="shared" si="169"/>
        <v>0</v>
      </c>
      <c r="CA247" s="10">
        <f t="shared" si="170"/>
        <v>0</v>
      </c>
      <c r="CB247" s="10">
        <f t="shared" si="171"/>
        <v>0</v>
      </c>
      <c r="CC247" s="10">
        <f>IFERROR(Table1[[#This Row],[Labor
Saving]]*Table1[[#This Row],[Annual Volume]],"")</f>
        <v>0</v>
      </c>
      <c r="CD247" s="10">
        <f>IFERROR(Table1[[#This Row],[Annual Volume]]*Table1[[#This Row],[Yield
Saving]],"")</f>
        <v>0</v>
      </c>
      <c r="CE247" s="10">
        <f>IFERROR(Table1[[#This Row],[Annual Volume]]*Table1[[#This Row],[Material
Saving]],"")</f>
        <v>0</v>
      </c>
      <c r="CF247" s="10">
        <f>IFERROR(Table1[[#This Row],[OH
Saving]]*Table1[[#This Row],[Annual Volume]],"")</f>
        <v>0</v>
      </c>
      <c r="CG247" s="10">
        <f>SUM(Table1[[#This Row],[Labor_ASV]:[OH_ASV]])</f>
        <v>0</v>
      </c>
    </row>
    <row r="248" spans="1:85" x14ac:dyDescent="0.3">
      <c r="A248" t="str">
        <f>Table1[[#This Row],[Project Name]]&amp;Table1[[#This Row],[Part Number]]</f>
        <v>New Etching Chemical Nitric AcidR191</v>
      </c>
      <c r="B248" t="str">
        <f>IFERROR(Table1[[#This Row],[Project Number]]&amp;Table1[[#This Row],[Part Number]],"")</f>
        <v>AME25-071R191</v>
      </c>
      <c r="C248" s="22" t="s">
        <v>118</v>
      </c>
      <c r="D248" s="24" t="s">
        <v>429</v>
      </c>
      <c r="E248" s="25" t="s">
        <v>58</v>
      </c>
      <c r="F248" s="6">
        <f>INDEX(Proj_Reg!G:G,MATCH($C248,Proj_Reg!$B:$B,0),1)</f>
        <v>46204</v>
      </c>
      <c r="G248" s="6">
        <f>INDEX(Proj_Reg!H:H,MATCH($C248,Proj_Reg!$B:$B,0),1)</f>
        <v>46539</v>
      </c>
      <c r="H248" s="6" t="str">
        <f>IF(INDEX(Proj_Reg!C:C,MATCH($C248,Proj_Reg!$B:$B,0),1)=0,"",INDEX(Proj_Reg!C:C,MATCH($C248,Proj_Reg!$B:$B,0),1))</f>
        <v>Wet Etching</v>
      </c>
      <c r="I248" s="6" t="str">
        <f>IF(INDEX(Proj_Reg!D:D,MATCH($C248,Proj_Reg!$B:$B,0),1)=0,"",INDEX(Proj_Reg!D:D,MATCH($C248,Proj_Reg!$B:$B,0),1))</f>
        <v>XWP</v>
      </c>
      <c r="J248" s="6" t="str">
        <f>INDEX(Proj_Reg!E:E,MATCH($C248,Proj_Reg!$B:$B,0),1)</f>
        <v>New Etching Chemical Nitric Acid</v>
      </c>
      <c r="K248" s="21">
        <v>1.6649663994818234E-3</v>
      </c>
      <c r="L248" s="21">
        <v>1.5525010702578723E-2</v>
      </c>
      <c r="M248" s="21">
        <v>0</v>
      </c>
      <c r="N248" s="21">
        <v>0</v>
      </c>
      <c r="O248" s="11">
        <f>SUM(Table1[[#This Row],[Labor
Saving]:[OH
Saving]])</f>
        <v>1.7189977102060546E-2</v>
      </c>
      <c r="Q248" s="40">
        <f t="shared" si="152"/>
        <v>0</v>
      </c>
      <c r="R248" s="40">
        <f t="shared" si="153"/>
        <v>0</v>
      </c>
      <c r="S248" s="40">
        <f t="shared" si="154"/>
        <v>0</v>
      </c>
      <c r="T248" s="40">
        <f t="shared" si="155"/>
        <v>0</v>
      </c>
      <c r="U248" s="40">
        <f t="shared" si="156"/>
        <v>0</v>
      </c>
      <c r="V248" s="40">
        <f t="shared" si="157"/>
        <v>0</v>
      </c>
      <c r="W248" s="40">
        <f t="shared" si="158"/>
        <v>0</v>
      </c>
      <c r="X248" s="40">
        <f t="shared" si="159"/>
        <v>0</v>
      </c>
      <c r="Y248" s="40">
        <f t="shared" si="160"/>
        <v>0</v>
      </c>
      <c r="Z248" s="40">
        <f t="shared" si="161"/>
        <v>0</v>
      </c>
      <c r="AA248" s="40">
        <f t="shared" si="162"/>
        <v>0</v>
      </c>
      <c r="AB248" s="40">
        <f t="shared" si="163"/>
        <v>0</v>
      </c>
      <c r="AC248" s="37">
        <f>SUM(Table1[[#This Row],[Jan]:[Dec]])</f>
        <v>0</v>
      </c>
      <c r="AD248" s="15">
        <f t="shared" si="172"/>
        <v>0</v>
      </c>
      <c r="AE248" s="15">
        <f t="shared" si="173"/>
        <v>0</v>
      </c>
      <c r="AF248" s="15">
        <f t="shared" si="174"/>
        <v>0</v>
      </c>
      <c r="AG248" s="15">
        <f t="shared" si="175"/>
        <v>0</v>
      </c>
      <c r="AH248" s="15">
        <f t="shared" si="176"/>
        <v>0</v>
      </c>
      <c r="AI248" s="15">
        <f t="shared" si="177"/>
        <v>0</v>
      </c>
      <c r="AJ248" s="15">
        <f t="shared" si="178"/>
        <v>0</v>
      </c>
      <c r="AK248" s="15">
        <f t="shared" si="179"/>
        <v>0</v>
      </c>
      <c r="AL248" s="15">
        <f t="shared" si="180"/>
        <v>0</v>
      </c>
      <c r="AM248" s="15">
        <f t="shared" si="181"/>
        <v>0</v>
      </c>
      <c r="AN248" s="15">
        <f t="shared" si="182"/>
        <v>0</v>
      </c>
      <c r="AO248" s="15">
        <f t="shared" si="183"/>
        <v>0</v>
      </c>
      <c r="AP248" s="10">
        <f t="shared" si="184"/>
        <v>0</v>
      </c>
      <c r="AQ248" s="10">
        <f t="shared" si="185"/>
        <v>0</v>
      </c>
      <c r="AR248" s="10">
        <f t="shared" si="186"/>
        <v>0</v>
      </c>
      <c r="AS248" s="10">
        <f t="shared" si="187"/>
        <v>0</v>
      </c>
      <c r="AT248" s="10" t="b">
        <f t="shared" si="188"/>
        <v>1</v>
      </c>
      <c r="AU248" s="10">
        <f t="shared" si="164"/>
        <v>0</v>
      </c>
      <c r="AV248" s="10">
        <f t="shared" si="165"/>
        <v>0</v>
      </c>
      <c r="AW248" s="10">
        <f t="shared" si="166"/>
        <v>0</v>
      </c>
      <c r="AX248" s="10">
        <f t="shared" si="167"/>
        <v>0</v>
      </c>
      <c r="AY248" s="10">
        <f t="shared" si="189"/>
        <v>0</v>
      </c>
      <c r="AZ248" s="19">
        <f>IFERROR(IF($E248="REC",INDEX(A_Type_Volume!$B:$B,MATCH($D248,A_Type_Volume!$A:$A,0),1),IF($E248="VAM",INDEX(C_Type_Volume!$B:$B,MATCH($D248,C_Type_Volume!$A:$A,0),1),"X")),"")</f>
        <v>0</v>
      </c>
      <c r="BA248" s="19">
        <f>IFERROR(IF($E248="REC",INDEX(A_Type_Volume!$C:$C,MATCH($D248,A_Type_Volume!$A:$A,0),1),IF($E248="VAM",INDEX(C_Type_Volume!$C:$C,MATCH($D248,C_Type_Volume!$A:$A,0),1),"X")),"")</f>
        <v>0</v>
      </c>
      <c r="BB248" s="19">
        <f>IFERROR(IF($E248="REC",INDEX(A_Type_Volume!$D:$D,MATCH($D248,A_Type_Volume!$A:$A,0),1),IF($E248="VAM",INDEX(C_Type_Volume!$D:$D,MATCH($D248,C_Type_Volume!$A:$A,0),1),"X")),"")</f>
        <v>0</v>
      </c>
      <c r="BC248" s="19">
        <f>IFERROR(IF($E248="REC",INDEX(A_Type_Volume!$E:$E,MATCH($D248,A_Type_Volume!$A:$A,0),1),IF($E248="VAM",INDEX(C_Type_Volume!$E:$E,MATCH($D248,C_Type_Volume!$A:$A,0),1),"X")),"")</f>
        <v>0</v>
      </c>
      <c r="BD248" s="19">
        <f>IFERROR(IF($E248="REC",INDEX(A_Type_Volume!$F:$F,MATCH($D248,A_Type_Volume!$A:$A,0),1),IF($E248="VAM",INDEX(C_Type_Volume!$F:$F,MATCH($D248,C_Type_Volume!$A:$A,0),1),"X")),"")</f>
        <v>0</v>
      </c>
      <c r="BE248" s="19">
        <f>IFERROR(IF($E248="REC",INDEX(A_Type_Volume!$G:$G,MATCH($D248,A_Type_Volume!$A:$A,0),1),IF($E248="VAM",INDEX(C_Type_Volume!$G:$G,MATCH($D248,C_Type_Volume!$A:$A,0),1),"X")),"")</f>
        <v>0</v>
      </c>
      <c r="BF248" s="19">
        <f>IFERROR(IF($E248="REC",INDEX(A_Type_Volume!$H:$H,MATCH($D248,A_Type_Volume!$A:$A,0),1),IF($E248="VAM",INDEX(C_Type_Volume!$H:$H,MATCH($D248,C_Type_Volume!$A:$A,0),1),"X")),"")</f>
        <v>0</v>
      </c>
      <c r="BG248" s="19">
        <f>IFERROR(IF($E248="REC",INDEX(A_Type_Volume!$I:$I,MATCH($D248,A_Type_Volume!$A:$A,0),1),IF($E248="VAM",INDEX(C_Type_Volume!$I:$I,MATCH($D248,C_Type_Volume!$A:$A,0),1),"X")),"")</f>
        <v>0</v>
      </c>
      <c r="BH248" s="19">
        <f>IFERROR(IF($E248="REC",INDEX(A_Type_Volume!$J:$J,MATCH($D248,A_Type_Volume!$A:$A,0),1),IF($E248="VAM",INDEX(C_Type_Volume!$J:$J,MATCH($D248,C_Type_Volume!$A:$A,0),1),"X")),"")</f>
        <v>0</v>
      </c>
      <c r="BI248" s="19">
        <f>IFERROR(IF($E248="REC",INDEX(A_Type_Volume!$K:$K,MATCH($D248,A_Type_Volume!$A:$A,0),1),IF($E248="VAM",INDEX(C_Type_Volume!$K:$K,MATCH($D248,C_Type_Volume!$A:$A,0),1),"X")),"")</f>
        <v>0</v>
      </c>
      <c r="BJ248" s="19">
        <f>IFERROR(IF($E248="REC",INDEX(A_Type_Volume!$L:$L,MATCH($D248,A_Type_Volume!$A:$A,0),1),IF($E248="VAM",INDEX(C_Type_Volume!$L:$L,MATCH($D248,C_Type_Volume!$A:$A,0),1),"X")),"")</f>
        <v>0</v>
      </c>
      <c r="BK248" s="19">
        <f>IFERROR(IF($E248="REC",INDEX(A_Type_Volume!M:M,MATCH($D248,A_Type_Volume!$A:$A,0),1),IF($E248="VAM",INDEX(C_Type_Volume!M:M,MATCH($D248,C_Type_Volume!$A:$A,0),1),"X")),"")</f>
        <v>0</v>
      </c>
      <c r="BL248" s="38">
        <f>SUM(Table1[[#This Row],[Jan_AVF]:[Dec_AVF]])</f>
        <v>0</v>
      </c>
      <c r="BM248" s="16">
        <f t="shared" si="190"/>
        <v>0</v>
      </c>
      <c r="BN248" s="16">
        <f t="shared" si="191"/>
        <v>0</v>
      </c>
      <c r="BO248" s="16">
        <f t="shared" si="192"/>
        <v>0</v>
      </c>
      <c r="BP248" s="16">
        <f t="shared" si="193"/>
        <v>0</v>
      </c>
      <c r="BQ248" s="16">
        <f t="shared" si="194"/>
        <v>0</v>
      </c>
      <c r="BR248" s="16">
        <f t="shared" si="195"/>
        <v>0</v>
      </c>
      <c r="BS248" s="16">
        <f t="shared" si="196"/>
        <v>0</v>
      </c>
      <c r="BT248" s="16">
        <f t="shared" si="197"/>
        <v>0</v>
      </c>
      <c r="BU248" s="16">
        <f t="shared" si="198"/>
        <v>0</v>
      </c>
      <c r="BV248" s="16">
        <f t="shared" si="199"/>
        <v>0</v>
      </c>
      <c r="BW248" s="16">
        <f t="shared" si="200"/>
        <v>0</v>
      </c>
      <c r="BX248" s="16">
        <f t="shared" si="201"/>
        <v>0</v>
      </c>
      <c r="BY248" s="10">
        <f t="shared" si="168"/>
        <v>0</v>
      </c>
      <c r="BZ248" s="10">
        <f t="shared" si="169"/>
        <v>0</v>
      </c>
      <c r="CA248" s="10">
        <f t="shared" si="170"/>
        <v>0</v>
      </c>
      <c r="CB248" s="10">
        <f t="shared" si="171"/>
        <v>0</v>
      </c>
      <c r="CC248" s="10">
        <f>IFERROR(Table1[[#This Row],[Labor
Saving]]*Table1[[#This Row],[Annual Volume]],"")</f>
        <v>0</v>
      </c>
      <c r="CD248" s="10">
        <f>IFERROR(Table1[[#This Row],[Annual Volume]]*Table1[[#This Row],[Yield
Saving]],"")</f>
        <v>0</v>
      </c>
      <c r="CE248" s="10">
        <f>IFERROR(Table1[[#This Row],[Annual Volume]]*Table1[[#This Row],[Material
Saving]],"")</f>
        <v>0</v>
      </c>
      <c r="CF248" s="10">
        <f>IFERROR(Table1[[#This Row],[OH
Saving]]*Table1[[#This Row],[Annual Volume]],"")</f>
        <v>0</v>
      </c>
      <c r="CG248" s="10">
        <f>SUM(Table1[[#This Row],[Labor_ASV]:[OH_ASV]])</f>
        <v>0</v>
      </c>
    </row>
    <row r="249" spans="1:85" x14ac:dyDescent="0.3">
      <c r="A249" t="str">
        <f>Table1[[#This Row],[Project Name]]&amp;Table1[[#This Row],[Part Number]]</f>
        <v>New Etching Chemical Nitric AcidR194</v>
      </c>
      <c r="B249" t="str">
        <f>IFERROR(Table1[[#This Row],[Project Number]]&amp;Table1[[#This Row],[Part Number]],"")</f>
        <v>AME25-071R194</v>
      </c>
      <c r="C249" s="22" t="s">
        <v>118</v>
      </c>
      <c r="D249" s="24" t="s">
        <v>432</v>
      </c>
      <c r="E249" s="25" t="s">
        <v>58</v>
      </c>
      <c r="F249" s="6">
        <f>INDEX(Proj_Reg!G:G,MATCH($C249,Proj_Reg!$B:$B,0),1)</f>
        <v>46204</v>
      </c>
      <c r="G249" s="6">
        <f>INDEX(Proj_Reg!H:H,MATCH($C249,Proj_Reg!$B:$B,0),1)</f>
        <v>46539</v>
      </c>
      <c r="H249" s="6" t="str">
        <f>IF(INDEX(Proj_Reg!C:C,MATCH($C249,Proj_Reg!$B:$B,0),1)=0,"",INDEX(Proj_Reg!C:C,MATCH($C249,Proj_Reg!$B:$B,0),1))</f>
        <v>Wet Etching</v>
      </c>
      <c r="I249" s="6" t="str">
        <f>IF(INDEX(Proj_Reg!D:D,MATCH($C249,Proj_Reg!$B:$B,0),1)=0,"",INDEX(Proj_Reg!D:D,MATCH($C249,Proj_Reg!$B:$B,0),1))</f>
        <v>XWP</v>
      </c>
      <c r="J249" s="6" t="str">
        <f>INDEX(Proj_Reg!E:E,MATCH($C249,Proj_Reg!$B:$B,0),1)</f>
        <v>New Etching Chemical Nitric Acid</v>
      </c>
      <c r="K249" s="21">
        <v>1.6649663994818234E-3</v>
      </c>
      <c r="L249" s="21">
        <v>1.5525010702578723E-2</v>
      </c>
      <c r="M249" s="21">
        <v>0</v>
      </c>
      <c r="N249" s="21">
        <v>0</v>
      </c>
      <c r="O249" s="11">
        <f>SUM(Table1[[#This Row],[Labor
Saving]:[OH
Saving]])</f>
        <v>1.7189977102060546E-2</v>
      </c>
      <c r="Q249" s="40">
        <f t="shared" si="152"/>
        <v>0</v>
      </c>
      <c r="R249" s="40">
        <f t="shared" si="153"/>
        <v>0</v>
      </c>
      <c r="S249" s="40">
        <f t="shared" si="154"/>
        <v>0</v>
      </c>
      <c r="T249" s="40">
        <f t="shared" si="155"/>
        <v>0</v>
      </c>
      <c r="U249" s="40">
        <f t="shared" si="156"/>
        <v>0</v>
      </c>
      <c r="V249" s="40">
        <f t="shared" si="157"/>
        <v>0</v>
      </c>
      <c r="W249" s="40">
        <f t="shared" si="158"/>
        <v>0</v>
      </c>
      <c r="X249" s="40">
        <f t="shared" si="159"/>
        <v>0</v>
      </c>
      <c r="Y249" s="40">
        <f t="shared" si="160"/>
        <v>0</v>
      </c>
      <c r="Z249" s="40">
        <f t="shared" si="161"/>
        <v>0</v>
      </c>
      <c r="AA249" s="40">
        <f t="shared" si="162"/>
        <v>0</v>
      </c>
      <c r="AB249" s="40">
        <f t="shared" si="163"/>
        <v>0</v>
      </c>
      <c r="AC249" s="37">
        <f>SUM(Table1[[#This Row],[Jan]:[Dec]])</f>
        <v>0</v>
      </c>
      <c r="AD249" s="15">
        <f t="shared" si="172"/>
        <v>0</v>
      </c>
      <c r="AE249" s="15">
        <f t="shared" si="173"/>
        <v>0</v>
      </c>
      <c r="AF249" s="15">
        <f t="shared" si="174"/>
        <v>0</v>
      </c>
      <c r="AG249" s="15">
        <f t="shared" si="175"/>
        <v>0</v>
      </c>
      <c r="AH249" s="15">
        <f t="shared" si="176"/>
        <v>0</v>
      </c>
      <c r="AI249" s="15">
        <f t="shared" si="177"/>
        <v>0</v>
      </c>
      <c r="AJ249" s="15">
        <f t="shared" si="178"/>
        <v>0</v>
      </c>
      <c r="AK249" s="15">
        <f t="shared" si="179"/>
        <v>0</v>
      </c>
      <c r="AL249" s="15">
        <f t="shared" si="180"/>
        <v>0</v>
      </c>
      <c r="AM249" s="15">
        <f t="shared" si="181"/>
        <v>0</v>
      </c>
      <c r="AN249" s="15">
        <f t="shared" si="182"/>
        <v>0</v>
      </c>
      <c r="AO249" s="15">
        <f t="shared" si="183"/>
        <v>0</v>
      </c>
      <c r="AP249" s="10">
        <f t="shared" si="184"/>
        <v>0</v>
      </c>
      <c r="AQ249" s="10">
        <f t="shared" si="185"/>
        <v>0</v>
      </c>
      <c r="AR249" s="10">
        <f t="shared" si="186"/>
        <v>0</v>
      </c>
      <c r="AS249" s="10">
        <f t="shared" si="187"/>
        <v>0</v>
      </c>
      <c r="AT249" s="10" t="b">
        <f t="shared" si="188"/>
        <v>1</v>
      </c>
      <c r="AU249" s="10">
        <f t="shared" si="164"/>
        <v>0</v>
      </c>
      <c r="AV249" s="10">
        <f t="shared" si="165"/>
        <v>0</v>
      </c>
      <c r="AW249" s="10">
        <f t="shared" si="166"/>
        <v>0</v>
      </c>
      <c r="AX249" s="10">
        <f t="shared" si="167"/>
        <v>0</v>
      </c>
      <c r="AY249" s="10">
        <f t="shared" si="189"/>
        <v>0</v>
      </c>
      <c r="AZ249" s="19">
        <f>IFERROR(IF($E249="REC",INDEX(A_Type_Volume!$B:$B,MATCH($D249,A_Type_Volume!$A:$A,0),1),IF($E249="VAM",INDEX(C_Type_Volume!$B:$B,MATCH($D249,C_Type_Volume!$A:$A,0),1),"X")),"")</f>
        <v>0</v>
      </c>
      <c r="BA249" s="19">
        <f>IFERROR(IF($E249="REC",INDEX(A_Type_Volume!$C:$C,MATCH($D249,A_Type_Volume!$A:$A,0),1),IF($E249="VAM",INDEX(C_Type_Volume!$C:$C,MATCH($D249,C_Type_Volume!$A:$A,0),1),"X")),"")</f>
        <v>0</v>
      </c>
      <c r="BB249" s="19">
        <f>IFERROR(IF($E249="REC",INDEX(A_Type_Volume!$D:$D,MATCH($D249,A_Type_Volume!$A:$A,0),1),IF($E249="VAM",INDEX(C_Type_Volume!$D:$D,MATCH($D249,C_Type_Volume!$A:$A,0),1),"X")),"")</f>
        <v>0</v>
      </c>
      <c r="BC249" s="19">
        <f>IFERROR(IF($E249="REC",INDEX(A_Type_Volume!$E:$E,MATCH($D249,A_Type_Volume!$A:$A,0),1),IF($E249="VAM",INDEX(C_Type_Volume!$E:$E,MATCH($D249,C_Type_Volume!$A:$A,0),1),"X")),"")</f>
        <v>0</v>
      </c>
      <c r="BD249" s="19">
        <f>IFERROR(IF($E249="REC",INDEX(A_Type_Volume!$F:$F,MATCH($D249,A_Type_Volume!$A:$A,0),1),IF($E249="VAM",INDEX(C_Type_Volume!$F:$F,MATCH($D249,C_Type_Volume!$A:$A,0),1),"X")),"")</f>
        <v>0</v>
      </c>
      <c r="BE249" s="19">
        <f>IFERROR(IF($E249="REC",INDEX(A_Type_Volume!$G:$G,MATCH($D249,A_Type_Volume!$A:$A,0),1),IF($E249="VAM",INDEX(C_Type_Volume!$G:$G,MATCH($D249,C_Type_Volume!$A:$A,0),1),"X")),"")</f>
        <v>0</v>
      </c>
      <c r="BF249" s="19">
        <f>IFERROR(IF($E249="REC",INDEX(A_Type_Volume!$H:$H,MATCH($D249,A_Type_Volume!$A:$A,0),1),IF($E249="VAM",INDEX(C_Type_Volume!$H:$H,MATCH($D249,C_Type_Volume!$A:$A,0),1),"X")),"")</f>
        <v>0</v>
      </c>
      <c r="BG249" s="19">
        <f>IFERROR(IF($E249="REC",INDEX(A_Type_Volume!$I:$I,MATCH($D249,A_Type_Volume!$A:$A,0),1),IF($E249="VAM",INDEX(C_Type_Volume!$I:$I,MATCH($D249,C_Type_Volume!$A:$A,0),1),"X")),"")</f>
        <v>0</v>
      </c>
      <c r="BH249" s="19">
        <f>IFERROR(IF($E249="REC",INDEX(A_Type_Volume!$J:$J,MATCH($D249,A_Type_Volume!$A:$A,0),1),IF($E249="VAM",INDEX(C_Type_Volume!$J:$J,MATCH($D249,C_Type_Volume!$A:$A,0),1),"X")),"")</f>
        <v>0</v>
      </c>
      <c r="BI249" s="19">
        <f>IFERROR(IF($E249="REC",INDEX(A_Type_Volume!$K:$K,MATCH($D249,A_Type_Volume!$A:$A,0),1),IF($E249="VAM",INDEX(C_Type_Volume!$K:$K,MATCH($D249,C_Type_Volume!$A:$A,0),1),"X")),"")</f>
        <v>0</v>
      </c>
      <c r="BJ249" s="19">
        <f>IFERROR(IF($E249="REC",INDEX(A_Type_Volume!$L:$L,MATCH($D249,A_Type_Volume!$A:$A,0),1),IF($E249="VAM",INDEX(C_Type_Volume!$L:$L,MATCH($D249,C_Type_Volume!$A:$A,0),1),"X")),"")</f>
        <v>0</v>
      </c>
      <c r="BK249" s="19">
        <f>IFERROR(IF($E249="REC",INDEX(A_Type_Volume!M:M,MATCH($D249,A_Type_Volume!$A:$A,0),1),IF($E249="VAM",INDEX(C_Type_Volume!M:M,MATCH($D249,C_Type_Volume!$A:$A,0),1),"X")),"")</f>
        <v>0</v>
      </c>
      <c r="BL249" s="38">
        <f>SUM(Table1[[#This Row],[Jan_AVF]:[Dec_AVF]])</f>
        <v>0</v>
      </c>
      <c r="BM249" s="16">
        <f t="shared" si="190"/>
        <v>0</v>
      </c>
      <c r="BN249" s="16">
        <f t="shared" si="191"/>
        <v>0</v>
      </c>
      <c r="BO249" s="16">
        <f t="shared" si="192"/>
        <v>0</v>
      </c>
      <c r="BP249" s="16">
        <f t="shared" si="193"/>
        <v>0</v>
      </c>
      <c r="BQ249" s="16">
        <f t="shared" si="194"/>
        <v>0</v>
      </c>
      <c r="BR249" s="16">
        <f t="shared" si="195"/>
        <v>0</v>
      </c>
      <c r="BS249" s="16">
        <f t="shared" si="196"/>
        <v>0</v>
      </c>
      <c r="BT249" s="16">
        <f t="shared" si="197"/>
        <v>0</v>
      </c>
      <c r="BU249" s="16">
        <f t="shared" si="198"/>
        <v>0</v>
      </c>
      <c r="BV249" s="16">
        <f t="shared" si="199"/>
        <v>0</v>
      </c>
      <c r="BW249" s="16">
        <f t="shared" si="200"/>
        <v>0</v>
      </c>
      <c r="BX249" s="16">
        <f t="shared" si="201"/>
        <v>0</v>
      </c>
      <c r="BY249" s="10">
        <f t="shared" si="168"/>
        <v>0</v>
      </c>
      <c r="BZ249" s="10">
        <f t="shared" si="169"/>
        <v>0</v>
      </c>
      <c r="CA249" s="10">
        <f t="shared" si="170"/>
        <v>0</v>
      </c>
      <c r="CB249" s="10">
        <f t="shared" si="171"/>
        <v>0</v>
      </c>
      <c r="CC249" s="10">
        <f>IFERROR(Table1[[#This Row],[Labor
Saving]]*Table1[[#This Row],[Annual Volume]],"")</f>
        <v>0</v>
      </c>
      <c r="CD249" s="10">
        <f>IFERROR(Table1[[#This Row],[Annual Volume]]*Table1[[#This Row],[Yield
Saving]],"")</f>
        <v>0</v>
      </c>
      <c r="CE249" s="10">
        <f>IFERROR(Table1[[#This Row],[Annual Volume]]*Table1[[#This Row],[Material
Saving]],"")</f>
        <v>0</v>
      </c>
      <c r="CF249" s="10">
        <f>IFERROR(Table1[[#This Row],[OH
Saving]]*Table1[[#This Row],[Annual Volume]],"")</f>
        <v>0</v>
      </c>
      <c r="CG249" s="10">
        <f>SUM(Table1[[#This Row],[Labor_ASV]:[OH_ASV]])</f>
        <v>0</v>
      </c>
    </row>
    <row r="250" spans="1:85" x14ac:dyDescent="0.3">
      <c r="A250" t="str">
        <f>Table1[[#This Row],[Project Name]]&amp;Table1[[#This Row],[Part Number]]</f>
        <v>New Etching Chemical Nitric AcidR196</v>
      </c>
      <c r="B250" t="str">
        <f>IFERROR(Table1[[#This Row],[Project Number]]&amp;Table1[[#This Row],[Part Number]],"")</f>
        <v>AME25-071R196</v>
      </c>
      <c r="C250" s="22" t="s">
        <v>118</v>
      </c>
      <c r="D250" s="24" t="s">
        <v>434</v>
      </c>
      <c r="E250" s="25" t="s">
        <v>58</v>
      </c>
      <c r="F250" s="6">
        <f>INDEX(Proj_Reg!G:G,MATCH($C250,Proj_Reg!$B:$B,0),1)</f>
        <v>46204</v>
      </c>
      <c r="G250" s="6">
        <f>INDEX(Proj_Reg!H:H,MATCH($C250,Proj_Reg!$B:$B,0),1)</f>
        <v>46539</v>
      </c>
      <c r="H250" s="6" t="str">
        <f>IF(INDEX(Proj_Reg!C:C,MATCH($C250,Proj_Reg!$B:$B,0),1)=0,"",INDEX(Proj_Reg!C:C,MATCH($C250,Proj_Reg!$B:$B,0),1))</f>
        <v>Wet Etching</v>
      </c>
      <c r="I250" s="6" t="str">
        <f>IF(INDEX(Proj_Reg!D:D,MATCH($C250,Proj_Reg!$B:$B,0),1)=0,"",INDEX(Proj_Reg!D:D,MATCH($C250,Proj_Reg!$B:$B,0),1))</f>
        <v>XWP</v>
      </c>
      <c r="J250" s="6" t="str">
        <f>INDEX(Proj_Reg!E:E,MATCH($C250,Proj_Reg!$B:$B,0),1)</f>
        <v>New Etching Chemical Nitric Acid</v>
      </c>
      <c r="K250" s="21">
        <v>1.6649663994818234E-3</v>
      </c>
      <c r="L250" s="21">
        <v>1.5525010702578723E-2</v>
      </c>
      <c r="M250" s="21">
        <v>0</v>
      </c>
      <c r="N250" s="21">
        <v>0</v>
      </c>
      <c r="O250" s="11">
        <f>SUM(Table1[[#This Row],[Labor
Saving]:[OH
Saving]])</f>
        <v>1.7189977102060546E-2</v>
      </c>
      <c r="Q250" s="40">
        <f t="shared" si="152"/>
        <v>0</v>
      </c>
      <c r="R250" s="40">
        <f t="shared" si="153"/>
        <v>0</v>
      </c>
      <c r="S250" s="40">
        <f t="shared" si="154"/>
        <v>0</v>
      </c>
      <c r="T250" s="40">
        <f t="shared" si="155"/>
        <v>0</v>
      </c>
      <c r="U250" s="40">
        <f t="shared" si="156"/>
        <v>0</v>
      </c>
      <c r="V250" s="40">
        <f t="shared" si="157"/>
        <v>0</v>
      </c>
      <c r="W250" s="40">
        <f t="shared" si="158"/>
        <v>0</v>
      </c>
      <c r="X250" s="40">
        <f t="shared" si="159"/>
        <v>0</v>
      </c>
      <c r="Y250" s="40">
        <f t="shared" si="160"/>
        <v>0</v>
      </c>
      <c r="Z250" s="40">
        <f t="shared" si="161"/>
        <v>0</v>
      </c>
      <c r="AA250" s="40">
        <f t="shared" si="162"/>
        <v>0</v>
      </c>
      <c r="AB250" s="40">
        <f t="shared" si="163"/>
        <v>0</v>
      </c>
      <c r="AC250" s="37">
        <f>SUM(Table1[[#This Row],[Jan]:[Dec]])</f>
        <v>0</v>
      </c>
      <c r="AD250" s="15">
        <f t="shared" si="172"/>
        <v>0</v>
      </c>
      <c r="AE250" s="15">
        <f t="shared" si="173"/>
        <v>0</v>
      </c>
      <c r="AF250" s="15">
        <f t="shared" si="174"/>
        <v>0</v>
      </c>
      <c r="AG250" s="15">
        <f t="shared" si="175"/>
        <v>0</v>
      </c>
      <c r="AH250" s="15">
        <f t="shared" si="176"/>
        <v>0</v>
      </c>
      <c r="AI250" s="15">
        <f t="shared" si="177"/>
        <v>0</v>
      </c>
      <c r="AJ250" s="15">
        <f t="shared" si="178"/>
        <v>0</v>
      </c>
      <c r="AK250" s="15">
        <f t="shared" si="179"/>
        <v>0</v>
      </c>
      <c r="AL250" s="15">
        <f t="shared" si="180"/>
        <v>0</v>
      </c>
      <c r="AM250" s="15">
        <f t="shared" si="181"/>
        <v>0</v>
      </c>
      <c r="AN250" s="15">
        <f t="shared" si="182"/>
        <v>0</v>
      </c>
      <c r="AO250" s="15">
        <f t="shared" si="183"/>
        <v>0</v>
      </c>
      <c r="AP250" s="10">
        <f t="shared" si="184"/>
        <v>0</v>
      </c>
      <c r="AQ250" s="10">
        <f t="shared" si="185"/>
        <v>0</v>
      </c>
      <c r="AR250" s="10">
        <f t="shared" si="186"/>
        <v>0</v>
      </c>
      <c r="AS250" s="10">
        <f t="shared" si="187"/>
        <v>0</v>
      </c>
      <c r="AT250" s="10" t="b">
        <f t="shared" si="188"/>
        <v>1</v>
      </c>
      <c r="AU250" s="10">
        <f t="shared" si="164"/>
        <v>0</v>
      </c>
      <c r="AV250" s="10">
        <f t="shared" si="165"/>
        <v>0</v>
      </c>
      <c r="AW250" s="10">
        <f t="shared" si="166"/>
        <v>0</v>
      </c>
      <c r="AX250" s="10">
        <f t="shared" si="167"/>
        <v>0</v>
      </c>
      <c r="AY250" s="10">
        <f t="shared" si="189"/>
        <v>0</v>
      </c>
      <c r="AZ250" s="19">
        <f>IFERROR(IF($E250="REC",INDEX(A_Type_Volume!$B:$B,MATCH($D250,A_Type_Volume!$A:$A,0),1),IF($E250="VAM",INDEX(C_Type_Volume!$B:$B,MATCH($D250,C_Type_Volume!$A:$A,0),1),"X")),"")</f>
        <v>0</v>
      </c>
      <c r="BA250" s="19">
        <f>IFERROR(IF($E250="REC",INDEX(A_Type_Volume!$C:$C,MATCH($D250,A_Type_Volume!$A:$A,0),1),IF($E250="VAM",INDEX(C_Type_Volume!$C:$C,MATCH($D250,C_Type_Volume!$A:$A,0),1),"X")),"")</f>
        <v>0</v>
      </c>
      <c r="BB250" s="19">
        <f>IFERROR(IF($E250="REC",INDEX(A_Type_Volume!$D:$D,MATCH($D250,A_Type_Volume!$A:$A,0),1),IF($E250="VAM",INDEX(C_Type_Volume!$D:$D,MATCH($D250,C_Type_Volume!$A:$A,0),1),"X")),"")</f>
        <v>0</v>
      </c>
      <c r="BC250" s="19">
        <f>IFERROR(IF($E250="REC",INDEX(A_Type_Volume!$E:$E,MATCH($D250,A_Type_Volume!$A:$A,0),1),IF($E250="VAM",INDEX(C_Type_Volume!$E:$E,MATCH($D250,C_Type_Volume!$A:$A,0),1),"X")),"")</f>
        <v>0</v>
      </c>
      <c r="BD250" s="19">
        <f>IFERROR(IF($E250="REC",INDEX(A_Type_Volume!$F:$F,MATCH($D250,A_Type_Volume!$A:$A,0),1),IF($E250="VAM",INDEX(C_Type_Volume!$F:$F,MATCH($D250,C_Type_Volume!$A:$A,0),1),"X")),"")</f>
        <v>0</v>
      </c>
      <c r="BE250" s="19">
        <f>IFERROR(IF($E250="REC",INDEX(A_Type_Volume!$G:$G,MATCH($D250,A_Type_Volume!$A:$A,0),1),IF($E250="VAM",INDEX(C_Type_Volume!$G:$G,MATCH($D250,C_Type_Volume!$A:$A,0),1),"X")),"")</f>
        <v>0</v>
      </c>
      <c r="BF250" s="19">
        <f>IFERROR(IF($E250="REC",INDEX(A_Type_Volume!$H:$H,MATCH($D250,A_Type_Volume!$A:$A,0),1),IF($E250="VAM",INDEX(C_Type_Volume!$H:$H,MATCH($D250,C_Type_Volume!$A:$A,0),1),"X")),"")</f>
        <v>0</v>
      </c>
      <c r="BG250" s="19">
        <f>IFERROR(IF($E250="REC",INDEX(A_Type_Volume!$I:$I,MATCH($D250,A_Type_Volume!$A:$A,0),1),IF($E250="VAM",INDEX(C_Type_Volume!$I:$I,MATCH($D250,C_Type_Volume!$A:$A,0),1),"X")),"")</f>
        <v>0</v>
      </c>
      <c r="BH250" s="19">
        <f>IFERROR(IF($E250="REC",INDEX(A_Type_Volume!$J:$J,MATCH($D250,A_Type_Volume!$A:$A,0),1),IF($E250="VAM",INDEX(C_Type_Volume!$J:$J,MATCH($D250,C_Type_Volume!$A:$A,0),1),"X")),"")</f>
        <v>0</v>
      </c>
      <c r="BI250" s="19">
        <f>IFERROR(IF($E250="REC",INDEX(A_Type_Volume!$K:$K,MATCH($D250,A_Type_Volume!$A:$A,0),1),IF($E250="VAM",INDEX(C_Type_Volume!$K:$K,MATCH($D250,C_Type_Volume!$A:$A,0),1),"X")),"")</f>
        <v>0</v>
      </c>
      <c r="BJ250" s="19">
        <f>IFERROR(IF($E250="REC",INDEX(A_Type_Volume!$L:$L,MATCH($D250,A_Type_Volume!$A:$A,0),1),IF($E250="VAM",INDEX(C_Type_Volume!$L:$L,MATCH($D250,C_Type_Volume!$A:$A,0),1),"X")),"")</f>
        <v>0</v>
      </c>
      <c r="BK250" s="19">
        <f>IFERROR(IF($E250="REC",INDEX(A_Type_Volume!M:M,MATCH($D250,A_Type_Volume!$A:$A,0),1),IF($E250="VAM",INDEX(C_Type_Volume!M:M,MATCH($D250,C_Type_Volume!$A:$A,0),1),"X")),"")</f>
        <v>0</v>
      </c>
      <c r="BL250" s="38">
        <f>SUM(Table1[[#This Row],[Jan_AVF]:[Dec_AVF]])</f>
        <v>0</v>
      </c>
      <c r="BM250" s="16">
        <f t="shared" si="190"/>
        <v>0</v>
      </c>
      <c r="BN250" s="16">
        <f t="shared" si="191"/>
        <v>0</v>
      </c>
      <c r="BO250" s="16">
        <f t="shared" si="192"/>
        <v>0</v>
      </c>
      <c r="BP250" s="16">
        <f t="shared" si="193"/>
        <v>0</v>
      </c>
      <c r="BQ250" s="16">
        <f t="shared" si="194"/>
        <v>0</v>
      </c>
      <c r="BR250" s="16">
        <f t="shared" si="195"/>
        <v>0</v>
      </c>
      <c r="BS250" s="16">
        <f t="shared" si="196"/>
        <v>0</v>
      </c>
      <c r="BT250" s="16">
        <f t="shared" si="197"/>
        <v>0</v>
      </c>
      <c r="BU250" s="16">
        <f t="shared" si="198"/>
        <v>0</v>
      </c>
      <c r="BV250" s="16">
        <f t="shared" si="199"/>
        <v>0</v>
      </c>
      <c r="BW250" s="16">
        <f t="shared" si="200"/>
        <v>0</v>
      </c>
      <c r="BX250" s="16">
        <f t="shared" si="201"/>
        <v>0</v>
      </c>
      <c r="BY250" s="10">
        <f t="shared" si="168"/>
        <v>0</v>
      </c>
      <c r="BZ250" s="10">
        <f t="shared" si="169"/>
        <v>0</v>
      </c>
      <c r="CA250" s="10">
        <f t="shared" si="170"/>
        <v>0</v>
      </c>
      <c r="CB250" s="10">
        <f t="shared" si="171"/>
        <v>0</v>
      </c>
      <c r="CC250" s="10">
        <f>IFERROR(Table1[[#This Row],[Labor
Saving]]*Table1[[#This Row],[Annual Volume]],"")</f>
        <v>0</v>
      </c>
      <c r="CD250" s="10">
        <f>IFERROR(Table1[[#This Row],[Annual Volume]]*Table1[[#This Row],[Yield
Saving]],"")</f>
        <v>0</v>
      </c>
      <c r="CE250" s="10">
        <f>IFERROR(Table1[[#This Row],[Annual Volume]]*Table1[[#This Row],[Material
Saving]],"")</f>
        <v>0</v>
      </c>
      <c r="CF250" s="10">
        <f>IFERROR(Table1[[#This Row],[OH
Saving]]*Table1[[#This Row],[Annual Volume]],"")</f>
        <v>0</v>
      </c>
      <c r="CG250" s="10">
        <f>SUM(Table1[[#This Row],[Labor_ASV]:[OH_ASV]])</f>
        <v>0</v>
      </c>
    </row>
    <row r="251" spans="1:85" x14ac:dyDescent="0.3">
      <c r="A251" t="str">
        <f>Table1[[#This Row],[Project Name]]&amp;Table1[[#This Row],[Part Number]]</f>
        <v>Sputtering time ReductionR20</v>
      </c>
      <c r="B251" t="str">
        <f>IFERROR(Table1[[#This Row],[Project Number]]&amp;Table1[[#This Row],[Part Number]],"")</f>
        <v>AME25-088R20</v>
      </c>
      <c r="C251" s="22" t="s">
        <v>135</v>
      </c>
      <c r="D251" s="24" t="s">
        <v>258</v>
      </c>
      <c r="E251" s="25" t="s">
        <v>58</v>
      </c>
      <c r="F251" s="6">
        <f>INDEX(Proj_Reg!G:G,MATCH($C251,Proj_Reg!$B:$B,0),1)</f>
        <v>46023</v>
      </c>
      <c r="G251" s="6">
        <f>INDEX(Proj_Reg!H:H,MATCH($C251,Proj_Reg!$B:$B,0),1)</f>
        <v>46357</v>
      </c>
      <c r="H251" s="6" t="str">
        <f>IF(INDEX(Proj_Reg!C:C,MATCH($C251,Proj_Reg!$B:$B,0),1)=0,"",INDEX(Proj_Reg!C:C,MATCH($C251,Proj_Reg!$B:$B,0),1))</f>
        <v>Sputtering</v>
      </c>
      <c r="I251" s="6" t="str">
        <f>IF(INDEX(Proj_Reg!D:D,MATCH($C251,Proj_Reg!$B:$B,0),1)=0,"",INDEX(Proj_Reg!D:D,MATCH($C251,Proj_Reg!$B:$B,0),1))</f>
        <v>XWP</v>
      </c>
      <c r="J251" s="6" t="str">
        <f>INDEX(Proj_Reg!E:E,MATCH($C251,Proj_Reg!$B:$B,0),1)</f>
        <v>Sputtering time Reduction</v>
      </c>
      <c r="K251" s="21">
        <v>1.6649663994818234E-3</v>
      </c>
      <c r="L251" s="21">
        <v>1.5525010702578723E-2</v>
      </c>
      <c r="M251" s="21">
        <v>0</v>
      </c>
      <c r="N251" s="21">
        <v>0</v>
      </c>
      <c r="O251" s="11">
        <f>SUM(Table1[[#This Row],[Labor
Saving]:[OH
Saving]])</f>
        <v>1.7189977102060546E-2</v>
      </c>
      <c r="Q251" s="40">
        <f t="shared" si="152"/>
        <v>5882.4</v>
      </c>
      <c r="R251" s="40">
        <f t="shared" si="153"/>
        <v>23579</v>
      </c>
      <c r="S251" s="40">
        <f t="shared" si="154"/>
        <v>28161</v>
      </c>
      <c r="T251" s="40">
        <f t="shared" si="155"/>
        <v>20894</v>
      </c>
      <c r="U251" s="40">
        <f t="shared" si="156"/>
        <v>19567</v>
      </c>
      <c r="V251" s="40">
        <f t="shared" si="157"/>
        <v>20129</v>
      </c>
      <c r="W251" s="40">
        <f t="shared" si="158"/>
        <v>23179</v>
      </c>
      <c r="X251" s="40">
        <f t="shared" si="159"/>
        <v>14492</v>
      </c>
      <c r="Y251" s="40">
        <f t="shared" si="160"/>
        <v>19899</v>
      </c>
      <c r="Z251" s="40">
        <f t="shared" si="161"/>
        <v>22737</v>
      </c>
      <c r="AA251" s="40">
        <f t="shared" si="162"/>
        <v>15658</v>
      </c>
      <c r="AB251" s="40">
        <f t="shared" si="163"/>
        <v>15420</v>
      </c>
      <c r="AC251" s="37">
        <f>SUM(Table1[[#This Row],[Jan]:[Dec]])</f>
        <v>229597.4</v>
      </c>
      <c r="AD251" s="15">
        <f t="shared" si="172"/>
        <v>101.11832130516095</v>
      </c>
      <c r="AE251" s="15">
        <f t="shared" si="173"/>
        <v>405.32247008948559</v>
      </c>
      <c r="AF251" s="15">
        <f t="shared" si="174"/>
        <v>484.08694517112701</v>
      </c>
      <c r="AG251" s="15">
        <f t="shared" si="175"/>
        <v>359.16738157045307</v>
      </c>
      <c r="AH251" s="15">
        <f t="shared" si="176"/>
        <v>336.35628195601873</v>
      </c>
      <c r="AI251" s="15">
        <f t="shared" si="177"/>
        <v>346.01704908737673</v>
      </c>
      <c r="AJ251" s="15">
        <f t="shared" si="178"/>
        <v>398.44647924866138</v>
      </c>
      <c r="AK251" s="15">
        <f t="shared" si="179"/>
        <v>249.11714816306144</v>
      </c>
      <c r="AL251" s="15">
        <f t="shared" si="180"/>
        <v>342.06335435390281</v>
      </c>
      <c r="AM251" s="15">
        <f t="shared" si="181"/>
        <v>390.84850936955064</v>
      </c>
      <c r="AN251" s="15">
        <f t="shared" si="182"/>
        <v>269.16066146406405</v>
      </c>
      <c r="AO251" s="15">
        <f t="shared" si="183"/>
        <v>265.06944691377362</v>
      </c>
      <c r="AP251" s="10">
        <f t="shared" si="184"/>
        <v>990.52773656577358</v>
      </c>
      <c r="AQ251" s="10">
        <f t="shared" si="185"/>
        <v>1041.5407126138487</v>
      </c>
      <c r="AR251" s="10">
        <f t="shared" si="186"/>
        <v>989.6269817656256</v>
      </c>
      <c r="AS251" s="10">
        <f t="shared" si="187"/>
        <v>925.07861774738831</v>
      </c>
      <c r="AT251" s="10" t="b">
        <f t="shared" si="188"/>
        <v>1</v>
      </c>
      <c r="AU251" s="10">
        <f t="shared" si="164"/>
        <v>382.27195640838801</v>
      </c>
      <c r="AV251" s="10">
        <f t="shared" si="165"/>
        <v>3564.5020922842482</v>
      </c>
      <c r="AW251" s="10">
        <f t="shared" si="166"/>
        <v>0</v>
      </c>
      <c r="AX251" s="10">
        <f t="shared" si="167"/>
        <v>0</v>
      </c>
      <c r="AY251" s="10">
        <f t="shared" si="189"/>
        <v>3946.7740486926364</v>
      </c>
      <c r="AZ251" s="19">
        <f>IFERROR(IF($E251="REC",INDEX(A_Type_Volume!$B:$B,MATCH($D251,A_Type_Volume!$A:$A,0),1),IF($E251="VAM",INDEX(C_Type_Volume!$B:$B,MATCH($D251,C_Type_Volume!$A:$A,0),1),"X")),"")</f>
        <v>19608</v>
      </c>
      <c r="BA251" s="19">
        <f>IFERROR(IF($E251="REC",INDEX(A_Type_Volume!$C:$C,MATCH($D251,A_Type_Volume!$A:$A,0),1),IF($E251="VAM",INDEX(C_Type_Volume!$C:$C,MATCH($D251,C_Type_Volume!$A:$A,0),1),"X")),"")</f>
        <v>23579</v>
      </c>
      <c r="BB251" s="19">
        <f>IFERROR(IF($E251="REC",INDEX(A_Type_Volume!$D:$D,MATCH($D251,A_Type_Volume!$A:$A,0),1),IF($E251="VAM",INDEX(C_Type_Volume!$D:$D,MATCH($D251,C_Type_Volume!$A:$A,0),1),"X")),"")</f>
        <v>28161</v>
      </c>
      <c r="BC251" s="19">
        <f>IFERROR(IF($E251="REC",INDEX(A_Type_Volume!$E:$E,MATCH($D251,A_Type_Volume!$A:$A,0),1),IF($E251="VAM",INDEX(C_Type_Volume!$E:$E,MATCH($D251,C_Type_Volume!$A:$A,0),1),"X")),"")</f>
        <v>20894</v>
      </c>
      <c r="BD251" s="19">
        <f>IFERROR(IF($E251="REC",INDEX(A_Type_Volume!$F:$F,MATCH($D251,A_Type_Volume!$A:$A,0),1),IF($E251="VAM",INDEX(C_Type_Volume!$F:$F,MATCH($D251,C_Type_Volume!$A:$A,0),1),"X")),"")</f>
        <v>19567</v>
      </c>
      <c r="BE251" s="19">
        <f>IFERROR(IF($E251="REC",INDEX(A_Type_Volume!$G:$G,MATCH($D251,A_Type_Volume!$A:$A,0),1),IF($E251="VAM",INDEX(C_Type_Volume!$G:$G,MATCH($D251,C_Type_Volume!$A:$A,0),1),"X")),"")</f>
        <v>20129</v>
      </c>
      <c r="BF251" s="19">
        <f>IFERROR(IF($E251="REC",INDEX(A_Type_Volume!$H:$H,MATCH($D251,A_Type_Volume!$A:$A,0),1),IF($E251="VAM",INDEX(C_Type_Volume!$H:$H,MATCH($D251,C_Type_Volume!$A:$A,0),1),"X")),"")</f>
        <v>23179</v>
      </c>
      <c r="BG251" s="19">
        <f>IFERROR(IF($E251="REC",INDEX(A_Type_Volume!$I:$I,MATCH($D251,A_Type_Volume!$A:$A,0),1),IF($E251="VAM",INDEX(C_Type_Volume!$I:$I,MATCH($D251,C_Type_Volume!$A:$A,0),1),"X")),"")</f>
        <v>14492</v>
      </c>
      <c r="BH251" s="19">
        <f>IFERROR(IF($E251="REC",INDEX(A_Type_Volume!$J:$J,MATCH($D251,A_Type_Volume!$A:$A,0),1),IF($E251="VAM",INDEX(C_Type_Volume!$J:$J,MATCH($D251,C_Type_Volume!$A:$A,0),1),"X")),"")</f>
        <v>19899</v>
      </c>
      <c r="BI251" s="19">
        <f>IFERROR(IF($E251="REC",INDEX(A_Type_Volume!$K:$K,MATCH($D251,A_Type_Volume!$A:$A,0),1),IF($E251="VAM",INDEX(C_Type_Volume!$K:$K,MATCH($D251,C_Type_Volume!$A:$A,0),1),"X")),"")</f>
        <v>22737</v>
      </c>
      <c r="BJ251" s="19">
        <f>IFERROR(IF($E251="REC",INDEX(A_Type_Volume!$L:$L,MATCH($D251,A_Type_Volume!$A:$A,0),1),IF($E251="VAM",INDEX(C_Type_Volume!$L:$L,MATCH($D251,C_Type_Volume!$A:$A,0),1),"X")),"")</f>
        <v>15658</v>
      </c>
      <c r="BK251" s="19">
        <f>IFERROR(IF($E251="REC",INDEX(A_Type_Volume!M:M,MATCH($D251,A_Type_Volume!$A:$A,0),1),IF($E251="VAM",INDEX(C_Type_Volume!M:M,MATCH($D251,C_Type_Volume!$A:$A,0),1),"X")),"")</f>
        <v>15420</v>
      </c>
      <c r="BL251" s="38">
        <f>SUM(Table1[[#This Row],[Jan_AVF]:[Dec_AVF]])</f>
        <v>243323</v>
      </c>
      <c r="BM251" s="16">
        <f t="shared" si="190"/>
        <v>337.06107101720318</v>
      </c>
      <c r="BN251" s="16">
        <f t="shared" si="191"/>
        <v>405.32247008948559</v>
      </c>
      <c r="BO251" s="16">
        <f t="shared" si="192"/>
        <v>484.08694517112701</v>
      </c>
      <c r="BP251" s="16">
        <f t="shared" si="193"/>
        <v>359.16738157045307</v>
      </c>
      <c r="BQ251" s="16">
        <f t="shared" si="194"/>
        <v>336.35628195601873</v>
      </c>
      <c r="BR251" s="16">
        <f t="shared" si="195"/>
        <v>346.01704908737673</v>
      </c>
      <c r="BS251" s="16">
        <f t="shared" si="196"/>
        <v>398.44647924866138</v>
      </c>
      <c r="BT251" s="16">
        <f t="shared" si="197"/>
        <v>249.11714816306144</v>
      </c>
      <c r="BU251" s="16">
        <f t="shared" si="198"/>
        <v>342.06335435390281</v>
      </c>
      <c r="BV251" s="16">
        <f t="shared" si="199"/>
        <v>390.84850936955064</v>
      </c>
      <c r="BW251" s="16">
        <f t="shared" si="200"/>
        <v>269.16066146406405</v>
      </c>
      <c r="BX251" s="16">
        <f t="shared" si="201"/>
        <v>265.06944691377362</v>
      </c>
      <c r="BY251" s="10">
        <f t="shared" si="168"/>
        <v>1226.4704862778158</v>
      </c>
      <c r="BZ251" s="10">
        <f t="shared" si="169"/>
        <v>1041.5407126138487</v>
      </c>
      <c r="CA251" s="10">
        <f t="shared" si="170"/>
        <v>989.6269817656256</v>
      </c>
      <c r="CB251" s="10">
        <f t="shared" si="171"/>
        <v>925.07861774738831</v>
      </c>
      <c r="CC251" s="10">
        <f>IFERROR(Table1[[#This Row],[Labor
Saving]]*Table1[[#This Row],[Annual Volume]],"")</f>
        <v>405.12461922111572</v>
      </c>
      <c r="CD251" s="10">
        <f>IFERROR(Table1[[#This Row],[Annual Volume]]*Table1[[#This Row],[Yield
Saving]],"")</f>
        <v>3777.5921791835626</v>
      </c>
      <c r="CE251" s="10">
        <f>IFERROR(Table1[[#This Row],[Annual Volume]]*Table1[[#This Row],[Material
Saving]],"")</f>
        <v>0</v>
      </c>
      <c r="CF251" s="10">
        <f>IFERROR(Table1[[#This Row],[OH
Saving]]*Table1[[#This Row],[Annual Volume]],"")</f>
        <v>0</v>
      </c>
      <c r="CG251" s="10">
        <f>SUM(Table1[[#This Row],[Labor_ASV]:[OH_ASV]])</f>
        <v>4182.7167984046782</v>
      </c>
    </row>
    <row r="252" spans="1:85" x14ac:dyDescent="0.3">
      <c r="A252" t="str">
        <f>Table1[[#This Row],[Project Name]]&amp;Table1[[#This Row],[Part Number]]</f>
        <v>Tape Dicing 6R153</v>
      </c>
      <c r="B252" t="str">
        <f>IFERROR(Table1[[#This Row],[Project Number]]&amp;Table1[[#This Row],[Part Number]],"")</f>
        <v>AME25-091R153</v>
      </c>
      <c r="C252" s="22" t="s">
        <v>138</v>
      </c>
      <c r="D252" s="24" t="s">
        <v>391</v>
      </c>
      <c r="E252" s="25" t="s">
        <v>58</v>
      </c>
      <c r="F252" s="6">
        <f>INDEX(Proj_Reg!G:G,MATCH($C252,Proj_Reg!$B:$B,0),1)</f>
        <v>46357</v>
      </c>
      <c r="G252" s="6">
        <f>INDEX(Proj_Reg!H:H,MATCH($C252,Proj_Reg!$B:$B,0),1)</f>
        <v>46692</v>
      </c>
      <c r="H252" s="6" t="str">
        <f>IF(INDEX(Proj_Reg!C:C,MATCH($C252,Proj_Reg!$B:$B,0),1)=0,"",INDEX(Proj_Reg!C:C,MATCH($C252,Proj_Reg!$B:$B,0),1))</f>
        <v>Wafer Saw Dicing</v>
      </c>
      <c r="I252" s="6" t="str">
        <f>IF(INDEX(Proj_Reg!D:D,MATCH($C252,Proj_Reg!$B:$B,0),1)=0,"",INDEX(Proj_Reg!D:D,MATCH($C252,Proj_Reg!$B:$B,0),1))</f>
        <v>XCD</v>
      </c>
      <c r="J252" s="6" t="str">
        <f>INDEX(Proj_Reg!E:E,MATCH($C252,Proj_Reg!$B:$B,0),1)</f>
        <v>Tape Dicing 6</v>
      </c>
      <c r="K252" s="21">
        <v>4.7160607E-2</v>
      </c>
      <c r="L252" s="21">
        <v>0</v>
      </c>
      <c r="M252" s="21">
        <v>1.0287864484869987E-2</v>
      </c>
      <c r="N252" s="21">
        <v>0</v>
      </c>
      <c r="O252" s="11">
        <f>SUM(Table1[[#This Row],[Labor
Saving]:[OH
Saving]])</f>
        <v>5.7448471484869985E-2</v>
      </c>
      <c r="Q252" s="40">
        <f t="shared" si="152"/>
        <v>0</v>
      </c>
      <c r="R252" s="40">
        <f t="shared" si="153"/>
        <v>0</v>
      </c>
      <c r="S252" s="40">
        <f t="shared" si="154"/>
        <v>0</v>
      </c>
      <c r="T252" s="40">
        <f t="shared" si="155"/>
        <v>0</v>
      </c>
      <c r="U252" s="40">
        <f t="shared" si="156"/>
        <v>0</v>
      </c>
      <c r="V252" s="40">
        <f t="shared" si="157"/>
        <v>0</v>
      </c>
      <c r="W252" s="40">
        <f t="shared" si="158"/>
        <v>0</v>
      </c>
      <c r="X252" s="40">
        <f t="shared" si="159"/>
        <v>0</v>
      </c>
      <c r="Y252" s="40">
        <f t="shared" si="160"/>
        <v>0</v>
      </c>
      <c r="Z252" s="40">
        <f t="shared" si="161"/>
        <v>0</v>
      </c>
      <c r="AA252" s="40">
        <f t="shared" si="162"/>
        <v>0</v>
      </c>
      <c r="AB252" s="40">
        <f t="shared" si="163"/>
        <v>7559.4</v>
      </c>
      <c r="AC252" s="37">
        <f>SUM(Table1[[#This Row],[Jan]:[Dec]])</f>
        <v>7559.4</v>
      </c>
      <c r="AD252" s="15">
        <f t="shared" si="172"/>
        <v>0</v>
      </c>
      <c r="AE252" s="15">
        <f t="shared" si="173"/>
        <v>0</v>
      </c>
      <c r="AF252" s="15">
        <f t="shared" si="174"/>
        <v>0</v>
      </c>
      <c r="AG252" s="15">
        <f t="shared" si="175"/>
        <v>0</v>
      </c>
      <c r="AH252" s="15">
        <f t="shared" si="176"/>
        <v>0</v>
      </c>
      <c r="AI252" s="15">
        <f t="shared" si="177"/>
        <v>0</v>
      </c>
      <c r="AJ252" s="15">
        <f t="shared" si="178"/>
        <v>0</v>
      </c>
      <c r="AK252" s="15">
        <f t="shared" si="179"/>
        <v>0</v>
      </c>
      <c r="AL252" s="15">
        <f t="shared" si="180"/>
        <v>0</v>
      </c>
      <c r="AM252" s="15">
        <f t="shared" si="181"/>
        <v>0</v>
      </c>
      <c r="AN252" s="15">
        <f t="shared" si="182"/>
        <v>0</v>
      </c>
      <c r="AO252" s="15">
        <f t="shared" si="183"/>
        <v>434.27597534272616</v>
      </c>
      <c r="AP252" s="10">
        <f t="shared" si="184"/>
        <v>0</v>
      </c>
      <c r="AQ252" s="10">
        <f t="shared" si="185"/>
        <v>0</v>
      </c>
      <c r="AR252" s="10">
        <f t="shared" si="186"/>
        <v>0</v>
      </c>
      <c r="AS252" s="10">
        <f t="shared" si="187"/>
        <v>434.27597534272616</v>
      </c>
      <c r="AT252" s="10" t="b">
        <f t="shared" si="188"/>
        <v>1</v>
      </c>
      <c r="AU252" s="10">
        <f t="shared" si="164"/>
        <v>356.50589255579996</v>
      </c>
      <c r="AV252" s="10">
        <f t="shared" si="165"/>
        <v>0</v>
      </c>
      <c r="AW252" s="10">
        <f t="shared" si="166"/>
        <v>77.770082786926181</v>
      </c>
      <c r="AX252" s="10">
        <f t="shared" si="167"/>
        <v>0</v>
      </c>
      <c r="AY252" s="10">
        <f t="shared" si="189"/>
        <v>434.27597534272616</v>
      </c>
      <c r="AZ252" s="19">
        <f>IFERROR(IF($E252="REC",INDEX(A_Type_Volume!$B:$B,MATCH($D252,A_Type_Volume!$A:$A,0),1),IF($E252="VAM",INDEX(C_Type_Volume!$B:$B,MATCH($D252,C_Type_Volume!$A:$A,0),1),"X")),"")</f>
        <v>54119</v>
      </c>
      <c r="BA252" s="19">
        <f>IFERROR(IF($E252="REC",INDEX(A_Type_Volume!$C:$C,MATCH($D252,A_Type_Volume!$A:$A,0),1),IF($E252="VAM",INDEX(C_Type_Volume!$C:$C,MATCH($D252,C_Type_Volume!$A:$A,0),1),"X")),"")</f>
        <v>0</v>
      </c>
      <c r="BB252" s="19">
        <f>IFERROR(IF($E252="REC",INDEX(A_Type_Volume!$D:$D,MATCH($D252,A_Type_Volume!$A:$A,0),1),IF($E252="VAM",INDEX(C_Type_Volume!$D:$D,MATCH($D252,C_Type_Volume!$A:$A,0),1),"X")),"")</f>
        <v>31515</v>
      </c>
      <c r="BC252" s="19">
        <f>IFERROR(IF($E252="REC",INDEX(A_Type_Volume!$E:$E,MATCH($D252,A_Type_Volume!$A:$A,0),1),IF($E252="VAM",INDEX(C_Type_Volume!$E:$E,MATCH($D252,C_Type_Volume!$A:$A,0),1),"X")),"")</f>
        <v>52065</v>
      </c>
      <c r="BD252" s="19">
        <f>IFERROR(IF($E252="REC",INDEX(A_Type_Volume!$F:$F,MATCH($D252,A_Type_Volume!$A:$A,0),1),IF($E252="VAM",INDEX(C_Type_Volume!$F:$F,MATCH($D252,C_Type_Volume!$A:$A,0),1),"X")),"")</f>
        <v>54119</v>
      </c>
      <c r="BE252" s="19">
        <f>IFERROR(IF($E252="REC",INDEX(A_Type_Volume!$G:$G,MATCH($D252,A_Type_Volume!$A:$A,0),1),IF($E252="VAM",INDEX(C_Type_Volume!$G:$G,MATCH($D252,C_Type_Volume!$A:$A,0),1),"X")),"")</f>
        <v>52533</v>
      </c>
      <c r="BF252" s="19">
        <f>IFERROR(IF($E252="REC",INDEX(A_Type_Volume!$H:$H,MATCH($D252,A_Type_Volume!$A:$A,0),1),IF($E252="VAM",INDEX(C_Type_Volume!$H:$H,MATCH($D252,C_Type_Volume!$A:$A,0),1),"X")),"")</f>
        <v>57679</v>
      </c>
      <c r="BG252" s="19">
        <f>IFERROR(IF($E252="REC",INDEX(A_Type_Volume!$I:$I,MATCH($D252,A_Type_Volume!$A:$A,0),1),IF($E252="VAM",INDEX(C_Type_Volume!$I:$I,MATCH($D252,C_Type_Volume!$A:$A,0),1),"X")),"")</f>
        <v>48468</v>
      </c>
      <c r="BH252" s="19">
        <f>IFERROR(IF($E252="REC",INDEX(A_Type_Volume!$J:$J,MATCH($D252,A_Type_Volume!$A:$A,0),1),IF($E252="VAM",INDEX(C_Type_Volume!$J:$J,MATCH($D252,C_Type_Volume!$A:$A,0),1),"X")),"")</f>
        <v>23759</v>
      </c>
      <c r="BI252" s="19">
        <f>IFERROR(IF($E252="REC",INDEX(A_Type_Volume!$K:$K,MATCH($D252,A_Type_Volume!$A:$A,0),1),IF($E252="VAM",INDEX(C_Type_Volume!$K:$K,MATCH($D252,C_Type_Volume!$A:$A,0),1),"X")),"")</f>
        <v>49873</v>
      </c>
      <c r="BJ252" s="19">
        <f>IFERROR(IF($E252="REC",INDEX(A_Type_Volume!$L:$L,MATCH($D252,A_Type_Volume!$A:$A,0),1),IF($E252="VAM",INDEX(C_Type_Volume!$L:$L,MATCH($D252,C_Type_Volume!$A:$A,0),1),"X")),"")</f>
        <v>39788</v>
      </c>
      <c r="BK252" s="19">
        <f>IFERROR(IF($E252="REC",INDEX(A_Type_Volume!M:M,MATCH($D252,A_Type_Volume!$A:$A,0),1),IF($E252="VAM",INDEX(C_Type_Volume!M:M,MATCH($D252,C_Type_Volume!$A:$A,0),1),"X")),"")</f>
        <v>25198</v>
      </c>
      <c r="BL252" s="38">
        <f>SUM(Table1[[#This Row],[Jan_AVF]:[Dec_AVF]])</f>
        <v>489116</v>
      </c>
      <c r="BM252" s="16">
        <f t="shared" si="190"/>
        <v>3109.0538282896787</v>
      </c>
      <c r="BN252" s="16">
        <f t="shared" si="191"/>
        <v>0</v>
      </c>
      <c r="BO252" s="16">
        <f t="shared" si="192"/>
        <v>1810.4885788456777</v>
      </c>
      <c r="BP252" s="16">
        <f t="shared" si="193"/>
        <v>2991.0546678597557</v>
      </c>
      <c r="BQ252" s="16">
        <f t="shared" si="194"/>
        <v>3109.0538282896787</v>
      </c>
      <c r="BR252" s="16">
        <f t="shared" si="195"/>
        <v>3017.9405525146749</v>
      </c>
      <c r="BS252" s="16">
        <f t="shared" si="196"/>
        <v>3313.5703867758157</v>
      </c>
      <c r="BT252" s="16">
        <f t="shared" si="197"/>
        <v>2784.4125159286787</v>
      </c>
      <c r="BU252" s="16">
        <f t="shared" si="198"/>
        <v>1364.918234009026</v>
      </c>
      <c r="BV252" s="16">
        <f t="shared" si="199"/>
        <v>2865.1276183649206</v>
      </c>
      <c r="BW252" s="16">
        <f t="shared" si="200"/>
        <v>2285.7597834400071</v>
      </c>
      <c r="BX252" s="16">
        <f t="shared" si="201"/>
        <v>1447.5865844757539</v>
      </c>
      <c r="BY252" s="10">
        <f t="shared" si="168"/>
        <v>4919.5424071353564</v>
      </c>
      <c r="BZ252" s="10">
        <f t="shared" si="169"/>
        <v>9118.0490486641102</v>
      </c>
      <c r="CA252" s="10">
        <f t="shared" si="170"/>
        <v>7462.9011367135208</v>
      </c>
      <c r="CB252" s="10">
        <f t="shared" si="171"/>
        <v>6598.4739862806819</v>
      </c>
      <c r="CC252" s="10">
        <f>IFERROR(Table1[[#This Row],[Labor
Saving]]*Table1[[#This Row],[Annual Volume]],"")</f>
        <v>23067.007453411999</v>
      </c>
      <c r="CD252" s="10">
        <f>IFERROR(Table1[[#This Row],[Annual Volume]]*Table1[[#This Row],[Yield
Saving]],"")</f>
        <v>0</v>
      </c>
      <c r="CE252" s="10">
        <f>IFERROR(Table1[[#This Row],[Annual Volume]]*Table1[[#This Row],[Material
Saving]],"")</f>
        <v>5031.9591253816689</v>
      </c>
      <c r="CF252" s="10">
        <f>IFERROR(Table1[[#This Row],[OH
Saving]]*Table1[[#This Row],[Annual Volume]],"")</f>
        <v>0</v>
      </c>
      <c r="CG252" s="10">
        <f>SUM(Table1[[#This Row],[Labor_ASV]:[OH_ASV]])</f>
        <v>28098.966578793668</v>
      </c>
    </row>
    <row r="253" spans="1:85" x14ac:dyDescent="0.3">
      <c r="A253" t="str">
        <f>Table1[[#This Row],[Project Name]]&amp;Table1[[#This Row],[Part Number]]</f>
        <v>Tape Dicing 6R152</v>
      </c>
      <c r="B253" t="str">
        <f>IFERROR(Table1[[#This Row],[Project Number]]&amp;Table1[[#This Row],[Part Number]],"")</f>
        <v>AME25-091R152</v>
      </c>
      <c r="C253" s="22" t="s">
        <v>138</v>
      </c>
      <c r="D253" s="24" t="s">
        <v>390</v>
      </c>
      <c r="E253" s="25" t="s">
        <v>58</v>
      </c>
      <c r="F253" s="6">
        <f>INDEX(Proj_Reg!G:G,MATCH($C253,Proj_Reg!$B:$B,0),1)</f>
        <v>46357</v>
      </c>
      <c r="G253" s="6">
        <f>INDEX(Proj_Reg!H:H,MATCH($C253,Proj_Reg!$B:$B,0),1)</f>
        <v>46692</v>
      </c>
      <c r="H253" s="6" t="str">
        <f>IF(INDEX(Proj_Reg!C:C,MATCH($C253,Proj_Reg!$B:$B,0),1)=0,"",INDEX(Proj_Reg!C:C,MATCH($C253,Proj_Reg!$B:$B,0),1))</f>
        <v>Wafer Saw Dicing</v>
      </c>
      <c r="I253" s="6" t="str">
        <f>IF(INDEX(Proj_Reg!D:D,MATCH($C253,Proj_Reg!$B:$B,0),1)=0,"",INDEX(Proj_Reg!D:D,MATCH($C253,Proj_Reg!$B:$B,0),1))</f>
        <v>XCD</v>
      </c>
      <c r="J253" s="6" t="str">
        <f>INDEX(Proj_Reg!E:E,MATCH($C253,Proj_Reg!$B:$B,0),1)</f>
        <v>Tape Dicing 6</v>
      </c>
      <c r="K253" s="21">
        <v>8.9854079999999985E-3</v>
      </c>
      <c r="L253" s="21">
        <v>0</v>
      </c>
      <c r="M253" s="21">
        <v>0</v>
      </c>
      <c r="N253" s="21">
        <v>0</v>
      </c>
      <c r="O253" s="11">
        <f>SUM(Table1[[#This Row],[Labor
Saving]:[OH
Saving]])</f>
        <v>8.9854079999999985E-3</v>
      </c>
      <c r="Q253" s="40">
        <f t="shared" si="152"/>
        <v>0</v>
      </c>
      <c r="R253" s="40">
        <f t="shared" si="153"/>
        <v>0</v>
      </c>
      <c r="S253" s="40">
        <f t="shared" si="154"/>
        <v>0</v>
      </c>
      <c r="T253" s="40">
        <f t="shared" si="155"/>
        <v>0</v>
      </c>
      <c r="U253" s="40">
        <f t="shared" si="156"/>
        <v>0</v>
      </c>
      <c r="V253" s="40">
        <f t="shared" si="157"/>
        <v>0</v>
      </c>
      <c r="W253" s="40">
        <f t="shared" si="158"/>
        <v>0</v>
      </c>
      <c r="X253" s="40">
        <f t="shared" si="159"/>
        <v>0</v>
      </c>
      <c r="Y253" s="40">
        <f t="shared" si="160"/>
        <v>0</v>
      </c>
      <c r="Z253" s="40">
        <f t="shared" si="161"/>
        <v>0</v>
      </c>
      <c r="AA253" s="40">
        <f t="shared" si="162"/>
        <v>0</v>
      </c>
      <c r="AB253" s="40">
        <f t="shared" si="163"/>
        <v>7559.4</v>
      </c>
      <c r="AC253" s="37">
        <f>SUM(Table1[[#This Row],[Jan]:[Dec]])</f>
        <v>7559.4</v>
      </c>
      <c r="AD253" s="15">
        <f t="shared" si="172"/>
        <v>0</v>
      </c>
      <c r="AE253" s="15">
        <f t="shared" si="173"/>
        <v>0</v>
      </c>
      <c r="AF253" s="15">
        <f t="shared" si="174"/>
        <v>0</v>
      </c>
      <c r="AG253" s="15">
        <f t="shared" si="175"/>
        <v>0</v>
      </c>
      <c r="AH253" s="15">
        <f t="shared" si="176"/>
        <v>0</v>
      </c>
      <c r="AI253" s="15">
        <f t="shared" si="177"/>
        <v>0</v>
      </c>
      <c r="AJ253" s="15">
        <f t="shared" si="178"/>
        <v>0</v>
      </c>
      <c r="AK253" s="15">
        <f t="shared" si="179"/>
        <v>0</v>
      </c>
      <c r="AL253" s="15">
        <f t="shared" si="180"/>
        <v>0</v>
      </c>
      <c r="AM253" s="15">
        <f t="shared" si="181"/>
        <v>0</v>
      </c>
      <c r="AN253" s="15">
        <f t="shared" si="182"/>
        <v>0</v>
      </c>
      <c r="AO253" s="15">
        <f t="shared" si="183"/>
        <v>67.924293235199983</v>
      </c>
      <c r="AP253" s="10">
        <f t="shared" si="184"/>
        <v>0</v>
      </c>
      <c r="AQ253" s="10">
        <f t="shared" si="185"/>
        <v>0</v>
      </c>
      <c r="AR253" s="10">
        <f t="shared" si="186"/>
        <v>0</v>
      </c>
      <c r="AS253" s="10">
        <f t="shared" si="187"/>
        <v>67.924293235199983</v>
      </c>
      <c r="AT253" s="10" t="b">
        <f t="shared" si="188"/>
        <v>1</v>
      </c>
      <c r="AU253" s="10">
        <f t="shared" si="164"/>
        <v>67.924293235199983</v>
      </c>
      <c r="AV253" s="10">
        <f t="shared" si="165"/>
        <v>0</v>
      </c>
      <c r="AW253" s="10">
        <f t="shared" si="166"/>
        <v>0</v>
      </c>
      <c r="AX253" s="10">
        <f t="shared" si="167"/>
        <v>0</v>
      </c>
      <c r="AY253" s="10">
        <f t="shared" si="189"/>
        <v>67.924293235199983</v>
      </c>
      <c r="AZ253" s="19">
        <f>IFERROR(IF($E253="REC",INDEX(A_Type_Volume!$B:$B,MATCH($D253,A_Type_Volume!$A:$A,0),1),IF($E253="VAM",INDEX(C_Type_Volume!$B:$B,MATCH($D253,C_Type_Volume!$A:$A,0),1),"X")),"")</f>
        <v>54119</v>
      </c>
      <c r="BA253" s="19">
        <f>IFERROR(IF($E253="REC",INDEX(A_Type_Volume!$C:$C,MATCH($D253,A_Type_Volume!$A:$A,0),1),IF($E253="VAM",INDEX(C_Type_Volume!$C:$C,MATCH($D253,C_Type_Volume!$A:$A,0),1),"X")),"")</f>
        <v>0</v>
      </c>
      <c r="BB253" s="19">
        <f>IFERROR(IF($E253="REC",INDEX(A_Type_Volume!$D:$D,MATCH($D253,A_Type_Volume!$A:$A,0),1),IF($E253="VAM",INDEX(C_Type_Volume!$D:$D,MATCH($D253,C_Type_Volume!$A:$A,0),1),"X")),"")</f>
        <v>31515</v>
      </c>
      <c r="BC253" s="19">
        <f>IFERROR(IF($E253="REC",INDEX(A_Type_Volume!$E:$E,MATCH($D253,A_Type_Volume!$A:$A,0),1),IF($E253="VAM",INDEX(C_Type_Volume!$E:$E,MATCH($D253,C_Type_Volume!$A:$A,0),1),"X")),"")</f>
        <v>52065</v>
      </c>
      <c r="BD253" s="19">
        <f>IFERROR(IF($E253="REC",INDEX(A_Type_Volume!$F:$F,MATCH($D253,A_Type_Volume!$A:$A,0),1),IF($E253="VAM",INDEX(C_Type_Volume!$F:$F,MATCH($D253,C_Type_Volume!$A:$A,0),1),"X")),"")</f>
        <v>54119</v>
      </c>
      <c r="BE253" s="19">
        <f>IFERROR(IF($E253="REC",INDEX(A_Type_Volume!$G:$G,MATCH($D253,A_Type_Volume!$A:$A,0),1),IF($E253="VAM",INDEX(C_Type_Volume!$G:$G,MATCH($D253,C_Type_Volume!$A:$A,0),1),"X")),"")</f>
        <v>52533</v>
      </c>
      <c r="BF253" s="19">
        <f>IFERROR(IF($E253="REC",INDEX(A_Type_Volume!$H:$H,MATCH($D253,A_Type_Volume!$A:$A,0),1),IF($E253="VAM",INDEX(C_Type_Volume!$H:$H,MATCH($D253,C_Type_Volume!$A:$A,0),1),"X")),"")</f>
        <v>57679</v>
      </c>
      <c r="BG253" s="19">
        <f>IFERROR(IF($E253="REC",INDEX(A_Type_Volume!$I:$I,MATCH($D253,A_Type_Volume!$A:$A,0),1),IF($E253="VAM",INDEX(C_Type_Volume!$I:$I,MATCH($D253,C_Type_Volume!$A:$A,0),1),"X")),"")</f>
        <v>48468</v>
      </c>
      <c r="BH253" s="19">
        <f>IFERROR(IF($E253="REC",INDEX(A_Type_Volume!$J:$J,MATCH($D253,A_Type_Volume!$A:$A,0),1),IF($E253="VAM",INDEX(C_Type_Volume!$J:$J,MATCH($D253,C_Type_Volume!$A:$A,0),1),"X")),"")</f>
        <v>23759</v>
      </c>
      <c r="BI253" s="19">
        <f>IFERROR(IF($E253="REC",INDEX(A_Type_Volume!$K:$K,MATCH($D253,A_Type_Volume!$A:$A,0),1),IF($E253="VAM",INDEX(C_Type_Volume!$K:$K,MATCH($D253,C_Type_Volume!$A:$A,0),1),"X")),"")</f>
        <v>49873</v>
      </c>
      <c r="BJ253" s="19">
        <f>IFERROR(IF($E253="REC",INDEX(A_Type_Volume!$L:$L,MATCH($D253,A_Type_Volume!$A:$A,0),1),IF($E253="VAM",INDEX(C_Type_Volume!$L:$L,MATCH($D253,C_Type_Volume!$A:$A,0),1),"X")),"")</f>
        <v>39788</v>
      </c>
      <c r="BK253" s="19">
        <f>IFERROR(IF($E253="REC",INDEX(A_Type_Volume!M:M,MATCH($D253,A_Type_Volume!$A:$A,0),1),IF($E253="VAM",INDEX(C_Type_Volume!M:M,MATCH($D253,C_Type_Volume!$A:$A,0),1),"X")),"")</f>
        <v>25198</v>
      </c>
      <c r="BL253" s="38">
        <f>SUM(Table1[[#This Row],[Jan_AVF]:[Dec_AVF]])</f>
        <v>489116</v>
      </c>
      <c r="BM253" s="16">
        <f t="shared" si="190"/>
        <v>486.2812955519999</v>
      </c>
      <c r="BN253" s="16">
        <f t="shared" si="191"/>
        <v>0</v>
      </c>
      <c r="BO253" s="16">
        <f t="shared" si="192"/>
        <v>283.17513311999994</v>
      </c>
      <c r="BP253" s="16">
        <f t="shared" si="193"/>
        <v>467.8252675199999</v>
      </c>
      <c r="BQ253" s="16">
        <f t="shared" si="194"/>
        <v>486.2812955519999</v>
      </c>
      <c r="BR253" s="16">
        <f t="shared" si="195"/>
        <v>472.03043846399993</v>
      </c>
      <c r="BS253" s="16">
        <f t="shared" si="196"/>
        <v>518.26934803199993</v>
      </c>
      <c r="BT253" s="16">
        <f t="shared" si="197"/>
        <v>435.50475494399996</v>
      </c>
      <c r="BU253" s="16">
        <f t="shared" si="198"/>
        <v>213.48430867199997</v>
      </c>
      <c r="BV253" s="16">
        <f t="shared" si="199"/>
        <v>448.12925318399994</v>
      </c>
      <c r="BW253" s="16">
        <f t="shared" si="200"/>
        <v>357.51141350399996</v>
      </c>
      <c r="BX253" s="16">
        <f t="shared" si="201"/>
        <v>226.41431078399995</v>
      </c>
      <c r="BY253" s="10">
        <f t="shared" si="168"/>
        <v>769.4564286719999</v>
      </c>
      <c r="BZ253" s="10">
        <f t="shared" si="169"/>
        <v>1426.1370015359996</v>
      </c>
      <c r="CA253" s="10">
        <f t="shared" si="170"/>
        <v>1167.2584116479998</v>
      </c>
      <c r="CB253" s="10">
        <f t="shared" si="171"/>
        <v>1032.0549774719998</v>
      </c>
      <c r="CC253" s="10">
        <f>IFERROR(Table1[[#This Row],[Labor
Saving]]*Table1[[#This Row],[Annual Volume]],"")</f>
        <v>4394.9068193279991</v>
      </c>
      <c r="CD253" s="10">
        <f>IFERROR(Table1[[#This Row],[Annual Volume]]*Table1[[#This Row],[Yield
Saving]],"")</f>
        <v>0</v>
      </c>
      <c r="CE253" s="10">
        <f>IFERROR(Table1[[#This Row],[Annual Volume]]*Table1[[#This Row],[Material
Saving]],"")</f>
        <v>0</v>
      </c>
      <c r="CF253" s="10">
        <f>IFERROR(Table1[[#This Row],[OH
Saving]]*Table1[[#This Row],[Annual Volume]],"")</f>
        <v>0</v>
      </c>
      <c r="CG253" s="10">
        <f>SUM(Table1[[#This Row],[Labor_ASV]:[OH_ASV]])</f>
        <v>4394.9068193279991</v>
      </c>
    </row>
    <row r="254" spans="1:85" x14ac:dyDescent="0.3">
      <c r="A254" t="str">
        <f>Table1[[#This Row],[Project Name]]&amp;Table1[[#This Row],[Part Number]]</f>
        <v>Ti Target Thickness ReductionR45</v>
      </c>
      <c r="B254" t="str">
        <f>IFERROR(Table1[[#This Row],[Project Number]]&amp;Table1[[#This Row],[Part Number]],"")</f>
        <v>AME25-092R45</v>
      </c>
      <c r="C254" s="22" t="s">
        <v>139</v>
      </c>
      <c r="D254" s="24" t="s">
        <v>283</v>
      </c>
      <c r="E254" s="25" t="s">
        <v>58</v>
      </c>
      <c r="F254" s="6">
        <f>INDEX(Proj_Reg!G:G,MATCH($C254,Proj_Reg!$B:$B,0),1)</f>
        <v>45962</v>
      </c>
      <c r="G254" s="6">
        <f>INDEX(Proj_Reg!H:H,MATCH($C254,Proj_Reg!$B:$B,0),1)</f>
        <v>46296</v>
      </c>
      <c r="H254" s="6" t="str">
        <f>IF(INDEX(Proj_Reg!C:C,MATCH($C254,Proj_Reg!$B:$B,0),1)=0,"",INDEX(Proj_Reg!C:C,MATCH($C254,Proj_Reg!$B:$B,0),1))</f>
        <v>Sputtering</v>
      </c>
      <c r="I254" s="6" t="str">
        <f>IF(INDEX(Proj_Reg!D:D,MATCH($C254,Proj_Reg!$B:$B,0),1)=0,"",INDEX(Proj_Reg!D:D,MATCH($C254,Proj_Reg!$B:$B,0),1))</f>
        <v>XWP</v>
      </c>
      <c r="J254" s="6" t="str">
        <f>INDEX(Proj_Reg!E:E,MATCH($C254,Proj_Reg!$B:$B,0),1)</f>
        <v>Ti Target Thickness Reduction</v>
      </c>
      <c r="K254" s="21">
        <v>8.9854079999999985E-3</v>
      </c>
      <c r="L254" s="21">
        <v>0</v>
      </c>
      <c r="M254" s="21">
        <v>0</v>
      </c>
      <c r="N254" s="21">
        <v>0</v>
      </c>
      <c r="O254" s="11">
        <f>SUM(Table1[[#This Row],[Labor
Saving]:[OH
Saving]])</f>
        <v>8.9854079999999985E-3</v>
      </c>
      <c r="Q254" s="40">
        <f t="shared" si="152"/>
        <v>12213</v>
      </c>
      <c r="R254" s="40">
        <f t="shared" si="153"/>
        <v>13478</v>
      </c>
      <c r="S254" s="40">
        <f t="shared" si="154"/>
        <v>12831</v>
      </c>
      <c r="T254" s="40">
        <f t="shared" si="155"/>
        <v>12207</v>
      </c>
      <c r="U254" s="40">
        <f t="shared" si="156"/>
        <v>13817</v>
      </c>
      <c r="V254" s="40">
        <f t="shared" si="157"/>
        <v>14063</v>
      </c>
      <c r="W254" s="40">
        <f t="shared" si="158"/>
        <v>14110</v>
      </c>
      <c r="X254" s="40">
        <f t="shared" si="159"/>
        <v>9537</v>
      </c>
      <c r="Y254" s="40">
        <f t="shared" si="160"/>
        <v>9764</v>
      </c>
      <c r="Z254" s="40">
        <f t="shared" si="161"/>
        <v>10103</v>
      </c>
      <c r="AA254" s="40">
        <f t="shared" si="162"/>
        <v>0</v>
      </c>
      <c r="AB254" s="40">
        <f t="shared" si="163"/>
        <v>0</v>
      </c>
      <c r="AC254" s="37">
        <f>SUM(Table1[[#This Row],[Jan]:[Dec]])</f>
        <v>122123</v>
      </c>
      <c r="AD254" s="15">
        <f t="shared" si="172"/>
        <v>109.73878790399998</v>
      </c>
      <c r="AE254" s="15">
        <f t="shared" si="173"/>
        <v>121.10532902399999</v>
      </c>
      <c r="AF254" s="15">
        <f t="shared" si="174"/>
        <v>115.29177004799998</v>
      </c>
      <c r="AG254" s="15">
        <f t="shared" si="175"/>
        <v>109.68487545599999</v>
      </c>
      <c r="AH254" s="15">
        <f t="shared" si="176"/>
        <v>124.15138233599998</v>
      </c>
      <c r="AI254" s="15">
        <f t="shared" si="177"/>
        <v>126.36179270399998</v>
      </c>
      <c r="AJ254" s="15">
        <f t="shared" si="178"/>
        <v>126.78410687999998</v>
      </c>
      <c r="AK254" s="15">
        <f t="shared" si="179"/>
        <v>85.693836095999984</v>
      </c>
      <c r="AL254" s="15">
        <f t="shared" si="180"/>
        <v>87.733523711999979</v>
      </c>
      <c r="AM254" s="15">
        <f t="shared" si="181"/>
        <v>90.779577023999991</v>
      </c>
      <c r="AN254" s="15">
        <f t="shared" si="182"/>
        <v>0</v>
      </c>
      <c r="AO254" s="15">
        <f t="shared" si="183"/>
        <v>0</v>
      </c>
      <c r="AP254" s="10">
        <f t="shared" si="184"/>
        <v>346.13588697599994</v>
      </c>
      <c r="AQ254" s="10">
        <f t="shared" si="185"/>
        <v>360.19805049599995</v>
      </c>
      <c r="AR254" s="10">
        <f t="shared" si="186"/>
        <v>300.21146668799992</v>
      </c>
      <c r="AS254" s="10">
        <f t="shared" si="187"/>
        <v>90.779577023999991</v>
      </c>
      <c r="AT254" s="10" t="b">
        <f t="shared" si="188"/>
        <v>1</v>
      </c>
      <c r="AU254" s="10">
        <f t="shared" si="164"/>
        <v>1097.3249811839999</v>
      </c>
      <c r="AV254" s="10">
        <f t="shared" si="165"/>
        <v>0</v>
      </c>
      <c r="AW254" s="10">
        <f t="shared" si="166"/>
        <v>0</v>
      </c>
      <c r="AX254" s="10">
        <f t="shared" si="167"/>
        <v>0</v>
      </c>
      <c r="AY254" s="10">
        <f t="shared" si="189"/>
        <v>1097.3249811839999</v>
      </c>
      <c r="AZ254" s="19">
        <f>IFERROR(IF($E254="REC",INDEX(A_Type_Volume!$B:$B,MATCH($D254,A_Type_Volume!$A:$A,0),1),IF($E254="VAM",INDEX(C_Type_Volume!$B:$B,MATCH($D254,C_Type_Volume!$A:$A,0),1),"X")),"")</f>
        <v>12213</v>
      </c>
      <c r="BA254" s="19">
        <f>IFERROR(IF($E254="REC",INDEX(A_Type_Volume!$C:$C,MATCH($D254,A_Type_Volume!$A:$A,0),1),IF($E254="VAM",INDEX(C_Type_Volume!$C:$C,MATCH($D254,C_Type_Volume!$A:$A,0),1),"X")),"")</f>
        <v>13478</v>
      </c>
      <c r="BB254" s="19">
        <f>IFERROR(IF($E254="REC",INDEX(A_Type_Volume!$D:$D,MATCH($D254,A_Type_Volume!$A:$A,0),1),IF($E254="VAM",INDEX(C_Type_Volume!$D:$D,MATCH($D254,C_Type_Volume!$A:$A,0),1),"X")),"")</f>
        <v>12831</v>
      </c>
      <c r="BC254" s="19">
        <f>IFERROR(IF($E254="REC",INDEX(A_Type_Volume!$E:$E,MATCH($D254,A_Type_Volume!$A:$A,0),1),IF($E254="VAM",INDEX(C_Type_Volume!$E:$E,MATCH($D254,C_Type_Volume!$A:$A,0),1),"X")),"")</f>
        <v>12207</v>
      </c>
      <c r="BD254" s="19">
        <f>IFERROR(IF($E254="REC",INDEX(A_Type_Volume!$F:$F,MATCH($D254,A_Type_Volume!$A:$A,0),1),IF($E254="VAM",INDEX(C_Type_Volume!$F:$F,MATCH($D254,C_Type_Volume!$A:$A,0),1),"X")),"")</f>
        <v>13817</v>
      </c>
      <c r="BE254" s="19">
        <f>IFERROR(IF($E254="REC",INDEX(A_Type_Volume!$G:$G,MATCH($D254,A_Type_Volume!$A:$A,0),1),IF($E254="VAM",INDEX(C_Type_Volume!$G:$G,MATCH($D254,C_Type_Volume!$A:$A,0),1),"X")),"")</f>
        <v>14063</v>
      </c>
      <c r="BF254" s="19">
        <f>IFERROR(IF($E254="REC",INDEX(A_Type_Volume!$H:$H,MATCH($D254,A_Type_Volume!$A:$A,0),1),IF($E254="VAM",INDEX(C_Type_Volume!$H:$H,MATCH($D254,C_Type_Volume!$A:$A,0),1),"X")),"")</f>
        <v>14110</v>
      </c>
      <c r="BG254" s="19">
        <f>IFERROR(IF($E254="REC",INDEX(A_Type_Volume!$I:$I,MATCH($D254,A_Type_Volume!$A:$A,0),1),IF($E254="VAM",INDEX(C_Type_Volume!$I:$I,MATCH($D254,C_Type_Volume!$A:$A,0),1),"X")),"")</f>
        <v>9537</v>
      </c>
      <c r="BH254" s="19">
        <f>IFERROR(IF($E254="REC",INDEX(A_Type_Volume!$J:$J,MATCH($D254,A_Type_Volume!$A:$A,0),1),IF($E254="VAM",INDEX(C_Type_Volume!$J:$J,MATCH($D254,C_Type_Volume!$A:$A,0),1),"X")),"")</f>
        <v>9764</v>
      </c>
      <c r="BI254" s="19">
        <f>IFERROR(IF($E254="REC",INDEX(A_Type_Volume!$K:$K,MATCH($D254,A_Type_Volume!$A:$A,0),1),IF($E254="VAM",INDEX(C_Type_Volume!$K:$K,MATCH($D254,C_Type_Volume!$A:$A,0),1),"X")),"")</f>
        <v>10103</v>
      </c>
      <c r="BJ254" s="19">
        <f>IFERROR(IF($E254="REC",INDEX(A_Type_Volume!$L:$L,MATCH($D254,A_Type_Volume!$A:$A,0),1),IF($E254="VAM",INDEX(C_Type_Volume!$L:$L,MATCH($D254,C_Type_Volume!$A:$A,0),1),"X")),"")</f>
        <v>9092</v>
      </c>
      <c r="BK254" s="19">
        <f>IFERROR(IF($E254="REC",INDEX(A_Type_Volume!M:M,MATCH($D254,A_Type_Volume!$A:$A,0),1),IF($E254="VAM",INDEX(C_Type_Volume!M:M,MATCH($D254,C_Type_Volume!$A:$A,0),1),"X")),"")</f>
        <v>7172</v>
      </c>
      <c r="BL254" s="38">
        <f>SUM(Table1[[#This Row],[Jan_AVF]:[Dec_AVF]])</f>
        <v>138387</v>
      </c>
      <c r="BM254" s="16">
        <f t="shared" si="190"/>
        <v>109.73878790399998</v>
      </c>
      <c r="BN254" s="16">
        <f t="shared" si="191"/>
        <v>121.10532902399999</v>
      </c>
      <c r="BO254" s="16">
        <f t="shared" si="192"/>
        <v>115.29177004799998</v>
      </c>
      <c r="BP254" s="16">
        <f t="shared" si="193"/>
        <v>109.68487545599999</v>
      </c>
      <c r="BQ254" s="16">
        <f t="shared" si="194"/>
        <v>124.15138233599998</v>
      </c>
      <c r="BR254" s="16">
        <f t="shared" si="195"/>
        <v>126.36179270399998</v>
      </c>
      <c r="BS254" s="16">
        <f t="shared" si="196"/>
        <v>126.78410687999998</v>
      </c>
      <c r="BT254" s="16">
        <f t="shared" si="197"/>
        <v>85.693836095999984</v>
      </c>
      <c r="BU254" s="16">
        <f t="shared" si="198"/>
        <v>87.733523711999979</v>
      </c>
      <c r="BV254" s="16">
        <f t="shared" si="199"/>
        <v>90.779577023999991</v>
      </c>
      <c r="BW254" s="16">
        <f t="shared" si="200"/>
        <v>81.695329535999988</v>
      </c>
      <c r="BX254" s="16">
        <f t="shared" si="201"/>
        <v>64.443346175999991</v>
      </c>
      <c r="BY254" s="10">
        <f t="shared" si="168"/>
        <v>346.13588697599994</v>
      </c>
      <c r="BZ254" s="10">
        <f t="shared" si="169"/>
        <v>360.19805049599995</v>
      </c>
      <c r="CA254" s="10">
        <f t="shared" si="170"/>
        <v>300.21146668799992</v>
      </c>
      <c r="CB254" s="10">
        <f t="shared" si="171"/>
        <v>236.91825273599994</v>
      </c>
      <c r="CC254" s="10">
        <f>IFERROR(Table1[[#This Row],[Labor
Saving]]*Table1[[#This Row],[Annual Volume]],"")</f>
        <v>1243.4636568959997</v>
      </c>
      <c r="CD254" s="10">
        <f>IFERROR(Table1[[#This Row],[Annual Volume]]*Table1[[#This Row],[Yield
Saving]],"")</f>
        <v>0</v>
      </c>
      <c r="CE254" s="10">
        <f>IFERROR(Table1[[#This Row],[Annual Volume]]*Table1[[#This Row],[Material
Saving]],"")</f>
        <v>0</v>
      </c>
      <c r="CF254" s="10">
        <f>IFERROR(Table1[[#This Row],[OH
Saving]]*Table1[[#This Row],[Annual Volume]],"")</f>
        <v>0</v>
      </c>
      <c r="CG254" s="10">
        <f>SUM(Table1[[#This Row],[Labor_ASV]:[OH_ASV]])</f>
        <v>1243.4636568959997</v>
      </c>
    </row>
    <row r="255" spans="1:85" x14ac:dyDescent="0.3">
      <c r="A255" t="e">
        <f>Table1[[#This Row],[Project Name]]&amp;Table1[[#This Row],[Part Number]]</f>
        <v>#N/A</v>
      </c>
      <c r="B255" t="str">
        <f>IFERROR(Table1[[#This Row],[Project Number]]&amp;Table1[[#This Row],[Part Number]],"")</f>
        <v/>
      </c>
      <c r="C255" s="22" t="s">
        <v>139</v>
      </c>
      <c r="D255" s="24" t="e">
        <v>#N/A</v>
      </c>
      <c r="E255" s="25" t="s">
        <v>58</v>
      </c>
      <c r="F255" s="6">
        <f>INDEX(Proj_Reg!G:G,MATCH($C255,Proj_Reg!$B:$B,0),1)</f>
        <v>45962</v>
      </c>
      <c r="G255" s="6">
        <f>INDEX(Proj_Reg!H:H,MATCH($C255,Proj_Reg!$B:$B,0),1)</f>
        <v>46296</v>
      </c>
      <c r="H255" s="6" t="str">
        <f>IF(INDEX(Proj_Reg!C:C,MATCH($C255,Proj_Reg!$B:$B,0),1)=0,"",INDEX(Proj_Reg!C:C,MATCH($C255,Proj_Reg!$B:$B,0),1))</f>
        <v>Sputtering</v>
      </c>
      <c r="I255" s="6" t="str">
        <f>IF(INDEX(Proj_Reg!D:D,MATCH($C255,Proj_Reg!$B:$B,0),1)=0,"",INDEX(Proj_Reg!D:D,MATCH($C255,Proj_Reg!$B:$B,0),1))</f>
        <v>XWP</v>
      </c>
      <c r="J255" s="6" t="str">
        <f>INDEX(Proj_Reg!E:E,MATCH($C255,Proj_Reg!$B:$B,0),1)</f>
        <v>Ti Target Thickness Reduction</v>
      </c>
      <c r="K255" s="21">
        <v>5.0038457877599985E-3</v>
      </c>
      <c r="L255" s="21">
        <v>0</v>
      </c>
      <c r="M255" s="21">
        <v>4.9673363878300304E-3</v>
      </c>
      <c r="N255" s="21">
        <v>0</v>
      </c>
      <c r="O255" s="11">
        <f>SUM(Table1[[#This Row],[Labor
Saving]:[OH
Saving]])</f>
        <v>9.9711821755900289E-3</v>
      </c>
      <c r="Q255" s="40" t="str">
        <f t="shared" si="152"/>
        <v/>
      </c>
      <c r="R255" s="40" t="str">
        <f t="shared" si="153"/>
        <v/>
      </c>
      <c r="S255" s="40" t="str">
        <f t="shared" si="154"/>
        <v/>
      </c>
      <c r="T255" s="40" t="str">
        <f t="shared" si="155"/>
        <v/>
      </c>
      <c r="U255" s="40" t="str">
        <f t="shared" si="156"/>
        <v/>
      </c>
      <c r="V255" s="40" t="str">
        <f t="shared" si="157"/>
        <v/>
      </c>
      <c r="W255" s="40" t="str">
        <f t="shared" si="158"/>
        <v/>
      </c>
      <c r="X255" s="40" t="str">
        <f t="shared" si="159"/>
        <v/>
      </c>
      <c r="Y255" s="40" t="str">
        <f t="shared" si="160"/>
        <v/>
      </c>
      <c r="Z255" s="40" t="str">
        <f t="shared" si="161"/>
        <v/>
      </c>
      <c r="AA255" s="40" t="str">
        <f t="shared" si="162"/>
        <v/>
      </c>
      <c r="AB255" s="40" t="str">
        <f t="shared" si="163"/>
        <v/>
      </c>
      <c r="AC255" s="37">
        <f>SUM(Table1[[#This Row],[Jan]:[Dec]])</f>
        <v>0</v>
      </c>
      <c r="AD255" s="15" t="str">
        <f t="shared" si="172"/>
        <v/>
      </c>
      <c r="AE255" s="15" t="str">
        <f t="shared" si="173"/>
        <v/>
      </c>
      <c r="AF255" s="15" t="str">
        <f t="shared" si="174"/>
        <v/>
      </c>
      <c r="AG255" s="15" t="str">
        <f t="shared" si="175"/>
        <v/>
      </c>
      <c r="AH255" s="15" t="str">
        <f t="shared" si="176"/>
        <v/>
      </c>
      <c r="AI255" s="15" t="str">
        <f t="shared" si="177"/>
        <v/>
      </c>
      <c r="AJ255" s="15" t="str">
        <f t="shared" si="178"/>
        <v/>
      </c>
      <c r="AK255" s="15" t="str">
        <f t="shared" si="179"/>
        <v/>
      </c>
      <c r="AL255" s="15" t="str">
        <f t="shared" si="180"/>
        <v/>
      </c>
      <c r="AM255" s="15" t="str">
        <f t="shared" si="181"/>
        <v/>
      </c>
      <c r="AN255" s="15" t="str">
        <f t="shared" si="182"/>
        <v/>
      </c>
      <c r="AO255" s="15" t="str">
        <f t="shared" si="183"/>
        <v/>
      </c>
      <c r="AP255" s="10">
        <f t="shared" si="184"/>
        <v>0</v>
      </c>
      <c r="AQ255" s="10">
        <f t="shared" si="185"/>
        <v>0</v>
      </c>
      <c r="AR255" s="10">
        <f t="shared" si="186"/>
        <v>0</v>
      </c>
      <c r="AS255" s="10">
        <f t="shared" si="187"/>
        <v>0</v>
      </c>
      <c r="AT255" s="10" t="b">
        <f t="shared" si="188"/>
        <v>1</v>
      </c>
      <c r="AU255" s="10">
        <f t="shared" si="164"/>
        <v>0</v>
      </c>
      <c r="AV255" s="10">
        <f t="shared" si="165"/>
        <v>0</v>
      </c>
      <c r="AW255" s="10">
        <f t="shared" si="166"/>
        <v>0</v>
      </c>
      <c r="AX255" s="10">
        <f t="shared" si="167"/>
        <v>0</v>
      </c>
      <c r="AY255" s="10">
        <f t="shared" si="189"/>
        <v>0</v>
      </c>
      <c r="AZ255" s="19" t="str">
        <f>IFERROR(IF($E255="REC",INDEX(A_Type_Volume!$B:$B,MATCH($D255,A_Type_Volume!$A:$A,0),1),IF($E255="VAM",INDEX(C_Type_Volume!$B:$B,MATCH($D255,C_Type_Volume!$A:$A,0),1),"X")),"")</f>
        <v/>
      </c>
      <c r="BA255" s="19" t="str">
        <f>IFERROR(IF($E255="REC",INDEX(A_Type_Volume!$C:$C,MATCH($D255,A_Type_Volume!$A:$A,0),1),IF($E255="VAM",INDEX(C_Type_Volume!$C:$C,MATCH($D255,C_Type_Volume!$A:$A,0),1),"X")),"")</f>
        <v/>
      </c>
      <c r="BB255" s="19" t="str">
        <f>IFERROR(IF($E255="REC",INDEX(A_Type_Volume!$D:$D,MATCH($D255,A_Type_Volume!$A:$A,0),1),IF($E255="VAM",INDEX(C_Type_Volume!$D:$D,MATCH($D255,C_Type_Volume!$A:$A,0),1),"X")),"")</f>
        <v/>
      </c>
      <c r="BC255" s="19" t="str">
        <f>IFERROR(IF($E255="REC",INDEX(A_Type_Volume!$E:$E,MATCH($D255,A_Type_Volume!$A:$A,0),1),IF($E255="VAM",INDEX(C_Type_Volume!$E:$E,MATCH($D255,C_Type_Volume!$A:$A,0),1),"X")),"")</f>
        <v/>
      </c>
      <c r="BD255" s="19" t="str">
        <f>IFERROR(IF($E255="REC",INDEX(A_Type_Volume!$F:$F,MATCH($D255,A_Type_Volume!$A:$A,0),1),IF($E255="VAM",INDEX(C_Type_Volume!$F:$F,MATCH($D255,C_Type_Volume!$A:$A,0),1),"X")),"")</f>
        <v/>
      </c>
      <c r="BE255" s="19" t="str">
        <f>IFERROR(IF($E255="REC",INDEX(A_Type_Volume!$G:$G,MATCH($D255,A_Type_Volume!$A:$A,0),1),IF($E255="VAM",INDEX(C_Type_Volume!$G:$G,MATCH($D255,C_Type_Volume!$A:$A,0),1),"X")),"")</f>
        <v/>
      </c>
      <c r="BF255" s="19" t="str">
        <f>IFERROR(IF($E255="REC",INDEX(A_Type_Volume!$H:$H,MATCH($D255,A_Type_Volume!$A:$A,0),1),IF($E255="VAM",INDEX(C_Type_Volume!$H:$H,MATCH($D255,C_Type_Volume!$A:$A,0),1),"X")),"")</f>
        <v/>
      </c>
      <c r="BG255" s="19" t="str">
        <f>IFERROR(IF($E255="REC",INDEX(A_Type_Volume!$I:$I,MATCH($D255,A_Type_Volume!$A:$A,0),1),IF($E255="VAM",INDEX(C_Type_Volume!$I:$I,MATCH($D255,C_Type_Volume!$A:$A,0),1),"X")),"")</f>
        <v/>
      </c>
      <c r="BH255" s="19" t="str">
        <f>IFERROR(IF($E255="REC",INDEX(A_Type_Volume!$J:$J,MATCH($D255,A_Type_Volume!$A:$A,0),1),IF($E255="VAM",INDEX(C_Type_Volume!$J:$J,MATCH($D255,C_Type_Volume!$A:$A,0),1),"X")),"")</f>
        <v/>
      </c>
      <c r="BI255" s="19" t="str">
        <f>IFERROR(IF($E255="REC",INDEX(A_Type_Volume!$K:$K,MATCH($D255,A_Type_Volume!$A:$A,0),1),IF($E255="VAM",INDEX(C_Type_Volume!$K:$K,MATCH($D255,C_Type_Volume!$A:$A,0),1),"X")),"")</f>
        <v/>
      </c>
      <c r="BJ255" s="19" t="str">
        <f>IFERROR(IF($E255="REC",INDEX(A_Type_Volume!$L:$L,MATCH($D255,A_Type_Volume!$A:$A,0),1),IF($E255="VAM",INDEX(C_Type_Volume!$L:$L,MATCH($D255,C_Type_Volume!$A:$A,0),1),"X")),"")</f>
        <v/>
      </c>
      <c r="BK255" s="19" t="str">
        <f>IFERROR(IF($E255="REC",INDEX(A_Type_Volume!M:M,MATCH($D255,A_Type_Volume!$A:$A,0),1),IF($E255="VAM",INDEX(C_Type_Volume!M:M,MATCH($D255,C_Type_Volume!$A:$A,0),1),"X")),"")</f>
        <v/>
      </c>
      <c r="BL255" s="38">
        <f>SUM(Table1[[#This Row],[Jan_AVF]:[Dec_AVF]])</f>
        <v>0</v>
      </c>
      <c r="BM255" s="16" t="e">
        <f t="shared" si="190"/>
        <v>#VALUE!</v>
      </c>
      <c r="BN255" s="16" t="e">
        <f t="shared" si="191"/>
        <v>#VALUE!</v>
      </c>
      <c r="BO255" s="16" t="e">
        <f t="shared" si="192"/>
        <v>#VALUE!</v>
      </c>
      <c r="BP255" s="16" t="e">
        <f t="shared" si="193"/>
        <v>#VALUE!</v>
      </c>
      <c r="BQ255" s="16" t="e">
        <f t="shared" si="194"/>
        <v>#VALUE!</v>
      </c>
      <c r="BR255" s="16" t="e">
        <f t="shared" si="195"/>
        <v>#VALUE!</v>
      </c>
      <c r="BS255" s="16" t="e">
        <f t="shared" si="196"/>
        <v>#VALUE!</v>
      </c>
      <c r="BT255" s="16" t="e">
        <f t="shared" si="197"/>
        <v>#VALUE!</v>
      </c>
      <c r="BU255" s="16" t="e">
        <f t="shared" si="198"/>
        <v>#VALUE!</v>
      </c>
      <c r="BV255" s="16" t="e">
        <f t="shared" si="199"/>
        <v>#VALUE!</v>
      </c>
      <c r="BW255" s="16" t="e">
        <f t="shared" si="200"/>
        <v>#VALUE!</v>
      </c>
      <c r="BX255" s="16" t="e">
        <f t="shared" si="201"/>
        <v>#VALUE!</v>
      </c>
      <c r="BY255" s="10" t="str">
        <f t="shared" si="168"/>
        <v/>
      </c>
      <c r="BZ255" s="10" t="str">
        <f t="shared" si="169"/>
        <v/>
      </c>
      <c r="CA255" s="10" t="str">
        <f t="shared" si="170"/>
        <v/>
      </c>
      <c r="CB255" s="10" t="str">
        <f t="shared" si="171"/>
        <v/>
      </c>
      <c r="CC255" s="10">
        <f>IFERROR(Table1[[#This Row],[Labor
Saving]]*Table1[[#This Row],[Annual Volume]],"")</f>
        <v>0</v>
      </c>
      <c r="CD255" s="10">
        <f>IFERROR(Table1[[#This Row],[Annual Volume]]*Table1[[#This Row],[Yield
Saving]],"")</f>
        <v>0</v>
      </c>
      <c r="CE255" s="10">
        <f>IFERROR(Table1[[#This Row],[Annual Volume]]*Table1[[#This Row],[Material
Saving]],"")</f>
        <v>0</v>
      </c>
      <c r="CF255" s="10">
        <f>IFERROR(Table1[[#This Row],[OH
Saving]]*Table1[[#This Row],[Annual Volume]],"")</f>
        <v>0</v>
      </c>
      <c r="CG255" s="10">
        <f>SUM(Table1[[#This Row],[Labor_ASV]:[OH_ASV]])</f>
        <v>0</v>
      </c>
    </row>
    <row r="256" spans="1:85" x14ac:dyDescent="0.3">
      <c r="A256" t="str">
        <f>Table1[[#This Row],[Project Name]]&amp;Table1[[#This Row],[Part Number]]</f>
        <v>Ti Target Thickness ReductionR46</v>
      </c>
      <c r="B256" t="str">
        <f>IFERROR(Table1[[#This Row],[Project Number]]&amp;Table1[[#This Row],[Part Number]],"")</f>
        <v>AME25-092R46</v>
      </c>
      <c r="C256" s="22" t="s">
        <v>139</v>
      </c>
      <c r="D256" s="24" t="s">
        <v>284</v>
      </c>
      <c r="E256" s="25" t="s">
        <v>58</v>
      </c>
      <c r="F256" s="6">
        <f>INDEX(Proj_Reg!G:G,MATCH($C256,Proj_Reg!$B:$B,0),1)</f>
        <v>45962</v>
      </c>
      <c r="G256" s="6">
        <f>INDEX(Proj_Reg!H:H,MATCH($C256,Proj_Reg!$B:$B,0),1)</f>
        <v>46296</v>
      </c>
      <c r="H256" s="6" t="str">
        <f>IF(INDEX(Proj_Reg!C:C,MATCH($C256,Proj_Reg!$B:$B,0),1)=0,"",INDEX(Proj_Reg!C:C,MATCH($C256,Proj_Reg!$B:$B,0),1))</f>
        <v>Sputtering</v>
      </c>
      <c r="I256" s="6" t="str">
        <f>IF(INDEX(Proj_Reg!D:D,MATCH($C256,Proj_Reg!$B:$B,0),1)=0,"",INDEX(Proj_Reg!D:D,MATCH($C256,Proj_Reg!$B:$B,0),1))</f>
        <v>XWP</v>
      </c>
      <c r="J256" s="6" t="str">
        <f>INDEX(Proj_Reg!E:E,MATCH($C256,Proj_Reg!$B:$B,0),1)</f>
        <v>Ti Target Thickness Reduction</v>
      </c>
      <c r="K256" s="21">
        <v>5.0038457877599985E-3</v>
      </c>
      <c r="L256" s="21">
        <v>0</v>
      </c>
      <c r="M256" s="21">
        <v>4.9673363878300304E-3</v>
      </c>
      <c r="N256" s="21">
        <v>0</v>
      </c>
      <c r="O256" s="11">
        <f>SUM(Table1[[#This Row],[Labor
Saving]:[OH
Saving]])</f>
        <v>9.9711821755900289E-3</v>
      </c>
      <c r="Q256" s="40">
        <f t="shared" si="152"/>
        <v>16526</v>
      </c>
      <c r="R256" s="40">
        <f t="shared" si="153"/>
        <v>18238</v>
      </c>
      <c r="S256" s="40">
        <f t="shared" si="154"/>
        <v>17363</v>
      </c>
      <c r="T256" s="40">
        <f t="shared" si="155"/>
        <v>16518</v>
      </c>
      <c r="U256" s="40">
        <f t="shared" si="156"/>
        <v>18697</v>
      </c>
      <c r="V256" s="40">
        <f t="shared" si="157"/>
        <v>19030</v>
      </c>
      <c r="W256" s="40">
        <f t="shared" si="158"/>
        <v>19094</v>
      </c>
      <c r="X256" s="40">
        <f t="shared" si="159"/>
        <v>12905</v>
      </c>
      <c r="Y256" s="40">
        <f t="shared" si="160"/>
        <v>13213</v>
      </c>
      <c r="Z256" s="40">
        <f t="shared" si="161"/>
        <v>13671</v>
      </c>
      <c r="AA256" s="40">
        <f t="shared" si="162"/>
        <v>0</v>
      </c>
      <c r="AB256" s="40">
        <f t="shared" si="163"/>
        <v>0</v>
      </c>
      <c r="AC256" s="37">
        <f>SUM(Table1[[#This Row],[Jan]:[Dec]])</f>
        <v>165255</v>
      </c>
      <c r="AD256" s="15">
        <f t="shared" si="172"/>
        <v>164.78375663380081</v>
      </c>
      <c r="AE256" s="15">
        <f t="shared" si="173"/>
        <v>181.85442051841096</v>
      </c>
      <c r="AF256" s="15">
        <f t="shared" si="174"/>
        <v>173.12963611476968</v>
      </c>
      <c r="AG256" s="15">
        <f t="shared" si="175"/>
        <v>164.70398717639611</v>
      </c>
      <c r="AH256" s="15">
        <f t="shared" si="176"/>
        <v>186.43119313700677</v>
      </c>
      <c r="AI256" s="15">
        <f t="shared" si="177"/>
        <v>189.75159680147826</v>
      </c>
      <c r="AJ256" s="15">
        <f t="shared" si="178"/>
        <v>190.38975246071601</v>
      </c>
      <c r="AK256" s="15">
        <f t="shared" si="179"/>
        <v>128.67810597598933</v>
      </c>
      <c r="AL256" s="15">
        <f t="shared" si="180"/>
        <v>131.74923008607107</v>
      </c>
      <c r="AM256" s="15">
        <f t="shared" si="181"/>
        <v>136.31603152249127</v>
      </c>
      <c r="AN256" s="15">
        <f t="shared" si="182"/>
        <v>0</v>
      </c>
      <c r="AO256" s="15">
        <f t="shared" si="183"/>
        <v>0</v>
      </c>
      <c r="AP256" s="10">
        <f t="shared" si="184"/>
        <v>519.76781326698142</v>
      </c>
      <c r="AQ256" s="10">
        <f t="shared" si="185"/>
        <v>540.88677711488117</v>
      </c>
      <c r="AR256" s="10">
        <f t="shared" si="186"/>
        <v>450.81708852277643</v>
      </c>
      <c r="AS256" s="10">
        <f t="shared" si="187"/>
        <v>136.31603152249127</v>
      </c>
      <c r="AT256" s="10" t="b">
        <f t="shared" si="188"/>
        <v>1</v>
      </c>
      <c r="AU256" s="10">
        <f t="shared" si="164"/>
        <v>826.91053565627851</v>
      </c>
      <c r="AV256" s="10">
        <f t="shared" si="165"/>
        <v>0</v>
      </c>
      <c r="AW256" s="10">
        <f t="shared" si="166"/>
        <v>820.87717477085164</v>
      </c>
      <c r="AX256" s="10">
        <f t="shared" si="167"/>
        <v>0</v>
      </c>
      <c r="AY256" s="10">
        <f t="shared" si="189"/>
        <v>1647.7877104271302</v>
      </c>
      <c r="AZ256" s="19">
        <f>IFERROR(IF($E256="REC",INDEX(A_Type_Volume!$B:$B,MATCH($D256,A_Type_Volume!$A:$A,0),1),IF($E256="VAM",INDEX(C_Type_Volume!$B:$B,MATCH($D256,C_Type_Volume!$A:$A,0),1),"X")),"")</f>
        <v>16526</v>
      </c>
      <c r="BA256" s="19">
        <f>IFERROR(IF($E256="REC",INDEX(A_Type_Volume!$C:$C,MATCH($D256,A_Type_Volume!$A:$A,0),1),IF($E256="VAM",INDEX(C_Type_Volume!$C:$C,MATCH($D256,C_Type_Volume!$A:$A,0),1),"X")),"")</f>
        <v>18238</v>
      </c>
      <c r="BB256" s="19">
        <f>IFERROR(IF($E256="REC",INDEX(A_Type_Volume!$D:$D,MATCH($D256,A_Type_Volume!$A:$A,0),1),IF($E256="VAM",INDEX(C_Type_Volume!$D:$D,MATCH($D256,C_Type_Volume!$A:$A,0),1),"X")),"")</f>
        <v>17363</v>
      </c>
      <c r="BC256" s="19">
        <f>IFERROR(IF($E256="REC",INDEX(A_Type_Volume!$E:$E,MATCH($D256,A_Type_Volume!$A:$A,0),1),IF($E256="VAM",INDEX(C_Type_Volume!$E:$E,MATCH($D256,C_Type_Volume!$A:$A,0),1),"X")),"")</f>
        <v>16518</v>
      </c>
      <c r="BD256" s="19">
        <f>IFERROR(IF($E256="REC",INDEX(A_Type_Volume!$F:$F,MATCH($D256,A_Type_Volume!$A:$A,0),1),IF($E256="VAM",INDEX(C_Type_Volume!$F:$F,MATCH($D256,C_Type_Volume!$A:$A,0),1),"X")),"")</f>
        <v>18697</v>
      </c>
      <c r="BE256" s="19">
        <f>IFERROR(IF($E256="REC",INDEX(A_Type_Volume!$G:$G,MATCH($D256,A_Type_Volume!$A:$A,0),1),IF($E256="VAM",INDEX(C_Type_Volume!$G:$G,MATCH($D256,C_Type_Volume!$A:$A,0),1),"X")),"")</f>
        <v>19030</v>
      </c>
      <c r="BF256" s="19">
        <f>IFERROR(IF($E256="REC",INDEX(A_Type_Volume!$H:$H,MATCH($D256,A_Type_Volume!$A:$A,0),1),IF($E256="VAM",INDEX(C_Type_Volume!$H:$H,MATCH($D256,C_Type_Volume!$A:$A,0),1),"X")),"")</f>
        <v>19094</v>
      </c>
      <c r="BG256" s="19">
        <f>IFERROR(IF($E256="REC",INDEX(A_Type_Volume!$I:$I,MATCH($D256,A_Type_Volume!$A:$A,0),1),IF($E256="VAM",INDEX(C_Type_Volume!$I:$I,MATCH($D256,C_Type_Volume!$A:$A,0),1),"X")),"")</f>
        <v>12905</v>
      </c>
      <c r="BH256" s="19">
        <f>IFERROR(IF($E256="REC",INDEX(A_Type_Volume!$J:$J,MATCH($D256,A_Type_Volume!$A:$A,0),1),IF($E256="VAM",INDEX(C_Type_Volume!$J:$J,MATCH($D256,C_Type_Volume!$A:$A,0),1),"X")),"")</f>
        <v>13213</v>
      </c>
      <c r="BI256" s="19">
        <f>IFERROR(IF($E256="REC",INDEX(A_Type_Volume!$K:$K,MATCH($D256,A_Type_Volume!$A:$A,0),1),IF($E256="VAM",INDEX(C_Type_Volume!$K:$K,MATCH($D256,C_Type_Volume!$A:$A,0),1),"X")),"")</f>
        <v>13671</v>
      </c>
      <c r="BJ256" s="19">
        <f>IFERROR(IF($E256="REC",INDEX(A_Type_Volume!$L:$L,MATCH($D256,A_Type_Volume!$A:$A,0),1),IF($E256="VAM",INDEX(C_Type_Volume!$L:$L,MATCH($D256,C_Type_Volume!$A:$A,0),1),"X")),"")</f>
        <v>12303</v>
      </c>
      <c r="BK256" s="19">
        <f>IFERROR(IF($E256="REC",INDEX(A_Type_Volume!M:M,MATCH($D256,A_Type_Volume!$A:$A,0),1),IF($E256="VAM",INDEX(C_Type_Volume!M:M,MATCH($D256,C_Type_Volume!$A:$A,0),1),"X")),"")</f>
        <v>9704</v>
      </c>
      <c r="BL256" s="38">
        <f>SUM(Table1[[#This Row],[Jan_AVF]:[Dec_AVF]])</f>
        <v>187262</v>
      </c>
      <c r="BM256" s="16">
        <f t="shared" si="190"/>
        <v>164.78375663380081</v>
      </c>
      <c r="BN256" s="16">
        <f t="shared" si="191"/>
        <v>181.85442051841096</v>
      </c>
      <c r="BO256" s="16">
        <f t="shared" si="192"/>
        <v>173.12963611476968</v>
      </c>
      <c r="BP256" s="16">
        <f t="shared" si="193"/>
        <v>164.70398717639611</v>
      </c>
      <c r="BQ256" s="16">
        <f t="shared" si="194"/>
        <v>186.43119313700677</v>
      </c>
      <c r="BR256" s="16">
        <f t="shared" si="195"/>
        <v>189.75159680147826</v>
      </c>
      <c r="BS256" s="16">
        <f t="shared" si="196"/>
        <v>190.38975246071601</v>
      </c>
      <c r="BT256" s="16">
        <f t="shared" si="197"/>
        <v>128.67810597598933</v>
      </c>
      <c r="BU256" s="16">
        <f t="shared" si="198"/>
        <v>131.74923008607107</v>
      </c>
      <c r="BV256" s="16">
        <f t="shared" si="199"/>
        <v>136.31603152249127</v>
      </c>
      <c r="BW256" s="16">
        <f t="shared" si="200"/>
        <v>122.67545430628412</v>
      </c>
      <c r="BX256" s="16">
        <f t="shared" si="201"/>
        <v>96.760351831925647</v>
      </c>
      <c r="BY256" s="10">
        <f t="shared" si="168"/>
        <v>519.76781326698142</v>
      </c>
      <c r="BZ256" s="10">
        <f t="shared" si="169"/>
        <v>540.88677711488117</v>
      </c>
      <c r="CA256" s="10">
        <f t="shared" si="170"/>
        <v>450.81708852277643</v>
      </c>
      <c r="CB256" s="10">
        <f t="shared" si="171"/>
        <v>355.75183766070109</v>
      </c>
      <c r="CC256" s="10">
        <f>IFERROR(Table1[[#This Row],[Labor
Saving]]*Table1[[#This Row],[Annual Volume]],"")</f>
        <v>937.0301699075128</v>
      </c>
      <c r="CD256" s="10">
        <f>IFERROR(Table1[[#This Row],[Annual Volume]]*Table1[[#This Row],[Yield
Saving]],"")</f>
        <v>0</v>
      </c>
      <c r="CE256" s="10">
        <f>IFERROR(Table1[[#This Row],[Annual Volume]]*Table1[[#This Row],[Material
Saving]],"")</f>
        <v>930.19334665782719</v>
      </c>
      <c r="CF256" s="10">
        <f>IFERROR(Table1[[#This Row],[OH
Saving]]*Table1[[#This Row],[Annual Volume]],"")</f>
        <v>0</v>
      </c>
      <c r="CG256" s="10">
        <f>SUM(Table1[[#This Row],[Labor_ASV]:[OH_ASV]])</f>
        <v>1867.2235165653401</v>
      </c>
    </row>
    <row r="257" spans="1:85" x14ac:dyDescent="0.3">
      <c r="A257" t="str">
        <f>Table1[[#This Row],[Project Name]]&amp;Table1[[#This Row],[Part Number]]</f>
        <v>TiW Target Thickness ReductionR147</v>
      </c>
      <c r="B257" t="str">
        <f>IFERROR(Table1[[#This Row],[Project Number]]&amp;Table1[[#This Row],[Part Number]],"")</f>
        <v>AME25-093R147</v>
      </c>
      <c r="C257" s="22" t="s">
        <v>140</v>
      </c>
      <c r="D257" s="24" t="s">
        <v>385</v>
      </c>
      <c r="E257" s="25" t="s">
        <v>58</v>
      </c>
      <c r="F257" s="6">
        <f>INDEX(Proj_Reg!G:G,MATCH($C257,Proj_Reg!$B:$B,0),1)</f>
        <v>45962</v>
      </c>
      <c r="G257" s="6">
        <f>INDEX(Proj_Reg!H:H,MATCH($C257,Proj_Reg!$B:$B,0),1)</f>
        <v>46296</v>
      </c>
      <c r="H257" s="6" t="str">
        <f>IF(INDEX(Proj_Reg!C:C,MATCH($C257,Proj_Reg!$B:$B,0),1)=0,"",INDEX(Proj_Reg!C:C,MATCH($C257,Proj_Reg!$B:$B,0),1))</f>
        <v>Sputtering</v>
      </c>
      <c r="I257" s="6" t="str">
        <f>IF(INDEX(Proj_Reg!D:D,MATCH($C257,Proj_Reg!$B:$B,0),1)=0,"",INDEX(Proj_Reg!D:D,MATCH($C257,Proj_Reg!$B:$B,0),1))</f>
        <v>XWP</v>
      </c>
      <c r="J257" s="6" t="str">
        <f>INDEX(Proj_Reg!E:E,MATCH($C257,Proj_Reg!$B:$B,0),1)</f>
        <v>TiW Target Thickness Reduction</v>
      </c>
      <c r="K257" s="21">
        <v>5.0038457877599985E-3</v>
      </c>
      <c r="L257" s="21">
        <v>0</v>
      </c>
      <c r="M257" s="21">
        <v>4.9673363878300304E-3</v>
      </c>
      <c r="N257" s="21">
        <v>0</v>
      </c>
      <c r="O257" s="11">
        <f>SUM(Table1[[#This Row],[Labor
Saving]:[OH
Saving]])</f>
        <v>9.9711821755900289E-3</v>
      </c>
      <c r="Q257" s="40">
        <f t="shared" ref="Q257:Q277" si="202">IFERROR(IF($F257=Q$1,0.3,IF(AND(Q$1&gt;$F257,Q$1&lt;=$G257),100%,0))*AZ257,"")</f>
        <v>22189</v>
      </c>
      <c r="R257" s="40">
        <f t="shared" ref="R257:R277" si="203">IFERROR(IF($F257=R$1,0.3,IF(AND(R$1&gt;$F257,R$1&lt;=$G257),100%,0))*BA257,"")</f>
        <v>5213</v>
      </c>
      <c r="S257" s="40">
        <f t="shared" ref="S257:S277" si="204">IFERROR(IF($F257=S$1,0.3,IF(AND(S$1&gt;$F257,S$1&lt;=$G257),100%,0))*BB257,"")</f>
        <v>19411</v>
      </c>
      <c r="T257" s="40">
        <f t="shared" ref="T257:T277" si="205">IFERROR(IF($F257=T$1,0.3,IF(AND(T$1&gt;$F257,T$1&lt;=$G257),100%,0))*BC257,"")</f>
        <v>13129</v>
      </c>
      <c r="U257" s="40">
        <f t="shared" ref="U257:U277" si="206">IFERROR(IF($F257=U$1,0.3,IF(AND(U$1&gt;$F257,U$1&lt;=$G257),100%,0))*BD257,"")</f>
        <v>19303</v>
      </c>
      <c r="V257" s="40">
        <f t="shared" ref="V257:V277" si="207">IFERROR(IF($F257=V$1,0.3,IF(AND(V$1&gt;$F257,V$1&lt;=$G257),100%,0))*BE257,"")</f>
        <v>23136</v>
      </c>
      <c r="W257" s="40">
        <f t="shared" ref="W257:W277" si="208">IFERROR(IF($F257=W$1,0.3,IF(AND(W$1&gt;$F257,W$1&lt;=$G257),100%,0))*BF257,"")</f>
        <v>23504</v>
      </c>
      <c r="X257" s="40">
        <f t="shared" ref="X257:X277" si="209">IFERROR(IF($F257=X$1,0.3,IF(AND(X$1&gt;$F257,X$1&lt;=$G257),100%,0))*BG257,"")</f>
        <v>18684</v>
      </c>
      <c r="Y257" s="40">
        <f t="shared" ref="Y257:Y319" si="210">IFERROR(IF($F257=Y$1,0.7,IF(AND(Y$1&gt;$F257,Y$1&lt;=$G257),100%,0))*BH257,"")</f>
        <v>19769</v>
      </c>
      <c r="Z257" s="40">
        <f t="shared" ref="Z257:Z277" si="211">IFERROR(IF($F257=Z$1,0.3,IF(AND(Z$1&gt;$F257,Z$1&lt;=$G257),100%,0))*BI257,"")</f>
        <v>18235</v>
      </c>
      <c r="AA257" s="40">
        <f t="shared" ref="AA257:AA277" si="212">IFERROR(IF($F257=AA$1,0.3,IF(AND(AA$1&gt;$F257,AA$1&lt;=$G257),100%,0))*BJ257,"")</f>
        <v>0</v>
      </c>
      <c r="AB257" s="40">
        <f t="shared" ref="AB257:AB277" si="213">IFERROR(IF($F257=AB$1,0.3,IF(AND(AB$1&gt;$F257,AB$1&lt;=$G257),100%,0))*BK257,"")</f>
        <v>0</v>
      </c>
      <c r="AC257" s="37">
        <f>SUM(Table1[[#This Row],[Jan]:[Dec]])</f>
        <v>182573</v>
      </c>
      <c r="AD257" s="15">
        <f t="shared" si="172"/>
        <v>221.25056129416714</v>
      </c>
      <c r="AE257" s="15">
        <f t="shared" si="173"/>
        <v>51.979772681350823</v>
      </c>
      <c r="AF257" s="15">
        <f t="shared" si="174"/>
        <v>193.55061721037805</v>
      </c>
      <c r="AG257" s="15">
        <f t="shared" si="175"/>
        <v>130.91165078332148</v>
      </c>
      <c r="AH257" s="15">
        <f t="shared" si="176"/>
        <v>192.47372953541432</v>
      </c>
      <c r="AI257" s="15">
        <f t="shared" si="177"/>
        <v>230.6932708144509</v>
      </c>
      <c r="AJ257" s="15">
        <f t="shared" si="178"/>
        <v>234.36266585506803</v>
      </c>
      <c r="AK257" s="15">
        <f t="shared" si="179"/>
        <v>186.30156776872411</v>
      </c>
      <c r="AL257" s="15">
        <f t="shared" si="180"/>
        <v>197.12030042923928</v>
      </c>
      <c r="AM257" s="15">
        <f t="shared" si="181"/>
        <v>181.82450697188418</v>
      </c>
      <c r="AN257" s="15">
        <f t="shared" si="182"/>
        <v>0</v>
      </c>
      <c r="AO257" s="15">
        <f t="shared" si="183"/>
        <v>0</v>
      </c>
      <c r="AP257" s="10">
        <f t="shared" si="184"/>
        <v>466.78095118589601</v>
      </c>
      <c r="AQ257" s="10">
        <f t="shared" si="185"/>
        <v>554.07865113318667</v>
      </c>
      <c r="AR257" s="10">
        <f t="shared" si="186"/>
        <v>617.78453405303139</v>
      </c>
      <c r="AS257" s="10">
        <f t="shared" si="187"/>
        <v>181.82450697188418</v>
      </c>
      <c r="AT257" s="10" t="b">
        <f t="shared" si="188"/>
        <v>1</v>
      </c>
      <c r="AU257" s="10">
        <f t="shared" ref="AU257:AU277" si="214">IFERROR(K257*SUM($Q257:$AB257),"")</f>
        <v>913.56713700870625</v>
      </c>
      <c r="AV257" s="10">
        <f t="shared" ref="AV257:AV277" si="215">IFERROR(L257*SUM($Q257:$AB257),"")</f>
        <v>0</v>
      </c>
      <c r="AW257" s="10">
        <f t="shared" ref="AW257:AW277" si="216">IFERROR(M257*SUM($Q257:$AB257),"")</f>
        <v>906.90150633529208</v>
      </c>
      <c r="AX257" s="10">
        <f t="shared" ref="AX257:AX277" si="217">IFERROR(N257*SUM($Q257:$AB257),"")</f>
        <v>0</v>
      </c>
      <c r="AY257" s="10">
        <f t="shared" si="189"/>
        <v>1820.4686433439983</v>
      </c>
      <c r="AZ257" s="19">
        <f>IFERROR(IF($E257="REC",INDEX(A_Type_Volume!$B:$B,MATCH($D257,A_Type_Volume!$A:$A,0),1),IF($E257="VAM",INDEX(C_Type_Volume!$B:$B,MATCH($D257,C_Type_Volume!$A:$A,0),1),"X")),"")</f>
        <v>22189</v>
      </c>
      <c r="BA257" s="19">
        <f>IFERROR(IF($E257="REC",INDEX(A_Type_Volume!$C:$C,MATCH($D257,A_Type_Volume!$A:$A,0),1),IF($E257="VAM",INDEX(C_Type_Volume!$C:$C,MATCH($D257,C_Type_Volume!$A:$A,0),1),"X")),"")</f>
        <v>5213</v>
      </c>
      <c r="BB257" s="19">
        <f>IFERROR(IF($E257="REC",INDEX(A_Type_Volume!$D:$D,MATCH($D257,A_Type_Volume!$A:$A,0),1),IF($E257="VAM",INDEX(C_Type_Volume!$D:$D,MATCH($D257,C_Type_Volume!$A:$A,0),1),"X")),"")</f>
        <v>19411</v>
      </c>
      <c r="BC257" s="19">
        <f>IFERROR(IF($E257="REC",INDEX(A_Type_Volume!$E:$E,MATCH($D257,A_Type_Volume!$A:$A,0),1),IF($E257="VAM",INDEX(C_Type_Volume!$E:$E,MATCH($D257,C_Type_Volume!$A:$A,0),1),"X")),"")</f>
        <v>13129</v>
      </c>
      <c r="BD257" s="19">
        <f>IFERROR(IF($E257="REC",INDEX(A_Type_Volume!$F:$F,MATCH($D257,A_Type_Volume!$A:$A,0),1),IF($E257="VAM",INDEX(C_Type_Volume!$F:$F,MATCH($D257,C_Type_Volume!$A:$A,0),1),"X")),"")</f>
        <v>19303</v>
      </c>
      <c r="BE257" s="19">
        <f>IFERROR(IF($E257="REC",INDEX(A_Type_Volume!$G:$G,MATCH($D257,A_Type_Volume!$A:$A,0),1),IF($E257="VAM",INDEX(C_Type_Volume!$G:$G,MATCH($D257,C_Type_Volume!$A:$A,0),1),"X")),"")</f>
        <v>23136</v>
      </c>
      <c r="BF257" s="19">
        <f>IFERROR(IF($E257="REC",INDEX(A_Type_Volume!$H:$H,MATCH($D257,A_Type_Volume!$A:$A,0),1),IF($E257="VAM",INDEX(C_Type_Volume!$H:$H,MATCH($D257,C_Type_Volume!$A:$A,0),1),"X")),"")</f>
        <v>23504</v>
      </c>
      <c r="BG257" s="19">
        <f>IFERROR(IF($E257="REC",INDEX(A_Type_Volume!$I:$I,MATCH($D257,A_Type_Volume!$A:$A,0),1),IF($E257="VAM",INDEX(C_Type_Volume!$I:$I,MATCH($D257,C_Type_Volume!$A:$A,0),1),"X")),"")</f>
        <v>18684</v>
      </c>
      <c r="BH257" s="19">
        <f>IFERROR(IF($E257="REC",INDEX(A_Type_Volume!$J:$J,MATCH($D257,A_Type_Volume!$A:$A,0),1),IF($E257="VAM",INDEX(C_Type_Volume!$J:$J,MATCH($D257,C_Type_Volume!$A:$A,0),1),"X")),"")</f>
        <v>19769</v>
      </c>
      <c r="BI257" s="19">
        <f>IFERROR(IF($E257="REC",INDEX(A_Type_Volume!$K:$K,MATCH($D257,A_Type_Volume!$A:$A,0),1),IF($E257="VAM",INDEX(C_Type_Volume!$K:$K,MATCH($D257,C_Type_Volume!$A:$A,0),1),"X")),"")</f>
        <v>18235</v>
      </c>
      <c r="BJ257" s="19">
        <f>IFERROR(IF($E257="REC",INDEX(A_Type_Volume!$L:$L,MATCH($D257,A_Type_Volume!$A:$A,0),1),IF($E257="VAM",INDEX(C_Type_Volume!$L:$L,MATCH($D257,C_Type_Volume!$A:$A,0),1),"X")),"")</f>
        <v>18922</v>
      </c>
      <c r="BK257" s="19">
        <f>IFERROR(IF($E257="REC",INDEX(A_Type_Volume!M:M,MATCH($D257,A_Type_Volume!$A:$A,0),1),IF($E257="VAM",INDEX(C_Type_Volume!M:M,MATCH($D257,C_Type_Volume!$A:$A,0),1),"X")),"")</f>
        <v>14977</v>
      </c>
      <c r="BL257" s="38">
        <f>SUM(Table1[[#This Row],[Jan_AVF]:[Dec_AVF]])</f>
        <v>216472</v>
      </c>
      <c r="BM257" s="16">
        <f t="shared" si="190"/>
        <v>221.25056129416714</v>
      </c>
      <c r="BN257" s="16">
        <f t="shared" si="191"/>
        <v>51.979772681350823</v>
      </c>
      <c r="BO257" s="16">
        <f t="shared" si="192"/>
        <v>193.55061721037805</v>
      </c>
      <c r="BP257" s="16">
        <f t="shared" si="193"/>
        <v>130.91165078332148</v>
      </c>
      <c r="BQ257" s="16">
        <f t="shared" si="194"/>
        <v>192.47372953541432</v>
      </c>
      <c r="BR257" s="16">
        <f t="shared" si="195"/>
        <v>230.6932708144509</v>
      </c>
      <c r="BS257" s="16">
        <f t="shared" si="196"/>
        <v>234.36266585506803</v>
      </c>
      <c r="BT257" s="16">
        <f t="shared" si="197"/>
        <v>186.30156776872411</v>
      </c>
      <c r="BU257" s="16">
        <f t="shared" si="198"/>
        <v>197.12030042923928</v>
      </c>
      <c r="BV257" s="16">
        <f t="shared" si="199"/>
        <v>181.82450697188418</v>
      </c>
      <c r="BW257" s="16">
        <f t="shared" si="200"/>
        <v>188.67470912651453</v>
      </c>
      <c r="BX257" s="16">
        <f t="shared" si="201"/>
        <v>149.33839544381186</v>
      </c>
      <c r="BY257" s="10">
        <f t="shared" ref="BY257:BY277" si="218">IFERROR(SUM(BM257:BO257),"")</f>
        <v>466.78095118589601</v>
      </c>
      <c r="BZ257" s="10">
        <f t="shared" ref="BZ257:BZ277" si="219">IFERROR(SUM(BP257:BR257),"")</f>
        <v>554.07865113318667</v>
      </c>
      <c r="CA257" s="10">
        <f t="shared" ref="CA257:CA277" si="220">IFERROR(SUM(BS257:BU257),"")</f>
        <v>617.78453405303139</v>
      </c>
      <c r="CB257" s="10">
        <f t="shared" ref="CB257:CB277" si="221">IFERROR(SUM(BV257:BX257),"")</f>
        <v>519.83761154221065</v>
      </c>
      <c r="CC257" s="10">
        <f>IFERROR(Table1[[#This Row],[Labor
Saving]]*Table1[[#This Row],[Annual Volume]],"")</f>
        <v>1083.1925053679824</v>
      </c>
      <c r="CD257" s="10">
        <f>IFERROR(Table1[[#This Row],[Annual Volume]]*Table1[[#This Row],[Yield
Saving]],"")</f>
        <v>0</v>
      </c>
      <c r="CE257" s="10">
        <f>IFERROR(Table1[[#This Row],[Annual Volume]]*Table1[[#This Row],[Material
Saving]],"")</f>
        <v>1075.2892425463424</v>
      </c>
      <c r="CF257" s="10">
        <f>IFERROR(Table1[[#This Row],[OH
Saving]]*Table1[[#This Row],[Annual Volume]],"")</f>
        <v>0</v>
      </c>
      <c r="CG257" s="10">
        <f>SUM(Table1[[#This Row],[Labor_ASV]:[OH_ASV]])</f>
        <v>2158.4817479143248</v>
      </c>
    </row>
    <row r="258" spans="1:85" x14ac:dyDescent="0.3">
      <c r="A258" t="str">
        <f>Table1[[#This Row],[Project Name]]&amp;Table1[[#This Row],[Part Number]]</f>
        <v>Aut Visual 2V7</v>
      </c>
      <c r="B258" t="str">
        <f>IFERROR(Table1[[#This Row],[Project Number]]&amp;Table1[[#This Row],[Part Number]],"")</f>
        <v>AME25-066V7</v>
      </c>
      <c r="C258" s="22" t="s">
        <v>113</v>
      </c>
      <c r="D258" s="24" t="s">
        <v>219</v>
      </c>
      <c r="E258" s="25" t="s">
        <v>60</v>
      </c>
      <c r="F258" s="6">
        <f>INDEX(Proj_Reg!G:G,MATCH($C258,Proj_Reg!$B:$B,0),1)</f>
        <v>46174</v>
      </c>
      <c r="G258" s="6">
        <f>INDEX(Proj_Reg!H:H,MATCH($C258,Proj_Reg!$B:$B,0),1)</f>
        <v>46508</v>
      </c>
      <c r="H258" s="6" t="str">
        <f>IF(INDEX(Proj_Reg!C:C,MATCH($C258,Proj_Reg!$B:$B,0),1)=0,"",INDEX(Proj_Reg!C:C,MATCH($C258,Proj_Reg!$B:$B,0),1))</f>
        <v>Visual Inspection</v>
      </c>
      <c r="I258" s="6" t="str">
        <f>IF(INDEX(Proj_Reg!D:D,MATCH($C258,Proj_Reg!$B:$B,0),1)=0,"",INDEX(Proj_Reg!D:D,MATCH($C258,Proj_Reg!$B:$B,0),1))</f>
        <v>XCI</v>
      </c>
      <c r="J258" s="6" t="str">
        <f>INDEX(Proj_Reg!E:E,MATCH($C258,Proj_Reg!$B:$B,0),1)</f>
        <v>Aut Visual 2</v>
      </c>
      <c r="K258" s="21">
        <v>1.1175645879359999E-2</v>
      </c>
      <c r="L258" s="21">
        <v>0</v>
      </c>
      <c r="M258" s="21">
        <v>1.1094105371880002E-2</v>
      </c>
      <c r="N258" s="21">
        <v>0</v>
      </c>
      <c r="O258" s="11">
        <f>SUM(Table1[[#This Row],[Labor
Saving]:[OH
Saving]])</f>
        <v>2.2269751251240002E-2</v>
      </c>
      <c r="Q258" s="40">
        <f t="shared" si="202"/>
        <v>0</v>
      </c>
      <c r="R258" s="40">
        <f t="shared" si="203"/>
        <v>0</v>
      </c>
      <c r="S258" s="40">
        <f t="shared" si="204"/>
        <v>0</v>
      </c>
      <c r="T258" s="40">
        <f t="shared" si="205"/>
        <v>0</v>
      </c>
      <c r="U258" s="40">
        <f t="shared" si="206"/>
        <v>0</v>
      </c>
      <c r="V258" s="40">
        <f t="shared" si="207"/>
        <v>5271.5999999999995</v>
      </c>
      <c r="W258" s="40">
        <f t="shared" si="208"/>
        <v>23726</v>
      </c>
      <c r="X258" s="40">
        <f t="shared" si="209"/>
        <v>22908</v>
      </c>
      <c r="Y258" s="40">
        <f t="shared" si="210"/>
        <v>23726</v>
      </c>
      <c r="Z258" s="40">
        <f t="shared" si="211"/>
        <v>24983</v>
      </c>
      <c r="AA258" s="40">
        <f t="shared" si="212"/>
        <v>22565</v>
      </c>
      <c r="AB258" s="40">
        <f t="shared" si="213"/>
        <v>20148</v>
      </c>
      <c r="AC258" s="37">
        <f>SUM(Table1[[#This Row],[Jan]:[Dec]])</f>
        <v>143327.6</v>
      </c>
      <c r="AD258" s="15">
        <f t="shared" ref="AD258:AD277" si="222">IFERROR($O258*Q258,"")</f>
        <v>0</v>
      </c>
      <c r="AE258" s="15">
        <f t="shared" ref="AE258:AE277" si="223">IFERROR($O258*R258,"")</f>
        <v>0</v>
      </c>
      <c r="AF258" s="15">
        <f t="shared" ref="AF258:AF277" si="224">IFERROR($O258*S258,"")</f>
        <v>0</v>
      </c>
      <c r="AG258" s="15">
        <f t="shared" ref="AG258:AG277" si="225">IFERROR($O258*T258,"")</f>
        <v>0</v>
      </c>
      <c r="AH258" s="15">
        <f t="shared" ref="AH258:AH277" si="226">IFERROR($O258*U258,"")</f>
        <v>0</v>
      </c>
      <c r="AI258" s="15">
        <f t="shared" ref="AI258:AI277" si="227">IFERROR($O258*V258,"")</f>
        <v>117.39722069603678</v>
      </c>
      <c r="AJ258" s="15">
        <f t="shared" ref="AJ258:AJ277" si="228">IFERROR($O258*W258,"")</f>
        <v>528.37211818692026</v>
      </c>
      <c r="AK258" s="15">
        <f t="shared" ref="AK258:AK277" si="229">IFERROR($O258*X258,"")</f>
        <v>510.15546166340596</v>
      </c>
      <c r="AL258" s="15">
        <f t="shared" ref="AL258:AL277" si="230">IFERROR($O258*Y258,"")</f>
        <v>528.37211818692026</v>
      </c>
      <c r="AM258" s="15">
        <f t="shared" ref="AM258:AM277" si="231">IFERROR($O258*Z258,"")</f>
        <v>556.36519550972901</v>
      </c>
      <c r="AN258" s="15">
        <f t="shared" ref="AN258:AN277" si="232">IFERROR($O258*AA258,"")</f>
        <v>502.51693698423065</v>
      </c>
      <c r="AO258" s="15">
        <f t="shared" ref="AO258:AO277" si="233">IFERROR($O258*AB258,"")</f>
        <v>448.69094820998356</v>
      </c>
      <c r="AP258" s="10">
        <f t="shared" ref="AP258:AP277" si="234">SUM(AD258:AF258)</f>
        <v>0</v>
      </c>
      <c r="AQ258" s="10">
        <f t="shared" ref="AQ258:AQ277" si="235">SUM(AG258:AI258)</f>
        <v>117.39722069603678</v>
      </c>
      <c r="AR258" s="10">
        <f t="shared" ref="AR258:AR277" si="236">SUM(AJ258:AL258)</f>
        <v>1566.8996980372465</v>
      </c>
      <c r="AS258" s="10">
        <f t="shared" ref="AS258:AS277" si="237">SUM(AM258:AO258)</f>
        <v>1507.5730807039433</v>
      </c>
      <c r="AT258" s="10" t="b">
        <f t="shared" ref="AT258:AT277" si="238">SUM(AD258:AO258)=SUM(AP258:AS258)</f>
        <v>1</v>
      </c>
      <c r="AU258" s="10">
        <f t="shared" si="214"/>
        <v>1601.7785023385584</v>
      </c>
      <c r="AV258" s="10">
        <f t="shared" si="215"/>
        <v>0</v>
      </c>
      <c r="AW258" s="10">
        <f t="shared" si="216"/>
        <v>1590.0914970986682</v>
      </c>
      <c r="AX258" s="10">
        <f t="shared" si="217"/>
        <v>0</v>
      </c>
      <c r="AY258" s="10">
        <f t="shared" ref="AY258:AY277" si="239">SUM(AU258:AX258)</f>
        <v>3191.8699994372264</v>
      </c>
      <c r="AZ258" s="19">
        <f>IFERROR(IF($E258="REC",INDEX(A_Type_Volume!$B:$B,MATCH($D258,A_Type_Volume!$A:$A,0),1),IF($E258="VAM",INDEX(C_Type_Volume!$B:$B,MATCH($D258,C_Type_Volume!$A:$A,0),1),"X")),"")</f>
        <v>0</v>
      </c>
      <c r="BA258" s="19">
        <f>IFERROR(IF($E258="REC",INDEX(A_Type_Volume!$C:$C,MATCH($D258,A_Type_Volume!$A:$A,0),1),IF($E258="VAM",INDEX(C_Type_Volume!$C:$C,MATCH($D258,C_Type_Volume!$A:$A,0),1),"X")),"")</f>
        <v>33412</v>
      </c>
      <c r="BB258" s="19">
        <f>IFERROR(IF($E258="REC",INDEX(A_Type_Volume!$D:$D,MATCH($D258,A_Type_Volume!$A:$A,0),1),IF($E258="VAM",INDEX(C_Type_Volume!$D:$D,MATCH($D258,C_Type_Volume!$A:$A,0),1),"X")),"")</f>
        <v>0</v>
      </c>
      <c r="BC258" s="19">
        <f>IFERROR(IF($E258="REC",INDEX(A_Type_Volume!$E:$E,MATCH($D258,A_Type_Volume!$A:$A,0),1),IF($E258="VAM",INDEX(C_Type_Volume!$E:$E,MATCH($D258,C_Type_Volume!$A:$A,0),1),"X")),"")</f>
        <v>15689</v>
      </c>
      <c r="BD258" s="19">
        <f>IFERROR(IF($E258="REC",INDEX(A_Type_Volume!$F:$F,MATCH($D258,A_Type_Volume!$A:$A,0),1),IF($E258="VAM",INDEX(C_Type_Volume!$F:$F,MATCH($D258,C_Type_Volume!$A:$A,0),1),"X")),"")</f>
        <v>18199</v>
      </c>
      <c r="BE258" s="19">
        <f>IFERROR(IF($E258="REC",INDEX(A_Type_Volume!$G:$G,MATCH($D258,A_Type_Volume!$A:$A,0),1),IF($E258="VAM",INDEX(C_Type_Volume!$G:$G,MATCH($D258,C_Type_Volume!$A:$A,0),1),"X")),"")</f>
        <v>17572</v>
      </c>
      <c r="BF258" s="19">
        <f>IFERROR(IF($E258="REC",INDEX(A_Type_Volume!$H:$H,MATCH($D258,A_Type_Volume!$A:$A,0),1),IF($E258="VAM",INDEX(C_Type_Volume!$H:$H,MATCH($D258,C_Type_Volume!$A:$A,0),1),"X")),"")</f>
        <v>23726</v>
      </c>
      <c r="BG258" s="19">
        <f>IFERROR(IF($E258="REC",INDEX(A_Type_Volume!$I:$I,MATCH($D258,A_Type_Volume!$A:$A,0),1),IF($E258="VAM",INDEX(C_Type_Volume!$I:$I,MATCH($D258,C_Type_Volume!$A:$A,0),1),"X")),"")</f>
        <v>22908</v>
      </c>
      <c r="BH258" s="19">
        <f>IFERROR(IF($E258="REC",INDEX(A_Type_Volume!$J:$J,MATCH($D258,A_Type_Volume!$A:$A,0),1),IF($E258="VAM",INDEX(C_Type_Volume!$J:$J,MATCH($D258,C_Type_Volume!$A:$A,0),1),"X")),"")</f>
        <v>23726</v>
      </c>
      <c r="BI258" s="19">
        <f>IFERROR(IF($E258="REC",INDEX(A_Type_Volume!$K:$K,MATCH($D258,A_Type_Volume!$A:$A,0),1),IF($E258="VAM",INDEX(C_Type_Volume!$K:$K,MATCH($D258,C_Type_Volume!$A:$A,0),1),"X")),"")</f>
        <v>24983</v>
      </c>
      <c r="BJ258" s="19">
        <f>IFERROR(IF($E258="REC",INDEX(A_Type_Volume!$L:$L,MATCH($D258,A_Type_Volume!$A:$A,0),1),IF($E258="VAM",INDEX(C_Type_Volume!$L:$L,MATCH($D258,C_Type_Volume!$A:$A,0),1),"X")),"")</f>
        <v>22565</v>
      </c>
      <c r="BK258" s="19">
        <f>IFERROR(IF($E258="REC",INDEX(A_Type_Volume!M:M,MATCH($D258,A_Type_Volume!$A:$A,0),1),IF($E258="VAM",INDEX(C_Type_Volume!M:M,MATCH($D258,C_Type_Volume!$A:$A,0),1),"X")),"")</f>
        <v>20148</v>
      </c>
      <c r="BL258" s="38">
        <f>SUM(Table1[[#This Row],[Jan_AVF]:[Dec_AVF]])</f>
        <v>222928</v>
      </c>
      <c r="BM258" s="16">
        <f t="shared" ref="BM258:BM277" si="240">AZ258*$O258</f>
        <v>0</v>
      </c>
      <c r="BN258" s="16">
        <f t="shared" ref="BN258:BN277" si="241">BA258*$O258</f>
        <v>744.07692880643094</v>
      </c>
      <c r="BO258" s="16">
        <f t="shared" ref="BO258:BO277" si="242">BB258*$O258</f>
        <v>0</v>
      </c>
      <c r="BP258" s="16">
        <f t="shared" ref="BP258:BP277" si="243">BC258*$O258</f>
        <v>349.39012738070437</v>
      </c>
      <c r="BQ258" s="16">
        <f t="shared" ref="BQ258:BQ277" si="244">BD258*$O258</f>
        <v>405.28720302131677</v>
      </c>
      <c r="BR258" s="16">
        <f t="shared" ref="BR258:BR277" si="245">BE258*$O258</f>
        <v>391.32406898678931</v>
      </c>
      <c r="BS258" s="16">
        <f t="shared" ref="BS258:BS277" si="246">BF258*$O258</f>
        <v>528.37211818692026</v>
      </c>
      <c r="BT258" s="16">
        <f t="shared" ref="BT258:BT277" si="247">BG258*$O258</f>
        <v>510.15546166340596</v>
      </c>
      <c r="BU258" s="16">
        <f t="shared" ref="BU258:BU277" si="248">BH258*$O258</f>
        <v>528.37211818692026</v>
      </c>
      <c r="BV258" s="16">
        <f t="shared" ref="BV258:BV277" si="249">BI258*$O258</f>
        <v>556.36519550972901</v>
      </c>
      <c r="BW258" s="16">
        <f t="shared" ref="BW258:BW277" si="250">BJ258*$O258</f>
        <v>502.51693698423065</v>
      </c>
      <c r="BX258" s="16">
        <f t="shared" ref="BX258:BX277" si="251">BK258*$O258</f>
        <v>448.69094820998356</v>
      </c>
      <c r="BY258" s="10">
        <f t="shared" si="218"/>
        <v>744.07692880643094</v>
      </c>
      <c r="BZ258" s="10">
        <f t="shared" si="219"/>
        <v>1146.0013993888106</v>
      </c>
      <c r="CA258" s="10">
        <f t="shared" si="220"/>
        <v>1566.8996980372465</v>
      </c>
      <c r="CB258" s="10">
        <f t="shared" si="221"/>
        <v>1507.5730807039433</v>
      </c>
      <c r="CC258" s="10">
        <f>IFERROR(Table1[[#This Row],[Labor
Saving]]*Table1[[#This Row],[Annual Volume]],"")</f>
        <v>2491.364384593966</v>
      </c>
      <c r="CD258" s="10">
        <f>IFERROR(Table1[[#This Row],[Annual Volume]]*Table1[[#This Row],[Yield
Saving]],"")</f>
        <v>0</v>
      </c>
      <c r="CE258" s="10">
        <f>IFERROR(Table1[[#This Row],[Annual Volume]]*Table1[[#This Row],[Material
Saving]],"")</f>
        <v>2473.1867223424651</v>
      </c>
      <c r="CF258" s="10">
        <f>IFERROR(Table1[[#This Row],[OH
Saving]]*Table1[[#This Row],[Annual Volume]],"")</f>
        <v>0</v>
      </c>
      <c r="CG258" s="10">
        <f>SUM(Table1[[#This Row],[Labor_ASV]:[OH_ASV]])</f>
        <v>4964.5511069364311</v>
      </c>
    </row>
    <row r="259" spans="1:85" x14ac:dyDescent="0.3">
      <c r="A259" t="str">
        <f>Table1[[#This Row],[Project Name]]&amp;Table1[[#This Row],[Part Number]]</f>
        <v>Aut Visual 2V8</v>
      </c>
      <c r="B259" t="str">
        <f>IFERROR(Table1[[#This Row],[Project Number]]&amp;Table1[[#This Row],[Part Number]],"")</f>
        <v>AME25-066V8</v>
      </c>
      <c r="C259" s="22" t="s">
        <v>113</v>
      </c>
      <c r="D259" s="24" t="s">
        <v>220</v>
      </c>
      <c r="E259" s="25" t="s">
        <v>60</v>
      </c>
      <c r="F259" s="6">
        <f>INDEX(Proj_Reg!G:G,MATCH($C259,Proj_Reg!$B:$B,0),1)</f>
        <v>46174</v>
      </c>
      <c r="G259" s="6">
        <f>INDEX(Proj_Reg!H:H,MATCH($C259,Proj_Reg!$B:$B,0),1)</f>
        <v>46508</v>
      </c>
      <c r="H259" s="6" t="str">
        <f>IF(INDEX(Proj_Reg!C:C,MATCH($C259,Proj_Reg!$B:$B,0),1)=0,"",INDEX(Proj_Reg!C:C,MATCH($C259,Proj_Reg!$B:$B,0),1))</f>
        <v>Visual Inspection</v>
      </c>
      <c r="I259" s="6" t="str">
        <f>IF(INDEX(Proj_Reg!D:D,MATCH($C259,Proj_Reg!$B:$B,0),1)=0,"",INDEX(Proj_Reg!D:D,MATCH($C259,Proj_Reg!$B:$B,0),1))</f>
        <v>XCI</v>
      </c>
      <c r="J259" s="6" t="str">
        <f>INDEX(Proj_Reg!E:E,MATCH($C259,Proj_Reg!$B:$B,0),1)</f>
        <v>Aut Visual 2</v>
      </c>
      <c r="K259" s="21">
        <v>0</v>
      </c>
      <c r="L259" s="21">
        <v>0</v>
      </c>
      <c r="M259" s="21">
        <v>0</v>
      </c>
      <c r="N259" s="21">
        <v>0</v>
      </c>
      <c r="O259" s="11">
        <f>SUM(Table1[[#This Row],[Labor
Saving]:[OH
Saving]])</f>
        <v>0</v>
      </c>
      <c r="Q259" s="40">
        <f t="shared" si="202"/>
        <v>0</v>
      </c>
      <c r="R259" s="40">
        <f t="shared" si="203"/>
        <v>0</v>
      </c>
      <c r="S259" s="40">
        <f t="shared" si="204"/>
        <v>0</v>
      </c>
      <c r="T259" s="40">
        <f t="shared" si="205"/>
        <v>0</v>
      </c>
      <c r="U259" s="40">
        <f t="shared" si="206"/>
        <v>0</v>
      </c>
      <c r="V259" s="40">
        <f t="shared" si="207"/>
        <v>4506.5999999999995</v>
      </c>
      <c r="W259" s="40">
        <f t="shared" si="208"/>
        <v>17880</v>
      </c>
      <c r="X259" s="40">
        <f t="shared" si="209"/>
        <v>17263</v>
      </c>
      <c r="Y259" s="40">
        <f t="shared" si="210"/>
        <v>17880</v>
      </c>
      <c r="Z259" s="40">
        <f t="shared" si="211"/>
        <v>8739</v>
      </c>
      <c r="AA259" s="40">
        <f t="shared" si="212"/>
        <v>7893</v>
      </c>
      <c r="AB259" s="40">
        <f t="shared" si="213"/>
        <v>7047</v>
      </c>
      <c r="AC259" s="37">
        <f>SUM(Table1[[#This Row],[Jan]:[Dec]])</f>
        <v>81208.600000000006</v>
      </c>
      <c r="AD259" s="15">
        <f t="shared" si="222"/>
        <v>0</v>
      </c>
      <c r="AE259" s="15">
        <f t="shared" si="223"/>
        <v>0</v>
      </c>
      <c r="AF259" s="15">
        <f t="shared" si="224"/>
        <v>0</v>
      </c>
      <c r="AG259" s="15">
        <f t="shared" si="225"/>
        <v>0</v>
      </c>
      <c r="AH259" s="15">
        <f t="shared" si="226"/>
        <v>0</v>
      </c>
      <c r="AI259" s="15">
        <f t="shared" si="227"/>
        <v>0</v>
      </c>
      <c r="AJ259" s="15">
        <f t="shared" si="228"/>
        <v>0</v>
      </c>
      <c r="AK259" s="15">
        <f t="shared" si="229"/>
        <v>0</v>
      </c>
      <c r="AL259" s="15">
        <f t="shared" si="230"/>
        <v>0</v>
      </c>
      <c r="AM259" s="15">
        <f t="shared" si="231"/>
        <v>0</v>
      </c>
      <c r="AN259" s="15">
        <f t="shared" si="232"/>
        <v>0</v>
      </c>
      <c r="AO259" s="15">
        <f t="shared" si="233"/>
        <v>0</v>
      </c>
      <c r="AP259" s="10">
        <f t="shared" si="234"/>
        <v>0</v>
      </c>
      <c r="AQ259" s="10">
        <f t="shared" si="235"/>
        <v>0</v>
      </c>
      <c r="AR259" s="10">
        <f t="shared" si="236"/>
        <v>0</v>
      </c>
      <c r="AS259" s="10">
        <f t="shared" si="237"/>
        <v>0</v>
      </c>
      <c r="AT259" s="10" t="b">
        <f t="shared" si="238"/>
        <v>1</v>
      </c>
      <c r="AU259" s="10">
        <f t="shared" si="214"/>
        <v>0</v>
      </c>
      <c r="AV259" s="10">
        <f t="shared" si="215"/>
        <v>0</v>
      </c>
      <c r="AW259" s="10">
        <f t="shared" si="216"/>
        <v>0</v>
      </c>
      <c r="AX259" s="10">
        <f t="shared" si="217"/>
        <v>0</v>
      </c>
      <c r="AY259" s="10">
        <f t="shared" si="239"/>
        <v>0</v>
      </c>
      <c r="AZ259" s="19">
        <f>IFERROR(IF($E259="REC",INDEX(A_Type_Volume!$B:$B,MATCH($D259,A_Type_Volume!$A:$A,0),1),IF($E259="VAM",INDEX(C_Type_Volume!$B:$B,MATCH($D259,C_Type_Volume!$A:$A,0),1),"X")),"")</f>
        <v>0</v>
      </c>
      <c r="BA259" s="19">
        <f>IFERROR(IF($E259="REC",INDEX(A_Type_Volume!$C:$C,MATCH($D259,A_Type_Volume!$A:$A,0),1),IF($E259="VAM",INDEX(C_Type_Volume!$C:$C,MATCH($D259,C_Type_Volume!$A:$A,0),1),"X")),"")</f>
        <v>8127</v>
      </c>
      <c r="BB259" s="19">
        <f>IFERROR(IF($E259="REC",INDEX(A_Type_Volume!$D:$D,MATCH($D259,A_Type_Volume!$A:$A,0),1),IF($E259="VAM",INDEX(C_Type_Volume!$D:$D,MATCH($D259,C_Type_Volume!$A:$A,0),1),"X")),"")</f>
        <v>0</v>
      </c>
      <c r="BC259" s="19">
        <f>IFERROR(IF($E259="REC",INDEX(A_Type_Volume!$E:$E,MATCH($D259,A_Type_Volume!$A:$A,0),1),IF($E259="VAM",INDEX(C_Type_Volume!$E:$E,MATCH($D259,C_Type_Volume!$A:$A,0),1),"X")),"")</f>
        <v>13412</v>
      </c>
      <c r="BD259" s="19">
        <f>IFERROR(IF($E259="REC",INDEX(A_Type_Volume!$F:$F,MATCH($D259,A_Type_Volume!$A:$A,0),1),IF($E259="VAM",INDEX(C_Type_Volume!$F:$F,MATCH($D259,C_Type_Volume!$A:$A,0),1),"X")),"")</f>
        <v>15558</v>
      </c>
      <c r="BE259" s="19">
        <f>IFERROR(IF($E259="REC",INDEX(A_Type_Volume!$G:$G,MATCH($D259,A_Type_Volume!$A:$A,0),1),IF($E259="VAM",INDEX(C_Type_Volume!$G:$G,MATCH($D259,C_Type_Volume!$A:$A,0),1),"X")),"")</f>
        <v>15022</v>
      </c>
      <c r="BF259" s="19">
        <f>IFERROR(IF($E259="REC",INDEX(A_Type_Volume!$H:$H,MATCH($D259,A_Type_Volume!$A:$A,0),1),IF($E259="VAM",INDEX(C_Type_Volume!$H:$H,MATCH($D259,C_Type_Volume!$A:$A,0),1),"X")),"")</f>
        <v>17880</v>
      </c>
      <c r="BG259" s="19">
        <f>IFERROR(IF($E259="REC",INDEX(A_Type_Volume!$I:$I,MATCH($D259,A_Type_Volume!$A:$A,0),1),IF($E259="VAM",INDEX(C_Type_Volume!$I:$I,MATCH($D259,C_Type_Volume!$A:$A,0),1),"X")),"")</f>
        <v>17263</v>
      </c>
      <c r="BH259" s="19">
        <f>IFERROR(IF($E259="REC",INDEX(A_Type_Volume!$J:$J,MATCH($D259,A_Type_Volume!$A:$A,0),1),IF($E259="VAM",INDEX(C_Type_Volume!$J:$J,MATCH($D259,C_Type_Volume!$A:$A,0),1),"X")),"")</f>
        <v>17880</v>
      </c>
      <c r="BI259" s="19">
        <f>IFERROR(IF($E259="REC",INDEX(A_Type_Volume!$K:$K,MATCH($D259,A_Type_Volume!$A:$A,0),1),IF($E259="VAM",INDEX(C_Type_Volume!$K:$K,MATCH($D259,C_Type_Volume!$A:$A,0),1),"X")),"")</f>
        <v>8739</v>
      </c>
      <c r="BJ259" s="19">
        <f>IFERROR(IF($E259="REC",INDEX(A_Type_Volume!$L:$L,MATCH($D259,A_Type_Volume!$A:$A,0),1),IF($E259="VAM",INDEX(C_Type_Volume!$L:$L,MATCH($D259,C_Type_Volume!$A:$A,0),1),"X")),"")</f>
        <v>7893</v>
      </c>
      <c r="BK259" s="19">
        <f>IFERROR(IF($E259="REC",INDEX(A_Type_Volume!M:M,MATCH($D259,A_Type_Volume!$A:$A,0),1),IF($E259="VAM",INDEX(C_Type_Volume!M:M,MATCH($D259,C_Type_Volume!$A:$A,0),1),"X")),"")</f>
        <v>7047</v>
      </c>
      <c r="BL259" s="38">
        <f>SUM(Table1[[#This Row],[Jan_AVF]:[Dec_AVF]])</f>
        <v>128821</v>
      </c>
      <c r="BM259" s="16">
        <f t="shared" si="240"/>
        <v>0</v>
      </c>
      <c r="BN259" s="16">
        <f t="shared" si="241"/>
        <v>0</v>
      </c>
      <c r="BO259" s="16">
        <f t="shared" si="242"/>
        <v>0</v>
      </c>
      <c r="BP259" s="16">
        <f t="shared" si="243"/>
        <v>0</v>
      </c>
      <c r="BQ259" s="16">
        <f t="shared" si="244"/>
        <v>0</v>
      </c>
      <c r="BR259" s="16">
        <f t="shared" si="245"/>
        <v>0</v>
      </c>
      <c r="BS259" s="16">
        <f t="shared" si="246"/>
        <v>0</v>
      </c>
      <c r="BT259" s="16">
        <f t="shared" si="247"/>
        <v>0</v>
      </c>
      <c r="BU259" s="16">
        <f t="shared" si="248"/>
        <v>0</v>
      </c>
      <c r="BV259" s="16">
        <f t="shared" si="249"/>
        <v>0</v>
      </c>
      <c r="BW259" s="16">
        <f t="shared" si="250"/>
        <v>0</v>
      </c>
      <c r="BX259" s="16">
        <f t="shared" si="251"/>
        <v>0</v>
      </c>
      <c r="BY259" s="10">
        <f t="shared" si="218"/>
        <v>0</v>
      </c>
      <c r="BZ259" s="10">
        <f t="shared" si="219"/>
        <v>0</v>
      </c>
      <c r="CA259" s="10">
        <f t="shared" si="220"/>
        <v>0</v>
      </c>
      <c r="CB259" s="10">
        <f t="shared" si="221"/>
        <v>0</v>
      </c>
      <c r="CC259" s="10">
        <f>IFERROR(Table1[[#This Row],[Labor
Saving]]*Table1[[#This Row],[Annual Volume]],"")</f>
        <v>0</v>
      </c>
      <c r="CD259" s="10">
        <f>IFERROR(Table1[[#This Row],[Annual Volume]]*Table1[[#This Row],[Yield
Saving]],"")</f>
        <v>0</v>
      </c>
      <c r="CE259" s="10">
        <f>IFERROR(Table1[[#This Row],[Annual Volume]]*Table1[[#This Row],[Material
Saving]],"")</f>
        <v>0</v>
      </c>
      <c r="CF259" s="10">
        <f>IFERROR(Table1[[#This Row],[OH
Saving]]*Table1[[#This Row],[Annual Volume]],"")</f>
        <v>0</v>
      </c>
      <c r="CG259" s="10">
        <f>SUM(Table1[[#This Row],[Labor_ASV]:[OH_ASV]])</f>
        <v>0</v>
      </c>
    </row>
    <row r="260" spans="1:85" x14ac:dyDescent="0.3">
      <c r="A260" t="str">
        <f>Table1[[#This Row],[Project Name]]&amp;Table1[[#This Row],[Part Number]]</f>
        <v>Aut Visual 2V9</v>
      </c>
      <c r="B260" t="str">
        <f>IFERROR(Table1[[#This Row],[Project Number]]&amp;Table1[[#This Row],[Part Number]],"")</f>
        <v>AME25-066V9</v>
      </c>
      <c r="C260" s="22" t="s">
        <v>113</v>
      </c>
      <c r="D260" s="24" t="s">
        <v>221</v>
      </c>
      <c r="E260" s="25" t="s">
        <v>60</v>
      </c>
      <c r="F260" s="6">
        <f>INDEX(Proj_Reg!G:G,MATCH($C260,Proj_Reg!$B:$B,0),1)</f>
        <v>46174</v>
      </c>
      <c r="G260" s="6">
        <f>INDEX(Proj_Reg!H:H,MATCH($C260,Proj_Reg!$B:$B,0),1)</f>
        <v>46508</v>
      </c>
      <c r="H260" s="6" t="str">
        <f>IF(INDEX(Proj_Reg!C:C,MATCH($C260,Proj_Reg!$B:$B,0),1)=0,"",INDEX(Proj_Reg!C:C,MATCH($C260,Proj_Reg!$B:$B,0),1))</f>
        <v>Visual Inspection</v>
      </c>
      <c r="I260" s="6" t="str">
        <f>IF(INDEX(Proj_Reg!D:D,MATCH($C260,Proj_Reg!$B:$B,0),1)=0,"",INDEX(Proj_Reg!D:D,MATCH($C260,Proj_Reg!$B:$B,0),1))</f>
        <v>XCI</v>
      </c>
      <c r="J260" s="6" t="str">
        <f>INDEX(Proj_Reg!E:E,MATCH($C260,Proj_Reg!$B:$B,0),1)</f>
        <v>Aut Visual 2</v>
      </c>
      <c r="K260" s="21">
        <v>0</v>
      </c>
      <c r="L260" s="21">
        <v>0</v>
      </c>
      <c r="M260" s="21">
        <v>0</v>
      </c>
      <c r="N260" s="21">
        <v>0</v>
      </c>
      <c r="O260" s="11">
        <f>SUM(Table1[[#This Row],[Labor
Saving]:[OH
Saving]])</f>
        <v>0</v>
      </c>
      <c r="Q260" s="40">
        <f t="shared" si="202"/>
        <v>0</v>
      </c>
      <c r="R260" s="40">
        <f t="shared" si="203"/>
        <v>0</v>
      </c>
      <c r="S260" s="40">
        <f t="shared" si="204"/>
        <v>0</v>
      </c>
      <c r="T260" s="40">
        <f t="shared" si="205"/>
        <v>0</v>
      </c>
      <c r="U260" s="40">
        <f t="shared" si="206"/>
        <v>0</v>
      </c>
      <c r="V260" s="40">
        <f t="shared" si="207"/>
        <v>23487.3</v>
      </c>
      <c r="W260" s="40">
        <f t="shared" si="208"/>
        <v>82850</v>
      </c>
      <c r="X260" s="40">
        <f t="shared" si="209"/>
        <v>79993</v>
      </c>
      <c r="Y260" s="40">
        <f t="shared" si="210"/>
        <v>82850</v>
      </c>
      <c r="Z260" s="40">
        <f t="shared" si="211"/>
        <v>89636</v>
      </c>
      <c r="AA260" s="40">
        <f t="shared" si="212"/>
        <v>80962</v>
      </c>
      <c r="AB260" s="40">
        <f t="shared" si="213"/>
        <v>72287</v>
      </c>
      <c r="AC260" s="37">
        <f>SUM(Table1[[#This Row],[Jan]:[Dec]])</f>
        <v>512065.3</v>
      </c>
      <c r="AD260" s="15">
        <f t="shared" si="222"/>
        <v>0</v>
      </c>
      <c r="AE260" s="15">
        <f t="shared" si="223"/>
        <v>0</v>
      </c>
      <c r="AF260" s="15">
        <f t="shared" si="224"/>
        <v>0</v>
      </c>
      <c r="AG260" s="15">
        <f t="shared" si="225"/>
        <v>0</v>
      </c>
      <c r="AH260" s="15">
        <f t="shared" si="226"/>
        <v>0</v>
      </c>
      <c r="AI260" s="15">
        <f t="shared" si="227"/>
        <v>0</v>
      </c>
      <c r="AJ260" s="15">
        <f t="shared" si="228"/>
        <v>0</v>
      </c>
      <c r="AK260" s="15">
        <f t="shared" si="229"/>
        <v>0</v>
      </c>
      <c r="AL260" s="15">
        <f t="shared" si="230"/>
        <v>0</v>
      </c>
      <c r="AM260" s="15">
        <f t="shared" si="231"/>
        <v>0</v>
      </c>
      <c r="AN260" s="15">
        <f t="shared" si="232"/>
        <v>0</v>
      </c>
      <c r="AO260" s="15">
        <f t="shared" si="233"/>
        <v>0</v>
      </c>
      <c r="AP260" s="10">
        <f t="shared" si="234"/>
        <v>0</v>
      </c>
      <c r="AQ260" s="10">
        <f t="shared" si="235"/>
        <v>0</v>
      </c>
      <c r="AR260" s="10">
        <f t="shared" si="236"/>
        <v>0</v>
      </c>
      <c r="AS260" s="10">
        <f t="shared" si="237"/>
        <v>0</v>
      </c>
      <c r="AT260" s="10" t="b">
        <f t="shared" si="238"/>
        <v>1</v>
      </c>
      <c r="AU260" s="10">
        <f t="shared" si="214"/>
        <v>0</v>
      </c>
      <c r="AV260" s="10">
        <f t="shared" si="215"/>
        <v>0</v>
      </c>
      <c r="AW260" s="10">
        <f t="shared" si="216"/>
        <v>0</v>
      </c>
      <c r="AX260" s="10">
        <f t="shared" si="217"/>
        <v>0</v>
      </c>
      <c r="AY260" s="10">
        <f t="shared" si="239"/>
        <v>0</v>
      </c>
      <c r="AZ260" s="19">
        <f>IFERROR(IF($E260="REC",INDEX(A_Type_Volume!$B:$B,MATCH($D260,A_Type_Volume!$A:$A,0),1),IF($E260="VAM",INDEX(C_Type_Volume!$B:$B,MATCH($D260,C_Type_Volume!$A:$A,0),1),"X")),"")</f>
        <v>92359</v>
      </c>
      <c r="BA260" s="19">
        <f>IFERROR(IF($E260="REC",INDEX(A_Type_Volume!$C:$C,MATCH($D260,A_Type_Volume!$A:$A,0),1),IF($E260="VAM",INDEX(C_Type_Volume!$C:$C,MATCH($D260,C_Type_Volume!$A:$A,0),1),"X")),"")</f>
        <v>73146</v>
      </c>
      <c r="BB260" s="19">
        <f>IFERROR(IF($E260="REC",INDEX(A_Type_Volume!$D:$D,MATCH($D260,A_Type_Volume!$A:$A,0),1),IF($E260="VAM",INDEX(C_Type_Volume!$D:$D,MATCH($D260,C_Type_Volume!$A:$A,0),1),"X")),"")</f>
        <v>33673</v>
      </c>
      <c r="BC260" s="19">
        <f>IFERROR(IF($E260="REC",INDEX(A_Type_Volume!$E:$E,MATCH($D260,A_Type_Volume!$A:$A,0),1),IF($E260="VAM",INDEX(C_Type_Volume!$E:$E,MATCH($D260,C_Type_Volume!$A:$A,0),1),"X")),"")</f>
        <v>69903</v>
      </c>
      <c r="BD260" s="19">
        <f>IFERROR(IF($E260="REC",INDEX(A_Type_Volume!$F:$F,MATCH($D260,A_Type_Volume!$A:$A,0),1),IF($E260="VAM",INDEX(C_Type_Volume!$F:$F,MATCH($D260,C_Type_Volume!$A:$A,0),1),"X")),"")</f>
        <v>81087</v>
      </c>
      <c r="BE260" s="19">
        <f>IFERROR(IF($E260="REC",INDEX(A_Type_Volume!$G:$G,MATCH($D260,A_Type_Volume!$A:$A,0),1),IF($E260="VAM",INDEX(C_Type_Volume!$G:$G,MATCH($D260,C_Type_Volume!$A:$A,0),1),"X")),"")</f>
        <v>78291</v>
      </c>
      <c r="BF260" s="19">
        <f>IFERROR(IF($E260="REC",INDEX(A_Type_Volume!$H:$H,MATCH($D260,A_Type_Volume!$A:$A,0),1),IF($E260="VAM",INDEX(C_Type_Volume!$H:$H,MATCH($D260,C_Type_Volume!$A:$A,0),1),"X")),"")</f>
        <v>82850</v>
      </c>
      <c r="BG260" s="19">
        <f>IFERROR(IF($E260="REC",INDEX(A_Type_Volume!$I:$I,MATCH($D260,A_Type_Volume!$A:$A,0),1),IF($E260="VAM",INDEX(C_Type_Volume!$I:$I,MATCH($D260,C_Type_Volume!$A:$A,0),1),"X")),"")</f>
        <v>79993</v>
      </c>
      <c r="BH260" s="19">
        <f>IFERROR(IF($E260="REC",INDEX(A_Type_Volume!$J:$J,MATCH($D260,A_Type_Volume!$A:$A,0),1),IF($E260="VAM",INDEX(C_Type_Volume!$J:$J,MATCH($D260,C_Type_Volume!$A:$A,0),1),"X")),"")</f>
        <v>82850</v>
      </c>
      <c r="BI260" s="19">
        <f>IFERROR(IF($E260="REC",INDEX(A_Type_Volume!$K:$K,MATCH($D260,A_Type_Volume!$A:$A,0),1),IF($E260="VAM",INDEX(C_Type_Volume!$K:$K,MATCH($D260,C_Type_Volume!$A:$A,0),1),"X")),"")</f>
        <v>89636</v>
      </c>
      <c r="BJ260" s="19">
        <f>IFERROR(IF($E260="REC",INDEX(A_Type_Volume!$L:$L,MATCH($D260,A_Type_Volume!$A:$A,0),1),IF($E260="VAM",INDEX(C_Type_Volume!$L:$L,MATCH($D260,C_Type_Volume!$A:$A,0),1),"X")),"")</f>
        <v>80962</v>
      </c>
      <c r="BK260" s="19">
        <f>IFERROR(IF($E260="REC",INDEX(A_Type_Volume!M:M,MATCH($D260,A_Type_Volume!$A:$A,0),1),IF($E260="VAM",INDEX(C_Type_Volume!M:M,MATCH($D260,C_Type_Volume!$A:$A,0),1),"X")),"")</f>
        <v>72287</v>
      </c>
      <c r="BL260" s="38">
        <f>SUM(Table1[[#This Row],[Jan_AVF]:[Dec_AVF]])</f>
        <v>917037</v>
      </c>
      <c r="BM260" s="16">
        <f t="shared" si="240"/>
        <v>0</v>
      </c>
      <c r="BN260" s="16">
        <f t="shared" si="241"/>
        <v>0</v>
      </c>
      <c r="BO260" s="16">
        <f t="shared" si="242"/>
        <v>0</v>
      </c>
      <c r="BP260" s="16">
        <f t="shared" si="243"/>
        <v>0</v>
      </c>
      <c r="BQ260" s="16">
        <f t="shared" si="244"/>
        <v>0</v>
      </c>
      <c r="BR260" s="16">
        <f t="shared" si="245"/>
        <v>0</v>
      </c>
      <c r="BS260" s="16">
        <f t="shared" si="246"/>
        <v>0</v>
      </c>
      <c r="BT260" s="16">
        <f t="shared" si="247"/>
        <v>0</v>
      </c>
      <c r="BU260" s="16">
        <f t="shared" si="248"/>
        <v>0</v>
      </c>
      <c r="BV260" s="16">
        <f t="shared" si="249"/>
        <v>0</v>
      </c>
      <c r="BW260" s="16">
        <f t="shared" si="250"/>
        <v>0</v>
      </c>
      <c r="BX260" s="16">
        <f t="shared" si="251"/>
        <v>0</v>
      </c>
      <c r="BY260" s="10">
        <f t="shared" si="218"/>
        <v>0</v>
      </c>
      <c r="BZ260" s="10">
        <f t="shared" si="219"/>
        <v>0</v>
      </c>
      <c r="CA260" s="10">
        <f t="shared" si="220"/>
        <v>0</v>
      </c>
      <c r="CB260" s="10">
        <f t="shared" si="221"/>
        <v>0</v>
      </c>
      <c r="CC260" s="10">
        <f>IFERROR(Table1[[#This Row],[Labor
Saving]]*Table1[[#This Row],[Annual Volume]],"")</f>
        <v>0</v>
      </c>
      <c r="CD260" s="10">
        <f>IFERROR(Table1[[#This Row],[Annual Volume]]*Table1[[#This Row],[Yield
Saving]],"")</f>
        <v>0</v>
      </c>
      <c r="CE260" s="10">
        <f>IFERROR(Table1[[#This Row],[Annual Volume]]*Table1[[#This Row],[Material
Saving]],"")</f>
        <v>0</v>
      </c>
      <c r="CF260" s="10">
        <f>IFERROR(Table1[[#This Row],[OH
Saving]]*Table1[[#This Row],[Annual Volume]],"")</f>
        <v>0</v>
      </c>
      <c r="CG260" s="10">
        <f>SUM(Table1[[#This Row],[Labor_ASV]:[OH_ASV]])</f>
        <v>0</v>
      </c>
    </row>
    <row r="261" spans="1:85" x14ac:dyDescent="0.3">
      <c r="A261" t="str">
        <f>Table1[[#This Row],[Project Name]]&amp;Table1[[#This Row],[Part Number]]</f>
        <v>Aut Visual 2V10</v>
      </c>
      <c r="B261" t="str">
        <f>IFERROR(Table1[[#This Row],[Project Number]]&amp;Table1[[#This Row],[Part Number]],"")</f>
        <v>AME25-066V10</v>
      </c>
      <c r="C261" s="22" t="s">
        <v>113</v>
      </c>
      <c r="D261" s="24" t="s">
        <v>222</v>
      </c>
      <c r="E261" s="25" t="s">
        <v>60</v>
      </c>
      <c r="F261" s="6">
        <f>INDEX(Proj_Reg!G:G,MATCH($C261,Proj_Reg!$B:$B,0),1)</f>
        <v>46174</v>
      </c>
      <c r="G261" s="6">
        <f>INDEX(Proj_Reg!H:H,MATCH($C261,Proj_Reg!$B:$B,0),1)</f>
        <v>46508</v>
      </c>
      <c r="H261" s="6" t="str">
        <f>IF(INDEX(Proj_Reg!C:C,MATCH($C261,Proj_Reg!$B:$B,0),1)=0,"",INDEX(Proj_Reg!C:C,MATCH($C261,Proj_Reg!$B:$B,0),1))</f>
        <v>Visual Inspection</v>
      </c>
      <c r="I261" s="6" t="str">
        <f>IF(INDEX(Proj_Reg!D:D,MATCH($C261,Proj_Reg!$B:$B,0),1)=0,"",INDEX(Proj_Reg!D:D,MATCH($C261,Proj_Reg!$B:$B,0),1))</f>
        <v>XCI</v>
      </c>
      <c r="J261" s="6" t="str">
        <f>INDEX(Proj_Reg!E:E,MATCH($C261,Proj_Reg!$B:$B,0),1)</f>
        <v>Aut Visual 2</v>
      </c>
      <c r="K261" s="21">
        <v>0</v>
      </c>
      <c r="L261" s="21">
        <v>0</v>
      </c>
      <c r="M261" s="21">
        <v>0</v>
      </c>
      <c r="N261" s="21">
        <v>0</v>
      </c>
      <c r="O261" s="11">
        <f>SUM(Table1[[#This Row],[Labor
Saving]:[OH
Saving]])</f>
        <v>0</v>
      </c>
      <c r="Q261" s="40">
        <f t="shared" si="202"/>
        <v>0</v>
      </c>
      <c r="R261" s="40">
        <f t="shared" si="203"/>
        <v>0</v>
      </c>
      <c r="S261" s="40">
        <f t="shared" si="204"/>
        <v>0</v>
      </c>
      <c r="T261" s="40">
        <f t="shared" si="205"/>
        <v>0</v>
      </c>
      <c r="U261" s="40">
        <f t="shared" si="206"/>
        <v>0</v>
      </c>
      <c r="V261" s="40">
        <f t="shared" si="207"/>
        <v>22527</v>
      </c>
      <c r="W261" s="40">
        <f t="shared" si="208"/>
        <v>78471</v>
      </c>
      <c r="X261" s="40">
        <f t="shared" si="209"/>
        <v>75765</v>
      </c>
      <c r="Y261" s="40">
        <f t="shared" si="210"/>
        <v>78471</v>
      </c>
      <c r="Z261" s="40">
        <f t="shared" si="211"/>
        <v>84644</v>
      </c>
      <c r="AA261" s="40">
        <f t="shared" si="212"/>
        <v>76453</v>
      </c>
      <c r="AB261" s="40">
        <f t="shared" si="213"/>
        <v>68262</v>
      </c>
      <c r="AC261" s="37">
        <f>SUM(Table1[[#This Row],[Jan]:[Dec]])</f>
        <v>484593</v>
      </c>
      <c r="AD261" s="15">
        <f t="shared" si="222"/>
        <v>0</v>
      </c>
      <c r="AE261" s="15">
        <f t="shared" si="223"/>
        <v>0</v>
      </c>
      <c r="AF261" s="15">
        <f t="shared" si="224"/>
        <v>0</v>
      </c>
      <c r="AG261" s="15">
        <f t="shared" si="225"/>
        <v>0</v>
      </c>
      <c r="AH261" s="15">
        <f t="shared" si="226"/>
        <v>0</v>
      </c>
      <c r="AI261" s="15">
        <f t="shared" si="227"/>
        <v>0</v>
      </c>
      <c r="AJ261" s="15">
        <f t="shared" si="228"/>
        <v>0</v>
      </c>
      <c r="AK261" s="15">
        <f t="shared" si="229"/>
        <v>0</v>
      </c>
      <c r="AL261" s="15">
        <f t="shared" si="230"/>
        <v>0</v>
      </c>
      <c r="AM261" s="15">
        <f t="shared" si="231"/>
        <v>0</v>
      </c>
      <c r="AN261" s="15">
        <f t="shared" si="232"/>
        <v>0</v>
      </c>
      <c r="AO261" s="15">
        <f t="shared" si="233"/>
        <v>0</v>
      </c>
      <c r="AP261" s="10">
        <f t="shared" si="234"/>
        <v>0</v>
      </c>
      <c r="AQ261" s="10">
        <f t="shared" si="235"/>
        <v>0</v>
      </c>
      <c r="AR261" s="10">
        <f t="shared" si="236"/>
        <v>0</v>
      </c>
      <c r="AS261" s="10">
        <f t="shared" si="237"/>
        <v>0</v>
      </c>
      <c r="AT261" s="10" t="b">
        <f t="shared" si="238"/>
        <v>1</v>
      </c>
      <c r="AU261" s="10">
        <f t="shared" si="214"/>
        <v>0</v>
      </c>
      <c r="AV261" s="10">
        <f t="shared" si="215"/>
        <v>0</v>
      </c>
      <c r="AW261" s="10">
        <f t="shared" si="216"/>
        <v>0</v>
      </c>
      <c r="AX261" s="10">
        <f t="shared" si="217"/>
        <v>0</v>
      </c>
      <c r="AY261" s="10">
        <f t="shared" si="239"/>
        <v>0</v>
      </c>
      <c r="AZ261" s="19">
        <f>IFERROR(IF($E261="REC",INDEX(A_Type_Volume!$B:$B,MATCH($D261,A_Type_Volume!$A:$A,0),1),IF($E261="VAM",INDEX(C_Type_Volume!$B:$B,MATCH($D261,C_Type_Volume!$A:$A,0),1),"X")),"")</f>
        <v>52278</v>
      </c>
      <c r="BA261" s="19">
        <f>IFERROR(IF($E261="REC",INDEX(A_Type_Volume!$C:$C,MATCH($D261,A_Type_Volume!$A:$A,0),1),IF($E261="VAM",INDEX(C_Type_Volume!$C:$C,MATCH($D261,C_Type_Volume!$A:$A,0),1),"X")),"")</f>
        <v>65922</v>
      </c>
      <c r="BB261" s="19">
        <f>IFERROR(IF($E261="REC",INDEX(A_Type_Volume!$D:$D,MATCH($D261,A_Type_Volume!$A:$A,0),1),IF($E261="VAM",INDEX(C_Type_Volume!$D:$D,MATCH($D261,C_Type_Volume!$A:$A,0),1),"X")),"")</f>
        <v>150797</v>
      </c>
      <c r="BC261" s="19">
        <f>IFERROR(IF($E261="REC",INDEX(A_Type_Volume!$E:$E,MATCH($D261,A_Type_Volume!$A:$A,0),1),IF($E261="VAM",INDEX(C_Type_Volume!$E:$E,MATCH($D261,C_Type_Volume!$A:$A,0),1),"X")),"")</f>
        <v>67044</v>
      </c>
      <c r="BD261" s="19">
        <f>IFERROR(IF($E261="REC",INDEX(A_Type_Volume!$F:$F,MATCH($D261,A_Type_Volume!$A:$A,0),1),IF($E261="VAM",INDEX(C_Type_Volume!$F:$F,MATCH($D261,C_Type_Volume!$A:$A,0),1),"X")),"")</f>
        <v>77771</v>
      </c>
      <c r="BE261" s="19">
        <f>IFERROR(IF($E261="REC",INDEX(A_Type_Volume!$G:$G,MATCH($D261,A_Type_Volume!$A:$A,0),1),IF($E261="VAM",INDEX(C_Type_Volume!$G:$G,MATCH($D261,C_Type_Volume!$A:$A,0),1),"X")),"")</f>
        <v>75090</v>
      </c>
      <c r="BF261" s="19">
        <f>IFERROR(IF($E261="REC",INDEX(A_Type_Volume!$H:$H,MATCH($D261,A_Type_Volume!$A:$A,0),1),IF($E261="VAM",INDEX(C_Type_Volume!$H:$H,MATCH($D261,C_Type_Volume!$A:$A,0),1),"X")),"")</f>
        <v>78471</v>
      </c>
      <c r="BG261" s="19">
        <f>IFERROR(IF($E261="REC",INDEX(A_Type_Volume!$I:$I,MATCH($D261,A_Type_Volume!$A:$A,0),1),IF($E261="VAM",INDEX(C_Type_Volume!$I:$I,MATCH($D261,C_Type_Volume!$A:$A,0),1),"X")),"")</f>
        <v>75765</v>
      </c>
      <c r="BH261" s="19">
        <f>IFERROR(IF($E261="REC",INDEX(A_Type_Volume!$J:$J,MATCH($D261,A_Type_Volume!$A:$A,0),1),IF($E261="VAM",INDEX(C_Type_Volume!$J:$J,MATCH($D261,C_Type_Volume!$A:$A,0),1),"X")),"")</f>
        <v>78471</v>
      </c>
      <c r="BI261" s="19">
        <f>IFERROR(IF($E261="REC",INDEX(A_Type_Volume!$K:$K,MATCH($D261,A_Type_Volume!$A:$A,0),1),IF($E261="VAM",INDEX(C_Type_Volume!$K:$K,MATCH($D261,C_Type_Volume!$A:$A,0),1),"X")),"")</f>
        <v>84644</v>
      </c>
      <c r="BJ261" s="19">
        <f>IFERROR(IF($E261="REC",INDEX(A_Type_Volume!$L:$L,MATCH($D261,A_Type_Volume!$A:$A,0),1),IF($E261="VAM",INDEX(C_Type_Volume!$L:$L,MATCH($D261,C_Type_Volume!$A:$A,0),1),"X")),"")</f>
        <v>76453</v>
      </c>
      <c r="BK261" s="19">
        <f>IFERROR(IF($E261="REC",INDEX(A_Type_Volume!M:M,MATCH($D261,A_Type_Volume!$A:$A,0),1),IF($E261="VAM",INDEX(C_Type_Volume!M:M,MATCH($D261,C_Type_Volume!$A:$A,0),1),"X")),"")</f>
        <v>68262</v>
      </c>
      <c r="BL261" s="38">
        <f>SUM(Table1[[#This Row],[Jan_AVF]:[Dec_AVF]])</f>
        <v>950968</v>
      </c>
      <c r="BM261" s="16">
        <f t="shared" si="240"/>
        <v>0</v>
      </c>
      <c r="BN261" s="16">
        <f t="shared" si="241"/>
        <v>0</v>
      </c>
      <c r="BO261" s="16">
        <f t="shared" si="242"/>
        <v>0</v>
      </c>
      <c r="BP261" s="16">
        <f t="shared" si="243"/>
        <v>0</v>
      </c>
      <c r="BQ261" s="16">
        <f t="shared" si="244"/>
        <v>0</v>
      </c>
      <c r="BR261" s="16">
        <f t="shared" si="245"/>
        <v>0</v>
      </c>
      <c r="BS261" s="16">
        <f t="shared" si="246"/>
        <v>0</v>
      </c>
      <c r="BT261" s="16">
        <f t="shared" si="247"/>
        <v>0</v>
      </c>
      <c r="BU261" s="16">
        <f t="shared" si="248"/>
        <v>0</v>
      </c>
      <c r="BV261" s="16">
        <f t="shared" si="249"/>
        <v>0</v>
      </c>
      <c r="BW261" s="16">
        <f t="shared" si="250"/>
        <v>0</v>
      </c>
      <c r="BX261" s="16">
        <f t="shared" si="251"/>
        <v>0</v>
      </c>
      <c r="BY261" s="10">
        <f t="shared" si="218"/>
        <v>0</v>
      </c>
      <c r="BZ261" s="10">
        <f t="shared" si="219"/>
        <v>0</v>
      </c>
      <c r="CA261" s="10">
        <f t="shared" si="220"/>
        <v>0</v>
      </c>
      <c r="CB261" s="10">
        <f t="shared" si="221"/>
        <v>0</v>
      </c>
      <c r="CC261" s="10">
        <f>IFERROR(Table1[[#This Row],[Labor
Saving]]*Table1[[#This Row],[Annual Volume]],"")</f>
        <v>0</v>
      </c>
      <c r="CD261" s="10">
        <f>IFERROR(Table1[[#This Row],[Annual Volume]]*Table1[[#This Row],[Yield
Saving]],"")</f>
        <v>0</v>
      </c>
      <c r="CE261" s="10">
        <f>IFERROR(Table1[[#This Row],[Annual Volume]]*Table1[[#This Row],[Material
Saving]],"")</f>
        <v>0</v>
      </c>
      <c r="CF261" s="10">
        <f>IFERROR(Table1[[#This Row],[OH
Saving]]*Table1[[#This Row],[Annual Volume]],"")</f>
        <v>0</v>
      </c>
      <c r="CG261" s="10">
        <f>SUM(Table1[[#This Row],[Labor_ASV]:[OH_ASV]])</f>
        <v>0</v>
      </c>
    </row>
    <row r="262" spans="1:85" x14ac:dyDescent="0.3">
      <c r="A262" t="str">
        <f>Table1[[#This Row],[Project Name]]&amp;Table1[[#This Row],[Part Number]]</f>
        <v>Aut Visual 2V11</v>
      </c>
      <c r="B262" t="str">
        <f>IFERROR(Table1[[#This Row],[Project Number]]&amp;Table1[[#This Row],[Part Number]],"")</f>
        <v>AME25-066V11</v>
      </c>
      <c r="C262" s="22" t="s">
        <v>113</v>
      </c>
      <c r="D262" s="24" t="s">
        <v>223</v>
      </c>
      <c r="E262" s="25" t="s">
        <v>60</v>
      </c>
      <c r="F262" s="6">
        <f>INDEX(Proj_Reg!G:G,MATCH($C262,Proj_Reg!$B:$B,0),1)</f>
        <v>46174</v>
      </c>
      <c r="G262" s="6">
        <f>INDEX(Proj_Reg!H:H,MATCH($C262,Proj_Reg!$B:$B,0),1)</f>
        <v>46508</v>
      </c>
      <c r="H262" s="6" t="str">
        <f>IF(INDEX(Proj_Reg!C:C,MATCH($C262,Proj_Reg!$B:$B,0),1)=0,"",INDEX(Proj_Reg!C:C,MATCH($C262,Proj_Reg!$B:$B,0),1))</f>
        <v>Visual Inspection</v>
      </c>
      <c r="I262" s="6" t="str">
        <f>IF(INDEX(Proj_Reg!D:D,MATCH($C262,Proj_Reg!$B:$B,0),1)=0,"",INDEX(Proj_Reg!D:D,MATCH($C262,Proj_Reg!$B:$B,0),1))</f>
        <v>XCI</v>
      </c>
      <c r="J262" s="6" t="str">
        <f>INDEX(Proj_Reg!E:E,MATCH($C262,Proj_Reg!$B:$B,0),1)</f>
        <v>Aut Visual 2</v>
      </c>
      <c r="K262" s="21">
        <v>0</v>
      </c>
      <c r="L262" s="21">
        <v>0</v>
      </c>
      <c r="M262" s="21">
        <v>0</v>
      </c>
      <c r="N262" s="21">
        <v>0</v>
      </c>
      <c r="O262" s="11">
        <f>SUM(Table1[[#This Row],[Labor
Saving]:[OH
Saving]])</f>
        <v>0</v>
      </c>
      <c r="Q262" s="40">
        <f t="shared" si="202"/>
        <v>0</v>
      </c>
      <c r="R262" s="40">
        <f t="shared" si="203"/>
        <v>0</v>
      </c>
      <c r="S262" s="40">
        <f t="shared" si="204"/>
        <v>0</v>
      </c>
      <c r="T262" s="40">
        <f t="shared" si="205"/>
        <v>0</v>
      </c>
      <c r="U262" s="40">
        <f t="shared" si="206"/>
        <v>0</v>
      </c>
      <c r="V262" s="40">
        <f t="shared" si="207"/>
        <v>45726.6</v>
      </c>
      <c r="W262" s="40">
        <f t="shared" si="208"/>
        <v>150000</v>
      </c>
      <c r="X262" s="40">
        <f t="shared" si="209"/>
        <v>144828</v>
      </c>
      <c r="Y262" s="40">
        <f t="shared" si="210"/>
        <v>150000</v>
      </c>
      <c r="Z262" s="40">
        <f t="shared" si="211"/>
        <v>160250</v>
      </c>
      <c r="AA262" s="40">
        <f t="shared" si="212"/>
        <v>144742</v>
      </c>
      <c r="AB262" s="40">
        <f t="shared" si="213"/>
        <v>129234</v>
      </c>
      <c r="AC262" s="37">
        <f>SUM(Table1[[#This Row],[Jan]:[Dec]])</f>
        <v>924780.6</v>
      </c>
      <c r="AD262" s="15">
        <f t="shared" si="222"/>
        <v>0</v>
      </c>
      <c r="AE262" s="15">
        <f t="shared" si="223"/>
        <v>0</v>
      </c>
      <c r="AF262" s="15">
        <f t="shared" si="224"/>
        <v>0</v>
      </c>
      <c r="AG262" s="15">
        <f t="shared" si="225"/>
        <v>0</v>
      </c>
      <c r="AH262" s="15">
        <f t="shared" si="226"/>
        <v>0</v>
      </c>
      <c r="AI262" s="15">
        <f t="shared" si="227"/>
        <v>0</v>
      </c>
      <c r="AJ262" s="15">
        <f t="shared" si="228"/>
        <v>0</v>
      </c>
      <c r="AK262" s="15">
        <f t="shared" si="229"/>
        <v>0</v>
      </c>
      <c r="AL262" s="15">
        <f t="shared" si="230"/>
        <v>0</v>
      </c>
      <c r="AM262" s="15">
        <f t="shared" si="231"/>
        <v>0</v>
      </c>
      <c r="AN262" s="15">
        <f t="shared" si="232"/>
        <v>0</v>
      </c>
      <c r="AO262" s="15">
        <f t="shared" si="233"/>
        <v>0</v>
      </c>
      <c r="AP262" s="10">
        <f t="shared" si="234"/>
        <v>0</v>
      </c>
      <c r="AQ262" s="10">
        <f t="shared" si="235"/>
        <v>0</v>
      </c>
      <c r="AR262" s="10">
        <f t="shared" si="236"/>
        <v>0</v>
      </c>
      <c r="AS262" s="10">
        <f t="shared" si="237"/>
        <v>0</v>
      </c>
      <c r="AT262" s="10" t="b">
        <f t="shared" si="238"/>
        <v>1</v>
      </c>
      <c r="AU262" s="10">
        <f t="shared" si="214"/>
        <v>0</v>
      </c>
      <c r="AV262" s="10">
        <f t="shared" si="215"/>
        <v>0</v>
      </c>
      <c r="AW262" s="10">
        <f t="shared" si="216"/>
        <v>0</v>
      </c>
      <c r="AX262" s="10">
        <f t="shared" si="217"/>
        <v>0</v>
      </c>
      <c r="AY262" s="10">
        <f t="shared" si="239"/>
        <v>0</v>
      </c>
      <c r="AZ262" s="19">
        <f>IFERROR(IF($E262="REC",INDEX(A_Type_Volume!$B:$B,MATCH($D262,A_Type_Volume!$A:$A,0),1),IF($E262="VAM",INDEX(C_Type_Volume!$B:$B,MATCH($D262,C_Type_Volume!$A:$A,0),1),"X")),"")</f>
        <v>169905</v>
      </c>
      <c r="BA262" s="19">
        <f>IFERROR(IF($E262="REC",INDEX(A_Type_Volume!$C:$C,MATCH($D262,A_Type_Volume!$A:$A,0),1),IF($E262="VAM",INDEX(C_Type_Volume!$C:$C,MATCH($D262,C_Type_Volume!$A:$A,0),1),"X")),"")</f>
        <v>97528</v>
      </c>
      <c r="BB262" s="19">
        <f>IFERROR(IF($E262="REC",INDEX(A_Type_Volume!$D:$D,MATCH($D262,A_Type_Volume!$A:$A,0),1),IF($E262="VAM",INDEX(C_Type_Volume!$D:$D,MATCH($D262,C_Type_Volume!$A:$A,0),1),"X")),"")</f>
        <v>178614</v>
      </c>
      <c r="BC262" s="19">
        <f>IFERROR(IF($E262="REC",INDEX(A_Type_Volume!$E:$E,MATCH($D262,A_Type_Volume!$A:$A,0),1),IF($E262="VAM",INDEX(C_Type_Volume!$E:$E,MATCH($D262,C_Type_Volume!$A:$A,0),1),"X")),"")</f>
        <v>136091</v>
      </c>
      <c r="BD262" s="19">
        <f>IFERROR(IF($E262="REC",INDEX(A_Type_Volume!$F:$F,MATCH($D262,A_Type_Volume!$A:$A,0),1),IF($E262="VAM",INDEX(C_Type_Volume!$F:$F,MATCH($D262,C_Type_Volume!$A:$A,0),1),"X")),"")</f>
        <v>157866</v>
      </c>
      <c r="BE262" s="19">
        <f>IFERROR(IF($E262="REC",INDEX(A_Type_Volume!$G:$G,MATCH($D262,A_Type_Volume!$A:$A,0),1),IF($E262="VAM",INDEX(C_Type_Volume!$G:$G,MATCH($D262,C_Type_Volume!$A:$A,0),1),"X")),"")</f>
        <v>152422</v>
      </c>
      <c r="BF262" s="19">
        <f>IFERROR(IF($E262="REC",INDEX(A_Type_Volume!$H:$H,MATCH($D262,A_Type_Volume!$A:$A,0),1),IF($E262="VAM",INDEX(C_Type_Volume!$H:$H,MATCH($D262,C_Type_Volume!$A:$A,0),1),"X")),"")</f>
        <v>150000</v>
      </c>
      <c r="BG262" s="19">
        <f>IFERROR(IF($E262="REC",INDEX(A_Type_Volume!$I:$I,MATCH($D262,A_Type_Volume!$A:$A,0),1),IF($E262="VAM",INDEX(C_Type_Volume!$I:$I,MATCH($D262,C_Type_Volume!$A:$A,0),1),"X")),"")</f>
        <v>144828</v>
      </c>
      <c r="BH262" s="19">
        <f>IFERROR(IF($E262="REC",INDEX(A_Type_Volume!$J:$J,MATCH($D262,A_Type_Volume!$A:$A,0),1),IF($E262="VAM",INDEX(C_Type_Volume!$J:$J,MATCH($D262,C_Type_Volume!$A:$A,0),1),"X")),"")</f>
        <v>150000</v>
      </c>
      <c r="BI262" s="19">
        <f>IFERROR(IF($E262="REC",INDEX(A_Type_Volume!$K:$K,MATCH($D262,A_Type_Volume!$A:$A,0),1),IF($E262="VAM",INDEX(C_Type_Volume!$K:$K,MATCH($D262,C_Type_Volume!$A:$A,0),1),"X")),"")</f>
        <v>160250</v>
      </c>
      <c r="BJ262" s="19">
        <f>IFERROR(IF($E262="REC",INDEX(A_Type_Volume!$L:$L,MATCH($D262,A_Type_Volume!$A:$A,0),1),IF($E262="VAM",INDEX(C_Type_Volume!$L:$L,MATCH($D262,C_Type_Volume!$A:$A,0),1),"X")),"")</f>
        <v>144742</v>
      </c>
      <c r="BK262" s="19">
        <f>IFERROR(IF($E262="REC",INDEX(A_Type_Volume!M:M,MATCH($D262,A_Type_Volume!$A:$A,0),1),IF($E262="VAM",INDEX(C_Type_Volume!M:M,MATCH($D262,C_Type_Volume!$A:$A,0),1),"X")),"")</f>
        <v>129234</v>
      </c>
      <c r="BL262" s="38">
        <f>SUM(Table1[[#This Row],[Jan_AVF]:[Dec_AVF]])</f>
        <v>1771480</v>
      </c>
      <c r="BM262" s="16">
        <f t="shared" si="240"/>
        <v>0</v>
      </c>
      <c r="BN262" s="16">
        <f t="shared" si="241"/>
        <v>0</v>
      </c>
      <c r="BO262" s="16">
        <f t="shared" si="242"/>
        <v>0</v>
      </c>
      <c r="BP262" s="16">
        <f t="shared" si="243"/>
        <v>0</v>
      </c>
      <c r="BQ262" s="16">
        <f t="shared" si="244"/>
        <v>0</v>
      </c>
      <c r="BR262" s="16">
        <f t="shared" si="245"/>
        <v>0</v>
      </c>
      <c r="BS262" s="16">
        <f t="shared" si="246"/>
        <v>0</v>
      </c>
      <c r="BT262" s="16">
        <f t="shared" si="247"/>
        <v>0</v>
      </c>
      <c r="BU262" s="16">
        <f t="shared" si="248"/>
        <v>0</v>
      </c>
      <c r="BV262" s="16">
        <f t="shared" si="249"/>
        <v>0</v>
      </c>
      <c r="BW262" s="16">
        <f t="shared" si="250"/>
        <v>0</v>
      </c>
      <c r="BX262" s="16">
        <f t="shared" si="251"/>
        <v>0</v>
      </c>
      <c r="BY262" s="10">
        <f t="shared" si="218"/>
        <v>0</v>
      </c>
      <c r="BZ262" s="10">
        <f t="shared" si="219"/>
        <v>0</v>
      </c>
      <c r="CA262" s="10">
        <f t="shared" si="220"/>
        <v>0</v>
      </c>
      <c r="CB262" s="10">
        <f t="shared" si="221"/>
        <v>0</v>
      </c>
      <c r="CC262" s="10">
        <f>IFERROR(Table1[[#This Row],[Labor
Saving]]*Table1[[#This Row],[Annual Volume]],"")</f>
        <v>0</v>
      </c>
      <c r="CD262" s="10">
        <f>IFERROR(Table1[[#This Row],[Annual Volume]]*Table1[[#This Row],[Yield
Saving]],"")</f>
        <v>0</v>
      </c>
      <c r="CE262" s="10">
        <f>IFERROR(Table1[[#This Row],[Annual Volume]]*Table1[[#This Row],[Material
Saving]],"")</f>
        <v>0</v>
      </c>
      <c r="CF262" s="10">
        <f>IFERROR(Table1[[#This Row],[OH
Saving]]*Table1[[#This Row],[Annual Volume]],"")</f>
        <v>0</v>
      </c>
      <c r="CG262" s="10">
        <f>SUM(Table1[[#This Row],[Labor_ASV]:[OH_ASV]])</f>
        <v>0</v>
      </c>
    </row>
    <row r="263" spans="1:85" x14ac:dyDescent="0.3">
      <c r="A263" t="str">
        <f>Table1[[#This Row],[Project Name]]&amp;Table1[[#This Row],[Part Number]]</f>
        <v>Aut Visual 2V12</v>
      </c>
      <c r="B263" t="str">
        <f>IFERROR(Table1[[#This Row],[Project Number]]&amp;Table1[[#This Row],[Part Number]],"")</f>
        <v>AME25-066V12</v>
      </c>
      <c r="C263" s="22" t="s">
        <v>113</v>
      </c>
      <c r="D263" s="24" t="s">
        <v>224</v>
      </c>
      <c r="E263" s="25" t="s">
        <v>60</v>
      </c>
      <c r="F263" s="6">
        <f>INDEX(Proj_Reg!G:G,MATCH($C263,Proj_Reg!$B:$B,0),1)</f>
        <v>46174</v>
      </c>
      <c r="G263" s="6">
        <f>INDEX(Proj_Reg!H:H,MATCH($C263,Proj_Reg!$B:$B,0),1)</f>
        <v>46508</v>
      </c>
      <c r="H263" s="6" t="str">
        <f>IF(INDEX(Proj_Reg!C:C,MATCH($C263,Proj_Reg!$B:$B,0),1)=0,"",INDEX(Proj_Reg!C:C,MATCH($C263,Proj_Reg!$B:$B,0),1))</f>
        <v>Visual Inspection</v>
      </c>
      <c r="I263" s="6" t="str">
        <f>IF(INDEX(Proj_Reg!D:D,MATCH($C263,Proj_Reg!$B:$B,0),1)=0,"",INDEX(Proj_Reg!D:D,MATCH($C263,Proj_Reg!$B:$B,0),1))</f>
        <v>XCI</v>
      </c>
      <c r="J263" s="6" t="str">
        <f>INDEX(Proj_Reg!E:E,MATCH($C263,Proj_Reg!$B:$B,0),1)</f>
        <v>Aut Visual 2</v>
      </c>
      <c r="K263" s="21">
        <v>0</v>
      </c>
      <c r="L263" s="21">
        <v>0</v>
      </c>
      <c r="M263" s="21">
        <v>0</v>
      </c>
      <c r="N263" s="21">
        <v>0</v>
      </c>
      <c r="O263" s="11">
        <f>SUM(Table1[[#This Row],[Labor
Saving]:[OH
Saving]])</f>
        <v>0</v>
      </c>
      <c r="Q263" s="40">
        <f t="shared" si="202"/>
        <v>0</v>
      </c>
      <c r="R263" s="40">
        <f t="shared" si="203"/>
        <v>0</v>
      </c>
      <c r="S263" s="40">
        <f t="shared" si="204"/>
        <v>0</v>
      </c>
      <c r="T263" s="40">
        <f t="shared" si="205"/>
        <v>0</v>
      </c>
      <c r="U263" s="40">
        <f t="shared" si="206"/>
        <v>0</v>
      </c>
      <c r="V263" s="40">
        <f t="shared" si="207"/>
        <v>45151.5</v>
      </c>
      <c r="W263" s="40">
        <f t="shared" si="208"/>
        <v>147449</v>
      </c>
      <c r="X263" s="40">
        <f t="shared" si="209"/>
        <v>142364</v>
      </c>
      <c r="Y263" s="40">
        <f t="shared" si="210"/>
        <v>147449</v>
      </c>
      <c r="Z263" s="40">
        <f t="shared" si="211"/>
        <v>157749</v>
      </c>
      <c r="AA263" s="40">
        <f t="shared" si="212"/>
        <v>142483</v>
      </c>
      <c r="AB263" s="40">
        <f t="shared" si="213"/>
        <v>127217</v>
      </c>
      <c r="AC263" s="37">
        <f>SUM(Table1[[#This Row],[Jan]:[Dec]])</f>
        <v>909862.5</v>
      </c>
      <c r="AD263" s="15">
        <f t="shared" si="222"/>
        <v>0</v>
      </c>
      <c r="AE263" s="15">
        <f t="shared" si="223"/>
        <v>0</v>
      </c>
      <c r="AF263" s="15">
        <f t="shared" si="224"/>
        <v>0</v>
      </c>
      <c r="AG263" s="15">
        <f t="shared" si="225"/>
        <v>0</v>
      </c>
      <c r="AH263" s="15">
        <f t="shared" si="226"/>
        <v>0</v>
      </c>
      <c r="AI263" s="15">
        <f t="shared" si="227"/>
        <v>0</v>
      </c>
      <c r="AJ263" s="15">
        <f t="shared" si="228"/>
        <v>0</v>
      </c>
      <c r="AK263" s="15">
        <f t="shared" si="229"/>
        <v>0</v>
      </c>
      <c r="AL263" s="15">
        <f t="shared" si="230"/>
        <v>0</v>
      </c>
      <c r="AM263" s="15">
        <f t="shared" si="231"/>
        <v>0</v>
      </c>
      <c r="AN263" s="15">
        <f t="shared" si="232"/>
        <v>0</v>
      </c>
      <c r="AO263" s="15">
        <f t="shared" si="233"/>
        <v>0</v>
      </c>
      <c r="AP263" s="10">
        <f t="shared" si="234"/>
        <v>0</v>
      </c>
      <c r="AQ263" s="10">
        <f t="shared" si="235"/>
        <v>0</v>
      </c>
      <c r="AR263" s="10">
        <f t="shared" si="236"/>
        <v>0</v>
      </c>
      <c r="AS263" s="10">
        <f t="shared" si="237"/>
        <v>0</v>
      </c>
      <c r="AT263" s="10" t="b">
        <f t="shared" si="238"/>
        <v>1</v>
      </c>
      <c r="AU263" s="10">
        <f t="shared" si="214"/>
        <v>0</v>
      </c>
      <c r="AV263" s="10">
        <f t="shared" si="215"/>
        <v>0</v>
      </c>
      <c r="AW263" s="10">
        <f t="shared" si="216"/>
        <v>0</v>
      </c>
      <c r="AX263" s="10">
        <f t="shared" si="217"/>
        <v>0</v>
      </c>
      <c r="AY263" s="10">
        <f t="shared" si="239"/>
        <v>0</v>
      </c>
      <c r="AZ263" s="19">
        <f>IFERROR(IF($E263="REC",INDEX(A_Type_Volume!$B:$B,MATCH($D263,A_Type_Volume!$A:$A,0),1),IF($E263="VAM",INDEX(C_Type_Volume!$B:$B,MATCH($D263,C_Type_Volume!$A:$A,0),1),"X")),"")</f>
        <v>139409</v>
      </c>
      <c r="BA263" s="19">
        <f>IFERROR(IF($E263="REC",INDEX(A_Type_Volume!$C:$C,MATCH($D263,A_Type_Volume!$A:$A,0),1),IF($E263="VAM",INDEX(C_Type_Volume!$C:$C,MATCH($D263,C_Type_Volume!$A:$A,0),1),"X")),"")</f>
        <v>155323</v>
      </c>
      <c r="BB263" s="19">
        <f>IFERROR(IF($E263="REC",INDEX(A_Type_Volume!$D:$D,MATCH($D263,A_Type_Volume!$A:$A,0),1),IF($E263="VAM",INDEX(C_Type_Volume!$D:$D,MATCH($D263,C_Type_Volume!$A:$A,0),1),"X")),"")</f>
        <v>224000</v>
      </c>
      <c r="BC263" s="19">
        <f>IFERROR(IF($E263="REC",INDEX(A_Type_Volume!$E:$E,MATCH($D263,A_Type_Volume!$A:$A,0),1),IF($E263="VAM",INDEX(C_Type_Volume!$E:$E,MATCH($D263,C_Type_Volume!$A:$A,0),1),"X")),"")</f>
        <v>134379</v>
      </c>
      <c r="BD263" s="19">
        <f>IFERROR(IF($E263="REC",INDEX(A_Type_Volume!$F:$F,MATCH($D263,A_Type_Volume!$A:$A,0),1),IF($E263="VAM",INDEX(C_Type_Volume!$F:$F,MATCH($D263,C_Type_Volume!$A:$A,0),1),"X")),"")</f>
        <v>155880</v>
      </c>
      <c r="BE263" s="19">
        <f>IFERROR(IF($E263="REC",INDEX(A_Type_Volume!$G:$G,MATCH($D263,A_Type_Volume!$A:$A,0),1),IF($E263="VAM",INDEX(C_Type_Volume!$G:$G,MATCH($D263,C_Type_Volume!$A:$A,0),1),"X")),"")</f>
        <v>150505</v>
      </c>
      <c r="BF263" s="19">
        <f>IFERROR(IF($E263="REC",INDEX(A_Type_Volume!$H:$H,MATCH($D263,A_Type_Volume!$A:$A,0),1),IF($E263="VAM",INDEX(C_Type_Volume!$H:$H,MATCH($D263,C_Type_Volume!$A:$A,0),1),"X")),"")</f>
        <v>147449</v>
      </c>
      <c r="BG263" s="19">
        <f>IFERROR(IF($E263="REC",INDEX(A_Type_Volume!$I:$I,MATCH($D263,A_Type_Volume!$A:$A,0),1),IF($E263="VAM",INDEX(C_Type_Volume!$I:$I,MATCH($D263,C_Type_Volume!$A:$A,0),1),"X")),"")</f>
        <v>142364</v>
      </c>
      <c r="BH263" s="19">
        <f>IFERROR(IF($E263="REC",INDEX(A_Type_Volume!$J:$J,MATCH($D263,A_Type_Volume!$A:$A,0),1),IF($E263="VAM",INDEX(C_Type_Volume!$J:$J,MATCH($D263,C_Type_Volume!$A:$A,0),1),"X")),"")</f>
        <v>147449</v>
      </c>
      <c r="BI263" s="19">
        <f>IFERROR(IF($E263="REC",INDEX(A_Type_Volume!$K:$K,MATCH($D263,A_Type_Volume!$A:$A,0),1),IF($E263="VAM",INDEX(C_Type_Volume!$K:$K,MATCH($D263,C_Type_Volume!$A:$A,0),1),"X")),"")</f>
        <v>157749</v>
      </c>
      <c r="BJ263" s="19">
        <f>IFERROR(IF($E263="REC",INDEX(A_Type_Volume!$L:$L,MATCH($D263,A_Type_Volume!$A:$A,0),1),IF($E263="VAM",INDEX(C_Type_Volume!$L:$L,MATCH($D263,C_Type_Volume!$A:$A,0),1),"X")),"")</f>
        <v>142483</v>
      </c>
      <c r="BK263" s="19">
        <f>IFERROR(IF($E263="REC",INDEX(A_Type_Volume!M:M,MATCH($D263,A_Type_Volume!$A:$A,0),1),IF($E263="VAM",INDEX(C_Type_Volume!M:M,MATCH($D263,C_Type_Volume!$A:$A,0),1),"X")),"")</f>
        <v>127217</v>
      </c>
      <c r="BL263" s="38">
        <f>SUM(Table1[[#This Row],[Jan_AVF]:[Dec_AVF]])</f>
        <v>1824207</v>
      </c>
      <c r="BM263" s="16">
        <f t="shared" si="240"/>
        <v>0</v>
      </c>
      <c r="BN263" s="16">
        <f t="shared" si="241"/>
        <v>0</v>
      </c>
      <c r="BO263" s="16">
        <f t="shared" si="242"/>
        <v>0</v>
      </c>
      <c r="BP263" s="16">
        <f t="shared" si="243"/>
        <v>0</v>
      </c>
      <c r="BQ263" s="16">
        <f t="shared" si="244"/>
        <v>0</v>
      </c>
      <c r="BR263" s="16">
        <f t="shared" si="245"/>
        <v>0</v>
      </c>
      <c r="BS263" s="16">
        <f t="shared" si="246"/>
        <v>0</v>
      </c>
      <c r="BT263" s="16">
        <f t="shared" si="247"/>
        <v>0</v>
      </c>
      <c r="BU263" s="16">
        <f t="shared" si="248"/>
        <v>0</v>
      </c>
      <c r="BV263" s="16">
        <f t="shared" si="249"/>
        <v>0</v>
      </c>
      <c r="BW263" s="16">
        <f t="shared" si="250"/>
        <v>0</v>
      </c>
      <c r="BX263" s="16">
        <f t="shared" si="251"/>
        <v>0</v>
      </c>
      <c r="BY263" s="10">
        <f t="shared" si="218"/>
        <v>0</v>
      </c>
      <c r="BZ263" s="10">
        <f t="shared" si="219"/>
        <v>0</v>
      </c>
      <c r="CA263" s="10">
        <f t="shared" si="220"/>
        <v>0</v>
      </c>
      <c r="CB263" s="10">
        <f t="shared" si="221"/>
        <v>0</v>
      </c>
      <c r="CC263" s="10">
        <f>IFERROR(Table1[[#This Row],[Labor
Saving]]*Table1[[#This Row],[Annual Volume]],"")</f>
        <v>0</v>
      </c>
      <c r="CD263" s="10">
        <f>IFERROR(Table1[[#This Row],[Annual Volume]]*Table1[[#This Row],[Yield
Saving]],"")</f>
        <v>0</v>
      </c>
      <c r="CE263" s="10">
        <f>IFERROR(Table1[[#This Row],[Annual Volume]]*Table1[[#This Row],[Material
Saving]],"")</f>
        <v>0</v>
      </c>
      <c r="CF263" s="10">
        <f>IFERROR(Table1[[#This Row],[OH
Saving]]*Table1[[#This Row],[Annual Volume]],"")</f>
        <v>0</v>
      </c>
      <c r="CG263" s="10">
        <f>SUM(Table1[[#This Row],[Labor_ASV]:[OH_ASV]])</f>
        <v>0</v>
      </c>
    </row>
    <row r="264" spans="1:85" x14ac:dyDescent="0.3">
      <c r="A264" t="str">
        <f>Table1[[#This Row],[Project Name]]&amp;Table1[[#This Row],[Part Number]]</f>
        <v>Aut Visual 2V13</v>
      </c>
      <c r="B264" t="str">
        <f>IFERROR(Table1[[#This Row],[Project Number]]&amp;Table1[[#This Row],[Part Number]],"")</f>
        <v>AME25-066V13</v>
      </c>
      <c r="C264" s="22" t="s">
        <v>113</v>
      </c>
      <c r="D264" s="24" t="s">
        <v>225</v>
      </c>
      <c r="E264" s="25" t="s">
        <v>60</v>
      </c>
      <c r="F264" s="6">
        <f>INDEX(Proj_Reg!G:G,MATCH($C264,Proj_Reg!$B:$B,0),1)</f>
        <v>46174</v>
      </c>
      <c r="G264" s="6">
        <f>INDEX(Proj_Reg!H:H,MATCH($C264,Proj_Reg!$B:$B,0),1)</f>
        <v>46508</v>
      </c>
      <c r="H264" s="6" t="str">
        <f>IF(INDEX(Proj_Reg!C:C,MATCH($C264,Proj_Reg!$B:$B,0),1)=0,"",INDEX(Proj_Reg!C:C,MATCH($C264,Proj_Reg!$B:$B,0),1))</f>
        <v>Visual Inspection</v>
      </c>
      <c r="I264" s="6" t="str">
        <f>IF(INDEX(Proj_Reg!D:D,MATCH($C264,Proj_Reg!$B:$B,0),1)=0,"",INDEX(Proj_Reg!D:D,MATCH($C264,Proj_Reg!$B:$B,0),1))</f>
        <v>XCI</v>
      </c>
      <c r="J264" s="6" t="str">
        <f>INDEX(Proj_Reg!E:E,MATCH($C264,Proj_Reg!$B:$B,0),1)</f>
        <v>Aut Visual 2</v>
      </c>
      <c r="K264" s="21">
        <v>0</v>
      </c>
      <c r="L264" s="21">
        <v>0</v>
      </c>
      <c r="M264" s="21">
        <v>0</v>
      </c>
      <c r="N264" s="21">
        <v>0</v>
      </c>
      <c r="O264" s="11">
        <f>SUM(Table1[[#This Row],[Labor
Saving]:[OH
Saving]])</f>
        <v>0</v>
      </c>
      <c r="Q264" s="40">
        <f t="shared" si="202"/>
        <v>0</v>
      </c>
      <c r="R264" s="40">
        <f t="shared" si="203"/>
        <v>0</v>
      </c>
      <c r="S264" s="40">
        <f t="shared" si="204"/>
        <v>0</v>
      </c>
      <c r="T264" s="40">
        <f t="shared" si="205"/>
        <v>0</v>
      </c>
      <c r="U264" s="40">
        <f t="shared" si="206"/>
        <v>0</v>
      </c>
      <c r="V264" s="40">
        <f t="shared" si="207"/>
        <v>22527</v>
      </c>
      <c r="W264" s="40">
        <f t="shared" si="208"/>
        <v>79193</v>
      </c>
      <c r="X264" s="40">
        <f t="shared" si="209"/>
        <v>76463</v>
      </c>
      <c r="Y264" s="40">
        <f t="shared" si="210"/>
        <v>79193</v>
      </c>
      <c r="Z264" s="40">
        <f t="shared" si="211"/>
        <v>84644</v>
      </c>
      <c r="AA264" s="40">
        <f t="shared" si="212"/>
        <v>76453</v>
      </c>
      <c r="AB264" s="40">
        <f t="shared" si="213"/>
        <v>68262</v>
      </c>
      <c r="AC264" s="37">
        <f>SUM(Table1[[#This Row],[Jan]:[Dec]])</f>
        <v>486735</v>
      </c>
      <c r="AD264" s="15">
        <f t="shared" si="222"/>
        <v>0</v>
      </c>
      <c r="AE264" s="15">
        <f t="shared" si="223"/>
        <v>0</v>
      </c>
      <c r="AF264" s="15">
        <f t="shared" si="224"/>
        <v>0</v>
      </c>
      <c r="AG264" s="15">
        <f t="shared" si="225"/>
        <v>0</v>
      </c>
      <c r="AH264" s="15">
        <f t="shared" si="226"/>
        <v>0</v>
      </c>
      <c r="AI264" s="15">
        <f t="shared" si="227"/>
        <v>0</v>
      </c>
      <c r="AJ264" s="15">
        <f t="shared" si="228"/>
        <v>0</v>
      </c>
      <c r="AK264" s="15">
        <f t="shared" si="229"/>
        <v>0</v>
      </c>
      <c r="AL264" s="15">
        <f t="shared" si="230"/>
        <v>0</v>
      </c>
      <c r="AM264" s="15">
        <f t="shared" si="231"/>
        <v>0</v>
      </c>
      <c r="AN264" s="15">
        <f t="shared" si="232"/>
        <v>0</v>
      </c>
      <c r="AO264" s="15">
        <f t="shared" si="233"/>
        <v>0</v>
      </c>
      <c r="AP264" s="10">
        <f t="shared" si="234"/>
        <v>0</v>
      </c>
      <c r="AQ264" s="10">
        <f t="shared" si="235"/>
        <v>0</v>
      </c>
      <c r="AR264" s="10">
        <f t="shared" si="236"/>
        <v>0</v>
      </c>
      <c r="AS264" s="10">
        <f t="shared" si="237"/>
        <v>0</v>
      </c>
      <c r="AT264" s="10" t="b">
        <f t="shared" si="238"/>
        <v>1</v>
      </c>
      <c r="AU264" s="10">
        <f t="shared" si="214"/>
        <v>0</v>
      </c>
      <c r="AV264" s="10">
        <f t="shared" si="215"/>
        <v>0</v>
      </c>
      <c r="AW264" s="10">
        <f t="shared" si="216"/>
        <v>0</v>
      </c>
      <c r="AX264" s="10">
        <f t="shared" si="217"/>
        <v>0</v>
      </c>
      <c r="AY264" s="10">
        <f t="shared" si="239"/>
        <v>0</v>
      </c>
      <c r="AZ264" s="19">
        <f>IFERROR(IF($E264="REC",INDEX(A_Type_Volume!$B:$B,MATCH($D264,A_Type_Volume!$A:$A,0),1),IF($E264="VAM",INDEX(C_Type_Volume!$B:$B,MATCH($D264,C_Type_Volume!$A:$A,0),1),"X")),"")</f>
        <v>78418</v>
      </c>
      <c r="BA264" s="19">
        <f>IFERROR(IF($E264="REC",INDEX(A_Type_Volume!$C:$C,MATCH($D264,A_Type_Volume!$A:$A,0),1),IF($E264="VAM",INDEX(C_Type_Volume!$C:$C,MATCH($D264,C_Type_Volume!$A:$A,0),1),"X")),"")</f>
        <v>51473</v>
      </c>
      <c r="BB264" s="19">
        <f>IFERROR(IF($E264="REC",INDEX(A_Type_Volume!$D:$D,MATCH($D264,A_Type_Volume!$A:$A,0),1),IF($E264="VAM",INDEX(C_Type_Volume!$D:$D,MATCH($D264,C_Type_Volume!$A:$A,0),1),"X")),"")</f>
        <v>67346</v>
      </c>
      <c r="BC264" s="19">
        <f>IFERROR(IF($E264="REC",INDEX(A_Type_Volume!$E:$E,MATCH($D264,A_Type_Volume!$A:$A,0),1),IF($E264="VAM",INDEX(C_Type_Volume!$E:$E,MATCH($D264,C_Type_Volume!$A:$A,0),1),"X")),"")</f>
        <v>67044</v>
      </c>
      <c r="BD264" s="19">
        <f>IFERROR(IF($E264="REC",INDEX(A_Type_Volume!$F:$F,MATCH($D264,A_Type_Volume!$A:$A,0),1),IF($E264="VAM",INDEX(C_Type_Volume!$F:$F,MATCH($D264,C_Type_Volume!$A:$A,0),1),"X")),"")</f>
        <v>77771</v>
      </c>
      <c r="BE264" s="19">
        <f>IFERROR(IF($E264="REC",INDEX(A_Type_Volume!$G:$G,MATCH($D264,A_Type_Volume!$A:$A,0),1),IF($E264="VAM",INDEX(C_Type_Volume!$G:$G,MATCH($D264,C_Type_Volume!$A:$A,0),1),"X")),"")</f>
        <v>75090</v>
      </c>
      <c r="BF264" s="19">
        <f>IFERROR(IF($E264="REC",INDEX(A_Type_Volume!$H:$H,MATCH($D264,A_Type_Volume!$A:$A,0),1),IF($E264="VAM",INDEX(C_Type_Volume!$H:$H,MATCH($D264,C_Type_Volume!$A:$A,0),1),"X")),"")</f>
        <v>79193</v>
      </c>
      <c r="BG264" s="19">
        <f>IFERROR(IF($E264="REC",INDEX(A_Type_Volume!$I:$I,MATCH($D264,A_Type_Volume!$A:$A,0),1),IF($E264="VAM",INDEX(C_Type_Volume!$I:$I,MATCH($D264,C_Type_Volume!$A:$A,0),1),"X")),"")</f>
        <v>76463</v>
      </c>
      <c r="BH264" s="19">
        <f>IFERROR(IF($E264="REC",INDEX(A_Type_Volume!$J:$J,MATCH($D264,A_Type_Volume!$A:$A,0),1),IF($E264="VAM",INDEX(C_Type_Volume!$J:$J,MATCH($D264,C_Type_Volume!$A:$A,0),1),"X")),"")</f>
        <v>79193</v>
      </c>
      <c r="BI264" s="19">
        <f>IFERROR(IF($E264="REC",INDEX(A_Type_Volume!$K:$K,MATCH($D264,A_Type_Volume!$A:$A,0),1),IF($E264="VAM",INDEX(C_Type_Volume!$K:$K,MATCH($D264,C_Type_Volume!$A:$A,0),1),"X")),"")</f>
        <v>84644</v>
      </c>
      <c r="BJ264" s="19">
        <f>IFERROR(IF($E264="REC",INDEX(A_Type_Volume!$L:$L,MATCH($D264,A_Type_Volume!$A:$A,0),1),IF($E264="VAM",INDEX(C_Type_Volume!$L:$L,MATCH($D264,C_Type_Volume!$A:$A,0),1),"X")),"")</f>
        <v>76453</v>
      </c>
      <c r="BK264" s="19">
        <f>IFERROR(IF($E264="REC",INDEX(A_Type_Volume!M:M,MATCH($D264,A_Type_Volume!$A:$A,0),1),IF($E264="VAM",INDEX(C_Type_Volume!M:M,MATCH($D264,C_Type_Volume!$A:$A,0),1),"X")),"")</f>
        <v>68262</v>
      </c>
      <c r="BL264" s="38">
        <f>SUM(Table1[[#This Row],[Jan_AVF]:[Dec_AVF]])</f>
        <v>881350</v>
      </c>
      <c r="BM264" s="16">
        <f t="shared" si="240"/>
        <v>0</v>
      </c>
      <c r="BN264" s="16">
        <f t="shared" si="241"/>
        <v>0</v>
      </c>
      <c r="BO264" s="16">
        <f t="shared" si="242"/>
        <v>0</v>
      </c>
      <c r="BP264" s="16">
        <f t="shared" si="243"/>
        <v>0</v>
      </c>
      <c r="BQ264" s="16">
        <f t="shared" si="244"/>
        <v>0</v>
      </c>
      <c r="BR264" s="16">
        <f t="shared" si="245"/>
        <v>0</v>
      </c>
      <c r="BS264" s="16">
        <f t="shared" si="246"/>
        <v>0</v>
      </c>
      <c r="BT264" s="16">
        <f t="shared" si="247"/>
        <v>0</v>
      </c>
      <c r="BU264" s="16">
        <f t="shared" si="248"/>
        <v>0</v>
      </c>
      <c r="BV264" s="16">
        <f t="shared" si="249"/>
        <v>0</v>
      </c>
      <c r="BW264" s="16">
        <f t="shared" si="250"/>
        <v>0</v>
      </c>
      <c r="BX264" s="16">
        <f t="shared" si="251"/>
        <v>0</v>
      </c>
      <c r="BY264" s="10">
        <f t="shared" si="218"/>
        <v>0</v>
      </c>
      <c r="BZ264" s="10">
        <f t="shared" si="219"/>
        <v>0</v>
      </c>
      <c r="CA264" s="10">
        <f t="shared" si="220"/>
        <v>0</v>
      </c>
      <c r="CB264" s="10">
        <f t="shared" si="221"/>
        <v>0</v>
      </c>
      <c r="CC264" s="10">
        <f>IFERROR(Table1[[#This Row],[Labor
Saving]]*Table1[[#This Row],[Annual Volume]],"")</f>
        <v>0</v>
      </c>
      <c r="CD264" s="10">
        <f>IFERROR(Table1[[#This Row],[Annual Volume]]*Table1[[#This Row],[Yield
Saving]],"")</f>
        <v>0</v>
      </c>
      <c r="CE264" s="10">
        <f>IFERROR(Table1[[#This Row],[Annual Volume]]*Table1[[#This Row],[Material
Saving]],"")</f>
        <v>0</v>
      </c>
      <c r="CF264" s="10">
        <f>IFERROR(Table1[[#This Row],[OH
Saving]]*Table1[[#This Row],[Annual Volume]],"")</f>
        <v>0</v>
      </c>
      <c r="CG264" s="10">
        <f>SUM(Table1[[#This Row],[Labor_ASV]:[OH_ASV]])</f>
        <v>0</v>
      </c>
    </row>
    <row r="265" spans="1:85" x14ac:dyDescent="0.3">
      <c r="A265" t="str">
        <f>Table1[[#This Row],[Project Name]]&amp;Table1[[#This Row],[Part Number]]</f>
        <v>Aut Visual 2V14</v>
      </c>
      <c r="B265" t="str">
        <f>IFERROR(Table1[[#This Row],[Project Number]]&amp;Table1[[#This Row],[Part Number]],"")</f>
        <v>AME25-066V14</v>
      </c>
      <c r="C265" s="22" t="s">
        <v>113</v>
      </c>
      <c r="D265" s="24" t="s">
        <v>226</v>
      </c>
      <c r="E265" s="25" t="s">
        <v>60</v>
      </c>
      <c r="F265" s="6">
        <f>INDEX(Proj_Reg!G:G,MATCH($C265,Proj_Reg!$B:$B,0),1)</f>
        <v>46174</v>
      </c>
      <c r="G265" s="6">
        <f>INDEX(Proj_Reg!H:H,MATCH($C265,Proj_Reg!$B:$B,0),1)</f>
        <v>46508</v>
      </c>
      <c r="H265" s="6" t="str">
        <f>IF(INDEX(Proj_Reg!C:C,MATCH($C265,Proj_Reg!$B:$B,0),1)=0,"",INDEX(Proj_Reg!C:C,MATCH($C265,Proj_Reg!$B:$B,0),1))</f>
        <v>Visual Inspection</v>
      </c>
      <c r="I265" s="6" t="str">
        <f>IF(INDEX(Proj_Reg!D:D,MATCH($C265,Proj_Reg!$B:$B,0),1)=0,"",INDEX(Proj_Reg!D:D,MATCH($C265,Proj_Reg!$B:$B,0),1))</f>
        <v>XCI</v>
      </c>
      <c r="J265" s="6" t="str">
        <f>INDEX(Proj_Reg!E:E,MATCH($C265,Proj_Reg!$B:$B,0),1)</f>
        <v>Aut Visual 2</v>
      </c>
      <c r="K265" s="21">
        <v>0</v>
      </c>
      <c r="L265" s="21">
        <v>0</v>
      </c>
      <c r="M265" s="21">
        <v>0</v>
      </c>
      <c r="N265" s="21">
        <v>0</v>
      </c>
      <c r="O265" s="11">
        <f>SUM(Table1[[#This Row],[Labor
Saving]:[OH
Saving]])</f>
        <v>0</v>
      </c>
      <c r="Q265" s="40">
        <f t="shared" si="202"/>
        <v>0</v>
      </c>
      <c r="R265" s="40">
        <f t="shared" si="203"/>
        <v>0</v>
      </c>
      <c r="S265" s="40">
        <f t="shared" si="204"/>
        <v>0</v>
      </c>
      <c r="T265" s="40">
        <f t="shared" si="205"/>
        <v>0</v>
      </c>
      <c r="U265" s="40">
        <f t="shared" si="206"/>
        <v>0</v>
      </c>
      <c r="V265" s="40">
        <f t="shared" si="207"/>
        <v>22049.399999999998</v>
      </c>
      <c r="W265" s="40">
        <f t="shared" si="208"/>
        <v>77376</v>
      </c>
      <c r="X265" s="40">
        <f t="shared" si="209"/>
        <v>74708</v>
      </c>
      <c r="Y265" s="40">
        <f t="shared" si="210"/>
        <v>77376</v>
      </c>
      <c r="Z265" s="40">
        <f t="shared" si="211"/>
        <v>83388</v>
      </c>
      <c r="AA265" s="40">
        <f t="shared" si="212"/>
        <v>75318</v>
      </c>
      <c r="AB265" s="40">
        <f t="shared" si="213"/>
        <v>67248</v>
      </c>
      <c r="AC265" s="37">
        <f>SUM(Table1[[#This Row],[Jan]:[Dec]])</f>
        <v>477463.4</v>
      </c>
      <c r="AD265" s="15">
        <f t="shared" si="222"/>
        <v>0</v>
      </c>
      <c r="AE265" s="15">
        <f t="shared" si="223"/>
        <v>0</v>
      </c>
      <c r="AF265" s="15">
        <f t="shared" si="224"/>
        <v>0</v>
      </c>
      <c r="AG265" s="15">
        <f t="shared" si="225"/>
        <v>0</v>
      </c>
      <c r="AH265" s="15">
        <f t="shared" si="226"/>
        <v>0</v>
      </c>
      <c r="AI265" s="15">
        <f t="shared" si="227"/>
        <v>0</v>
      </c>
      <c r="AJ265" s="15">
        <f t="shared" si="228"/>
        <v>0</v>
      </c>
      <c r="AK265" s="15">
        <f t="shared" si="229"/>
        <v>0</v>
      </c>
      <c r="AL265" s="15">
        <f t="shared" si="230"/>
        <v>0</v>
      </c>
      <c r="AM265" s="15">
        <f t="shared" si="231"/>
        <v>0</v>
      </c>
      <c r="AN265" s="15">
        <f t="shared" si="232"/>
        <v>0</v>
      </c>
      <c r="AO265" s="15">
        <f t="shared" si="233"/>
        <v>0</v>
      </c>
      <c r="AP265" s="10">
        <f t="shared" si="234"/>
        <v>0</v>
      </c>
      <c r="AQ265" s="10">
        <f t="shared" si="235"/>
        <v>0</v>
      </c>
      <c r="AR265" s="10">
        <f t="shared" si="236"/>
        <v>0</v>
      </c>
      <c r="AS265" s="10">
        <f t="shared" si="237"/>
        <v>0</v>
      </c>
      <c r="AT265" s="10" t="b">
        <f t="shared" si="238"/>
        <v>1</v>
      </c>
      <c r="AU265" s="10">
        <f t="shared" si="214"/>
        <v>0</v>
      </c>
      <c r="AV265" s="10">
        <f t="shared" si="215"/>
        <v>0</v>
      </c>
      <c r="AW265" s="10">
        <f t="shared" si="216"/>
        <v>0</v>
      </c>
      <c r="AX265" s="10">
        <f t="shared" si="217"/>
        <v>0</v>
      </c>
      <c r="AY265" s="10">
        <f t="shared" si="239"/>
        <v>0</v>
      </c>
      <c r="AZ265" s="19">
        <f>IFERROR(IF($E265="REC",INDEX(A_Type_Volume!$B:$B,MATCH($D265,A_Type_Volume!$A:$A,0),1),IF($E265="VAM",INDEX(C_Type_Volume!$B:$B,MATCH($D265,C_Type_Volume!$A:$A,0),1),"X")),"")</f>
        <v>90616</v>
      </c>
      <c r="BA265" s="19">
        <f>IFERROR(IF($E265="REC",INDEX(A_Type_Volume!$C:$C,MATCH($D265,A_Type_Volume!$A:$A,0),1),IF($E265="VAM",INDEX(C_Type_Volume!$C:$C,MATCH($D265,C_Type_Volume!$A:$A,0),1),"X")),"")</f>
        <v>113783</v>
      </c>
      <c r="BB265" s="19">
        <f>IFERROR(IF($E265="REC",INDEX(A_Type_Volume!$D:$D,MATCH($D265,A_Type_Volume!$A:$A,0),1),IF($E265="VAM",INDEX(C_Type_Volume!$D:$D,MATCH($D265,C_Type_Volume!$A:$A,0),1),"X")),"")</f>
        <v>0</v>
      </c>
      <c r="BC265" s="19">
        <f>IFERROR(IF($E265="REC",INDEX(A_Type_Volume!$E:$E,MATCH($D265,A_Type_Volume!$A:$A,0),1),IF($E265="VAM",INDEX(C_Type_Volume!$E:$E,MATCH($D265,C_Type_Volume!$A:$A,0),1),"X")),"")</f>
        <v>65623</v>
      </c>
      <c r="BD265" s="19">
        <f>IFERROR(IF($E265="REC",INDEX(A_Type_Volume!$F:$F,MATCH($D265,A_Type_Volume!$A:$A,0),1),IF($E265="VAM",INDEX(C_Type_Volume!$F:$F,MATCH($D265,C_Type_Volume!$A:$A,0),1),"X")),"")</f>
        <v>76123</v>
      </c>
      <c r="BE265" s="19">
        <f>IFERROR(IF($E265="REC",INDEX(A_Type_Volume!$G:$G,MATCH($D265,A_Type_Volume!$A:$A,0),1),IF($E265="VAM",INDEX(C_Type_Volume!$G:$G,MATCH($D265,C_Type_Volume!$A:$A,0),1),"X")),"")</f>
        <v>73498</v>
      </c>
      <c r="BF265" s="19">
        <f>IFERROR(IF($E265="REC",INDEX(A_Type_Volume!$H:$H,MATCH($D265,A_Type_Volume!$A:$A,0),1),IF($E265="VAM",INDEX(C_Type_Volume!$H:$H,MATCH($D265,C_Type_Volume!$A:$A,0),1),"X")),"")</f>
        <v>77376</v>
      </c>
      <c r="BG265" s="19">
        <f>IFERROR(IF($E265="REC",INDEX(A_Type_Volume!$I:$I,MATCH($D265,A_Type_Volume!$A:$A,0),1),IF($E265="VAM",INDEX(C_Type_Volume!$I:$I,MATCH($D265,C_Type_Volume!$A:$A,0),1),"X")),"")</f>
        <v>74708</v>
      </c>
      <c r="BH265" s="19">
        <f>IFERROR(IF($E265="REC",INDEX(A_Type_Volume!$J:$J,MATCH($D265,A_Type_Volume!$A:$A,0),1),IF($E265="VAM",INDEX(C_Type_Volume!$J:$J,MATCH($D265,C_Type_Volume!$A:$A,0),1),"X")),"")</f>
        <v>77376</v>
      </c>
      <c r="BI265" s="19">
        <f>IFERROR(IF($E265="REC",INDEX(A_Type_Volume!$K:$K,MATCH($D265,A_Type_Volume!$A:$A,0),1),IF($E265="VAM",INDEX(C_Type_Volume!$K:$K,MATCH($D265,C_Type_Volume!$A:$A,0),1),"X")),"")</f>
        <v>83388</v>
      </c>
      <c r="BJ265" s="19">
        <f>IFERROR(IF($E265="REC",INDEX(A_Type_Volume!$L:$L,MATCH($D265,A_Type_Volume!$A:$A,0),1),IF($E265="VAM",INDEX(C_Type_Volume!$L:$L,MATCH($D265,C_Type_Volume!$A:$A,0),1),"X")),"")</f>
        <v>75318</v>
      </c>
      <c r="BK265" s="19">
        <f>IFERROR(IF($E265="REC",INDEX(A_Type_Volume!M:M,MATCH($D265,A_Type_Volume!$A:$A,0),1),IF($E265="VAM",INDEX(C_Type_Volume!M:M,MATCH($D265,C_Type_Volume!$A:$A,0),1),"X")),"")</f>
        <v>67248</v>
      </c>
      <c r="BL265" s="38">
        <f>SUM(Table1[[#This Row],[Jan_AVF]:[Dec_AVF]])</f>
        <v>875057</v>
      </c>
      <c r="BM265" s="16">
        <f t="shared" si="240"/>
        <v>0</v>
      </c>
      <c r="BN265" s="16">
        <f t="shared" si="241"/>
        <v>0</v>
      </c>
      <c r="BO265" s="16">
        <f t="shared" si="242"/>
        <v>0</v>
      </c>
      <c r="BP265" s="16">
        <f t="shared" si="243"/>
        <v>0</v>
      </c>
      <c r="BQ265" s="16">
        <f t="shared" si="244"/>
        <v>0</v>
      </c>
      <c r="BR265" s="16">
        <f t="shared" si="245"/>
        <v>0</v>
      </c>
      <c r="BS265" s="16">
        <f t="shared" si="246"/>
        <v>0</v>
      </c>
      <c r="BT265" s="16">
        <f t="shared" si="247"/>
        <v>0</v>
      </c>
      <c r="BU265" s="16">
        <f t="shared" si="248"/>
        <v>0</v>
      </c>
      <c r="BV265" s="16">
        <f t="shared" si="249"/>
        <v>0</v>
      </c>
      <c r="BW265" s="16">
        <f t="shared" si="250"/>
        <v>0</v>
      </c>
      <c r="BX265" s="16">
        <f t="shared" si="251"/>
        <v>0</v>
      </c>
      <c r="BY265" s="10">
        <f t="shared" si="218"/>
        <v>0</v>
      </c>
      <c r="BZ265" s="10">
        <f t="shared" si="219"/>
        <v>0</v>
      </c>
      <c r="CA265" s="10">
        <f t="shared" si="220"/>
        <v>0</v>
      </c>
      <c r="CB265" s="10">
        <f t="shared" si="221"/>
        <v>0</v>
      </c>
      <c r="CC265" s="10">
        <f>IFERROR(Table1[[#This Row],[Labor
Saving]]*Table1[[#This Row],[Annual Volume]],"")</f>
        <v>0</v>
      </c>
      <c r="CD265" s="10">
        <f>IFERROR(Table1[[#This Row],[Annual Volume]]*Table1[[#This Row],[Yield
Saving]],"")</f>
        <v>0</v>
      </c>
      <c r="CE265" s="10">
        <f>IFERROR(Table1[[#This Row],[Annual Volume]]*Table1[[#This Row],[Material
Saving]],"")</f>
        <v>0</v>
      </c>
      <c r="CF265" s="10">
        <f>IFERROR(Table1[[#This Row],[OH
Saving]]*Table1[[#This Row],[Annual Volume]],"")</f>
        <v>0</v>
      </c>
      <c r="CG265" s="10">
        <f>SUM(Table1[[#This Row],[Labor_ASV]:[OH_ASV]])</f>
        <v>0</v>
      </c>
    </row>
    <row r="266" spans="1:85" x14ac:dyDescent="0.3">
      <c r="A266" t="str">
        <f>Table1[[#This Row],[Project Name]]&amp;Table1[[#This Row],[Part Number]]</f>
        <v>Aut Visual 2V15</v>
      </c>
      <c r="B266" t="str">
        <f>IFERROR(Table1[[#This Row],[Project Number]]&amp;Table1[[#This Row],[Part Number]],"")</f>
        <v>AME25-066V15</v>
      </c>
      <c r="C266" s="22" t="s">
        <v>113</v>
      </c>
      <c r="D266" s="24" t="s">
        <v>227</v>
      </c>
      <c r="E266" s="25" t="s">
        <v>60</v>
      </c>
      <c r="F266" s="6">
        <f>INDEX(Proj_Reg!G:G,MATCH($C266,Proj_Reg!$B:$B,0),1)</f>
        <v>46174</v>
      </c>
      <c r="G266" s="6">
        <f>INDEX(Proj_Reg!H:H,MATCH($C266,Proj_Reg!$B:$B,0),1)</f>
        <v>46508</v>
      </c>
      <c r="H266" s="6" t="str">
        <f>IF(INDEX(Proj_Reg!C:C,MATCH($C266,Proj_Reg!$B:$B,0),1)=0,"",INDEX(Proj_Reg!C:C,MATCH($C266,Proj_Reg!$B:$B,0),1))</f>
        <v>Visual Inspection</v>
      </c>
      <c r="I266" s="6" t="str">
        <f>IF(INDEX(Proj_Reg!D:D,MATCH($C266,Proj_Reg!$B:$B,0),1)=0,"",INDEX(Proj_Reg!D:D,MATCH($C266,Proj_Reg!$B:$B,0),1))</f>
        <v>XCI</v>
      </c>
      <c r="J266" s="6" t="str">
        <f>INDEX(Proj_Reg!E:E,MATCH($C266,Proj_Reg!$B:$B,0),1)</f>
        <v>Aut Visual 2</v>
      </c>
      <c r="K266" s="21">
        <v>0</v>
      </c>
      <c r="L266" s="21">
        <v>0</v>
      </c>
      <c r="M266" s="21">
        <v>0</v>
      </c>
      <c r="N266" s="21">
        <v>0</v>
      </c>
      <c r="O266" s="11">
        <f>SUM(Table1[[#This Row],[Labor
Saving]:[OH
Saving]])</f>
        <v>0</v>
      </c>
      <c r="Q266" s="40">
        <f t="shared" si="202"/>
        <v>0</v>
      </c>
      <c r="R266" s="40">
        <f t="shared" si="203"/>
        <v>0</v>
      </c>
      <c r="S266" s="40">
        <f t="shared" si="204"/>
        <v>0</v>
      </c>
      <c r="T266" s="40">
        <f t="shared" si="205"/>
        <v>0</v>
      </c>
      <c r="U266" s="40">
        <f t="shared" si="206"/>
        <v>0</v>
      </c>
      <c r="V266" s="40">
        <f t="shared" si="207"/>
        <v>4889.0999999999995</v>
      </c>
      <c r="W266" s="40">
        <f t="shared" si="208"/>
        <v>21898</v>
      </c>
      <c r="X266" s="40">
        <f t="shared" si="209"/>
        <v>21143</v>
      </c>
      <c r="Y266" s="40">
        <f t="shared" si="210"/>
        <v>21898</v>
      </c>
      <c r="Z266" s="40">
        <f t="shared" si="211"/>
        <v>21236</v>
      </c>
      <c r="AA266" s="40">
        <f t="shared" si="212"/>
        <v>19181</v>
      </c>
      <c r="AB266" s="40">
        <f t="shared" si="213"/>
        <v>17126</v>
      </c>
      <c r="AC266" s="37">
        <f>SUM(Table1[[#This Row],[Jan]:[Dec]])</f>
        <v>127371.1</v>
      </c>
      <c r="AD266" s="15">
        <f t="shared" si="222"/>
        <v>0</v>
      </c>
      <c r="AE266" s="15">
        <f t="shared" si="223"/>
        <v>0</v>
      </c>
      <c r="AF266" s="15">
        <f t="shared" si="224"/>
        <v>0</v>
      </c>
      <c r="AG266" s="15">
        <f t="shared" si="225"/>
        <v>0</v>
      </c>
      <c r="AH266" s="15">
        <f t="shared" si="226"/>
        <v>0</v>
      </c>
      <c r="AI266" s="15">
        <f t="shared" si="227"/>
        <v>0</v>
      </c>
      <c r="AJ266" s="15">
        <f t="shared" si="228"/>
        <v>0</v>
      </c>
      <c r="AK266" s="15">
        <f t="shared" si="229"/>
        <v>0</v>
      </c>
      <c r="AL266" s="15">
        <f t="shared" si="230"/>
        <v>0</v>
      </c>
      <c r="AM266" s="15">
        <f t="shared" si="231"/>
        <v>0</v>
      </c>
      <c r="AN266" s="15">
        <f t="shared" si="232"/>
        <v>0</v>
      </c>
      <c r="AO266" s="15">
        <f t="shared" si="233"/>
        <v>0</v>
      </c>
      <c r="AP266" s="10">
        <f t="shared" si="234"/>
        <v>0</v>
      </c>
      <c r="AQ266" s="10">
        <f t="shared" si="235"/>
        <v>0</v>
      </c>
      <c r="AR266" s="10">
        <f t="shared" si="236"/>
        <v>0</v>
      </c>
      <c r="AS266" s="10">
        <f t="shared" si="237"/>
        <v>0</v>
      </c>
      <c r="AT266" s="10" t="b">
        <f t="shared" si="238"/>
        <v>1</v>
      </c>
      <c r="AU266" s="10">
        <f t="shared" si="214"/>
        <v>0</v>
      </c>
      <c r="AV266" s="10">
        <f t="shared" si="215"/>
        <v>0</v>
      </c>
      <c r="AW266" s="10">
        <f t="shared" si="216"/>
        <v>0</v>
      </c>
      <c r="AX266" s="10">
        <f t="shared" si="217"/>
        <v>0</v>
      </c>
      <c r="AY266" s="10">
        <f t="shared" si="239"/>
        <v>0</v>
      </c>
      <c r="AZ266" s="19">
        <f>IFERROR(IF($E266="REC",INDEX(A_Type_Volume!$B:$B,MATCH($D266,A_Type_Volume!$A:$A,0),1),IF($E266="VAM",INDEX(C_Type_Volume!$B:$B,MATCH($D266,C_Type_Volume!$A:$A,0),1),"X")),"")</f>
        <v>13070</v>
      </c>
      <c r="BA266" s="19">
        <f>IFERROR(IF($E266="REC",INDEX(A_Type_Volume!$C:$C,MATCH($D266,A_Type_Volume!$A:$A,0),1),IF($E266="VAM",INDEX(C_Type_Volume!$C:$C,MATCH($D266,C_Type_Volume!$A:$A,0),1),"X")),"")</f>
        <v>5418</v>
      </c>
      <c r="BB266" s="19">
        <f>IFERROR(IF($E266="REC",INDEX(A_Type_Volume!$D:$D,MATCH($D266,A_Type_Volume!$A:$A,0),1),IF($E266="VAM",INDEX(C_Type_Volume!$D:$D,MATCH($D266,C_Type_Volume!$A:$A,0),1),"X")),"")</f>
        <v>8784</v>
      </c>
      <c r="BC266" s="19">
        <f>IFERROR(IF($E266="REC",INDEX(A_Type_Volume!$E:$E,MATCH($D266,A_Type_Volume!$A:$A,0),1),IF($E266="VAM",INDEX(C_Type_Volume!$E:$E,MATCH($D266,C_Type_Volume!$A:$A,0),1),"X")),"")</f>
        <v>14551</v>
      </c>
      <c r="BD266" s="19">
        <f>IFERROR(IF($E266="REC",INDEX(A_Type_Volume!$F:$F,MATCH($D266,A_Type_Volume!$A:$A,0),1),IF($E266="VAM",INDEX(C_Type_Volume!$F:$F,MATCH($D266,C_Type_Volume!$A:$A,0),1),"X")),"")</f>
        <v>16879</v>
      </c>
      <c r="BE266" s="19">
        <f>IFERROR(IF($E266="REC",INDEX(A_Type_Volume!$G:$G,MATCH($D266,A_Type_Volume!$A:$A,0),1),IF($E266="VAM",INDEX(C_Type_Volume!$G:$G,MATCH($D266,C_Type_Volume!$A:$A,0),1),"X")),"")</f>
        <v>16297</v>
      </c>
      <c r="BF266" s="19">
        <f>IFERROR(IF($E266="REC",INDEX(A_Type_Volume!$H:$H,MATCH($D266,A_Type_Volume!$A:$A,0),1),IF($E266="VAM",INDEX(C_Type_Volume!$H:$H,MATCH($D266,C_Type_Volume!$A:$A,0),1),"X")),"")</f>
        <v>21898</v>
      </c>
      <c r="BG266" s="19">
        <f>IFERROR(IF($E266="REC",INDEX(A_Type_Volume!$I:$I,MATCH($D266,A_Type_Volume!$A:$A,0),1),IF($E266="VAM",INDEX(C_Type_Volume!$I:$I,MATCH($D266,C_Type_Volume!$A:$A,0),1),"X")),"")</f>
        <v>21143</v>
      </c>
      <c r="BH266" s="19">
        <f>IFERROR(IF($E266="REC",INDEX(A_Type_Volume!$J:$J,MATCH($D266,A_Type_Volume!$A:$A,0),1),IF($E266="VAM",INDEX(C_Type_Volume!$J:$J,MATCH($D266,C_Type_Volume!$A:$A,0),1),"X")),"")</f>
        <v>21898</v>
      </c>
      <c r="BI266" s="19">
        <f>IFERROR(IF($E266="REC",INDEX(A_Type_Volume!$K:$K,MATCH($D266,A_Type_Volume!$A:$A,0),1),IF($E266="VAM",INDEX(C_Type_Volume!$K:$K,MATCH($D266,C_Type_Volume!$A:$A,0),1),"X")),"")</f>
        <v>21236</v>
      </c>
      <c r="BJ266" s="19">
        <f>IFERROR(IF($E266="REC",INDEX(A_Type_Volume!$L:$L,MATCH($D266,A_Type_Volume!$A:$A,0),1),IF($E266="VAM",INDEX(C_Type_Volume!$L:$L,MATCH($D266,C_Type_Volume!$A:$A,0),1),"X")),"")</f>
        <v>19181</v>
      </c>
      <c r="BK266" s="19">
        <f>IFERROR(IF($E266="REC",INDEX(A_Type_Volume!M:M,MATCH($D266,A_Type_Volume!$A:$A,0),1),IF($E266="VAM",INDEX(C_Type_Volume!M:M,MATCH($D266,C_Type_Volume!$A:$A,0),1),"X")),"")</f>
        <v>17126</v>
      </c>
      <c r="BL266" s="38">
        <f>SUM(Table1[[#This Row],[Jan_AVF]:[Dec_AVF]])</f>
        <v>197481</v>
      </c>
      <c r="BM266" s="16">
        <f t="shared" si="240"/>
        <v>0</v>
      </c>
      <c r="BN266" s="16">
        <f t="shared" si="241"/>
        <v>0</v>
      </c>
      <c r="BO266" s="16">
        <f t="shared" si="242"/>
        <v>0</v>
      </c>
      <c r="BP266" s="16">
        <f t="shared" si="243"/>
        <v>0</v>
      </c>
      <c r="BQ266" s="16">
        <f t="shared" si="244"/>
        <v>0</v>
      </c>
      <c r="BR266" s="16">
        <f t="shared" si="245"/>
        <v>0</v>
      </c>
      <c r="BS266" s="16">
        <f t="shared" si="246"/>
        <v>0</v>
      </c>
      <c r="BT266" s="16">
        <f t="shared" si="247"/>
        <v>0</v>
      </c>
      <c r="BU266" s="16">
        <f t="shared" si="248"/>
        <v>0</v>
      </c>
      <c r="BV266" s="16">
        <f t="shared" si="249"/>
        <v>0</v>
      </c>
      <c r="BW266" s="16">
        <f t="shared" si="250"/>
        <v>0</v>
      </c>
      <c r="BX266" s="16">
        <f t="shared" si="251"/>
        <v>0</v>
      </c>
      <c r="BY266" s="10">
        <f t="shared" si="218"/>
        <v>0</v>
      </c>
      <c r="BZ266" s="10">
        <f t="shared" si="219"/>
        <v>0</v>
      </c>
      <c r="CA266" s="10">
        <f t="shared" si="220"/>
        <v>0</v>
      </c>
      <c r="CB266" s="10">
        <f t="shared" si="221"/>
        <v>0</v>
      </c>
      <c r="CC266" s="10">
        <f>IFERROR(Table1[[#This Row],[Labor
Saving]]*Table1[[#This Row],[Annual Volume]],"")</f>
        <v>0</v>
      </c>
      <c r="CD266" s="10">
        <f>IFERROR(Table1[[#This Row],[Annual Volume]]*Table1[[#This Row],[Yield
Saving]],"")</f>
        <v>0</v>
      </c>
      <c r="CE266" s="10">
        <f>IFERROR(Table1[[#This Row],[Annual Volume]]*Table1[[#This Row],[Material
Saving]],"")</f>
        <v>0</v>
      </c>
      <c r="CF266" s="10">
        <f>IFERROR(Table1[[#This Row],[OH
Saving]]*Table1[[#This Row],[Annual Volume]],"")</f>
        <v>0</v>
      </c>
      <c r="CG266" s="10">
        <f>SUM(Table1[[#This Row],[Labor_ASV]:[OH_ASV]])</f>
        <v>0</v>
      </c>
    </row>
    <row r="267" spans="1:85" x14ac:dyDescent="0.3">
      <c r="A267" t="str">
        <f>Table1[[#This Row],[Project Name]]&amp;Table1[[#This Row],[Part Number]]</f>
        <v>Aut Visual 2V16</v>
      </c>
      <c r="B267" t="str">
        <f>IFERROR(Table1[[#This Row],[Project Number]]&amp;Table1[[#This Row],[Part Number]],"")</f>
        <v>AME25-066V16</v>
      </c>
      <c r="C267" s="22" t="s">
        <v>113</v>
      </c>
      <c r="D267" s="24" t="s">
        <v>228</v>
      </c>
      <c r="E267" s="25" t="s">
        <v>60</v>
      </c>
      <c r="F267" s="6">
        <f>INDEX(Proj_Reg!G:G,MATCH($C267,Proj_Reg!$B:$B,0),1)</f>
        <v>46174</v>
      </c>
      <c r="G267" s="6">
        <f>INDEX(Proj_Reg!H:H,MATCH($C267,Proj_Reg!$B:$B,0),1)</f>
        <v>46508</v>
      </c>
      <c r="H267" s="6" t="str">
        <f>IF(INDEX(Proj_Reg!C:C,MATCH($C267,Proj_Reg!$B:$B,0),1)=0,"",INDEX(Proj_Reg!C:C,MATCH($C267,Proj_Reg!$B:$B,0),1))</f>
        <v>Visual Inspection</v>
      </c>
      <c r="I267" s="6" t="str">
        <f>IF(INDEX(Proj_Reg!D:D,MATCH($C267,Proj_Reg!$B:$B,0),1)=0,"",INDEX(Proj_Reg!D:D,MATCH($C267,Proj_Reg!$B:$B,0),1))</f>
        <v>XCI</v>
      </c>
      <c r="J267" s="6" t="str">
        <f>INDEX(Proj_Reg!E:E,MATCH($C267,Proj_Reg!$B:$B,0),1)</f>
        <v>Aut Visual 2</v>
      </c>
      <c r="K267" s="21">
        <v>0</v>
      </c>
      <c r="L267" s="21">
        <v>0</v>
      </c>
      <c r="M267" s="21">
        <v>0</v>
      </c>
      <c r="N267" s="21">
        <v>0</v>
      </c>
      <c r="O267" s="11">
        <f>SUM(Table1[[#This Row],[Labor
Saving]:[OH
Saving]])</f>
        <v>0</v>
      </c>
      <c r="Q267" s="40">
        <f t="shared" si="202"/>
        <v>0</v>
      </c>
      <c r="R267" s="40">
        <f t="shared" si="203"/>
        <v>0</v>
      </c>
      <c r="S267" s="40">
        <f t="shared" si="204"/>
        <v>0</v>
      </c>
      <c r="T267" s="40">
        <f t="shared" si="205"/>
        <v>0</v>
      </c>
      <c r="U267" s="40">
        <f t="shared" si="206"/>
        <v>0</v>
      </c>
      <c r="V267" s="40">
        <f t="shared" si="207"/>
        <v>5464.2</v>
      </c>
      <c r="W267" s="40">
        <f t="shared" si="208"/>
        <v>17157</v>
      </c>
      <c r="X267" s="40">
        <f t="shared" si="209"/>
        <v>16565</v>
      </c>
      <c r="Y267" s="40">
        <f t="shared" si="210"/>
        <v>17157</v>
      </c>
      <c r="Z267" s="40">
        <f t="shared" si="211"/>
        <v>28730</v>
      </c>
      <c r="AA267" s="40">
        <f t="shared" si="212"/>
        <v>25949</v>
      </c>
      <c r="AB267" s="40">
        <f t="shared" si="213"/>
        <v>23169</v>
      </c>
      <c r="AC267" s="37">
        <f>SUM(Table1[[#This Row],[Jan]:[Dec]])</f>
        <v>134191.20000000001</v>
      </c>
      <c r="AD267" s="15">
        <f t="shared" si="222"/>
        <v>0</v>
      </c>
      <c r="AE267" s="15">
        <f t="shared" si="223"/>
        <v>0</v>
      </c>
      <c r="AF267" s="15">
        <f t="shared" si="224"/>
        <v>0</v>
      </c>
      <c r="AG267" s="15">
        <f t="shared" si="225"/>
        <v>0</v>
      </c>
      <c r="AH267" s="15">
        <f t="shared" si="226"/>
        <v>0</v>
      </c>
      <c r="AI267" s="15">
        <f t="shared" si="227"/>
        <v>0</v>
      </c>
      <c r="AJ267" s="15">
        <f t="shared" si="228"/>
        <v>0</v>
      </c>
      <c r="AK267" s="15">
        <f t="shared" si="229"/>
        <v>0</v>
      </c>
      <c r="AL267" s="15">
        <f t="shared" si="230"/>
        <v>0</v>
      </c>
      <c r="AM267" s="15">
        <f t="shared" si="231"/>
        <v>0</v>
      </c>
      <c r="AN267" s="15">
        <f t="shared" si="232"/>
        <v>0</v>
      </c>
      <c r="AO267" s="15">
        <f t="shared" si="233"/>
        <v>0</v>
      </c>
      <c r="AP267" s="10">
        <f t="shared" si="234"/>
        <v>0</v>
      </c>
      <c r="AQ267" s="10">
        <f t="shared" si="235"/>
        <v>0</v>
      </c>
      <c r="AR267" s="10">
        <f t="shared" si="236"/>
        <v>0</v>
      </c>
      <c r="AS267" s="10">
        <f t="shared" si="237"/>
        <v>0</v>
      </c>
      <c r="AT267" s="10" t="b">
        <f t="shared" si="238"/>
        <v>1</v>
      </c>
      <c r="AU267" s="10">
        <f t="shared" si="214"/>
        <v>0</v>
      </c>
      <c r="AV267" s="10">
        <f t="shared" si="215"/>
        <v>0</v>
      </c>
      <c r="AW267" s="10">
        <f t="shared" si="216"/>
        <v>0</v>
      </c>
      <c r="AX267" s="10">
        <f t="shared" si="217"/>
        <v>0</v>
      </c>
      <c r="AY267" s="10">
        <f t="shared" si="239"/>
        <v>0</v>
      </c>
      <c r="AZ267" s="19">
        <f>IFERROR(IF($E267="REC",INDEX(A_Type_Volume!$B:$B,MATCH($D267,A_Type_Volume!$A:$A,0),1),IF($E267="VAM",INDEX(C_Type_Volume!$B:$B,MATCH($D267,C_Type_Volume!$A:$A,0),1),"X")),"")</f>
        <v>13941</v>
      </c>
      <c r="BA267" s="19">
        <f>IFERROR(IF($E267="REC",INDEX(A_Type_Volume!$C:$C,MATCH($D267,A_Type_Volume!$A:$A,0),1),IF($E267="VAM",INDEX(C_Type_Volume!$C:$C,MATCH($D267,C_Type_Volume!$A:$A,0),1),"X")),"")</f>
        <v>19867</v>
      </c>
      <c r="BB267" s="19">
        <f>IFERROR(IF($E267="REC",INDEX(A_Type_Volume!$D:$D,MATCH($D267,A_Type_Volume!$A:$A,0),1),IF($E267="VAM",INDEX(C_Type_Volume!$D:$D,MATCH($D267,C_Type_Volume!$A:$A,0),1),"X")),"")</f>
        <v>8784</v>
      </c>
      <c r="BC267" s="19">
        <f>IFERROR(IF($E267="REC",INDEX(A_Type_Volume!$E:$E,MATCH($D267,A_Type_Volume!$A:$A,0),1),IF($E267="VAM",INDEX(C_Type_Volume!$E:$E,MATCH($D267,C_Type_Volume!$A:$A,0),1),"X")),"")</f>
        <v>16262</v>
      </c>
      <c r="BD267" s="19">
        <f>IFERROR(IF($E267="REC",INDEX(A_Type_Volume!$F:$F,MATCH($D267,A_Type_Volume!$A:$A,0),1),IF($E267="VAM",INDEX(C_Type_Volume!$F:$F,MATCH($D267,C_Type_Volume!$A:$A,0),1),"X")),"")</f>
        <v>18864</v>
      </c>
      <c r="BE267" s="19">
        <f>IFERROR(IF($E267="REC",INDEX(A_Type_Volume!$G:$G,MATCH($D267,A_Type_Volume!$A:$A,0),1),IF($E267="VAM",INDEX(C_Type_Volume!$G:$G,MATCH($D267,C_Type_Volume!$A:$A,0),1),"X")),"")</f>
        <v>18214</v>
      </c>
      <c r="BF267" s="19">
        <f>IFERROR(IF($E267="REC",INDEX(A_Type_Volume!$H:$H,MATCH($D267,A_Type_Volume!$A:$A,0),1),IF($E267="VAM",INDEX(C_Type_Volume!$H:$H,MATCH($D267,C_Type_Volume!$A:$A,0),1),"X")),"")</f>
        <v>17157</v>
      </c>
      <c r="BG267" s="19">
        <f>IFERROR(IF($E267="REC",INDEX(A_Type_Volume!$I:$I,MATCH($D267,A_Type_Volume!$A:$A,0),1),IF($E267="VAM",INDEX(C_Type_Volume!$I:$I,MATCH($D267,C_Type_Volume!$A:$A,0),1),"X")),"")</f>
        <v>16565</v>
      </c>
      <c r="BH267" s="19">
        <f>IFERROR(IF($E267="REC",INDEX(A_Type_Volume!$J:$J,MATCH($D267,A_Type_Volume!$A:$A,0),1),IF($E267="VAM",INDEX(C_Type_Volume!$J:$J,MATCH($D267,C_Type_Volume!$A:$A,0),1),"X")),"")</f>
        <v>17157</v>
      </c>
      <c r="BI267" s="19">
        <f>IFERROR(IF($E267="REC",INDEX(A_Type_Volume!$K:$K,MATCH($D267,A_Type_Volume!$A:$A,0),1),IF($E267="VAM",INDEX(C_Type_Volume!$K:$K,MATCH($D267,C_Type_Volume!$A:$A,0),1),"X")),"")</f>
        <v>28730</v>
      </c>
      <c r="BJ267" s="19">
        <f>IFERROR(IF($E267="REC",INDEX(A_Type_Volume!$L:$L,MATCH($D267,A_Type_Volume!$A:$A,0),1),IF($E267="VAM",INDEX(C_Type_Volume!$L:$L,MATCH($D267,C_Type_Volume!$A:$A,0),1),"X")),"")</f>
        <v>25949</v>
      </c>
      <c r="BK267" s="19">
        <f>IFERROR(IF($E267="REC",INDEX(A_Type_Volume!M:M,MATCH($D267,A_Type_Volume!$A:$A,0),1),IF($E267="VAM",INDEX(C_Type_Volume!M:M,MATCH($D267,C_Type_Volume!$A:$A,0),1),"X")),"")</f>
        <v>23169</v>
      </c>
      <c r="BL267" s="38">
        <f>SUM(Table1[[#This Row],[Jan_AVF]:[Dec_AVF]])</f>
        <v>224659</v>
      </c>
      <c r="BM267" s="16">
        <f t="shared" si="240"/>
        <v>0</v>
      </c>
      <c r="BN267" s="16">
        <f t="shared" si="241"/>
        <v>0</v>
      </c>
      <c r="BO267" s="16">
        <f t="shared" si="242"/>
        <v>0</v>
      </c>
      <c r="BP267" s="16">
        <f t="shared" si="243"/>
        <v>0</v>
      </c>
      <c r="BQ267" s="16">
        <f t="shared" si="244"/>
        <v>0</v>
      </c>
      <c r="BR267" s="16">
        <f t="shared" si="245"/>
        <v>0</v>
      </c>
      <c r="BS267" s="16">
        <f t="shared" si="246"/>
        <v>0</v>
      </c>
      <c r="BT267" s="16">
        <f t="shared" si="247"/>
        <v>0</v>
      </c>
      <c r="BU267" s="16">
        <f t="shared" si="248"/>
        <v>0</v>
      </c>
      <c r="BV267" s="16">
        <f t="shared" si="249"/>
        <v>0</v>
      </c>
      <c r="BW267" s="16">
        <f t="shared" si="250"/>
        <v>0</v>
      </c>
      <c r="BX267" s="16">
        <f t="shared" si="251"/>
        <v>0</v>
      </c>
      <c r="BY267" s="10">
        <f t="shared" si="218"/>
        <v>0</v>
      </c>
      <c r="BZ267" s="10">
        <f t="shared" si="219"/>
        <v>0</v>
      </c>
      <c r="CA267" s="10">
        <f t="shared" si="220"/>
        <v>0</v>
      </c>
      <c r="CB267" s="10">
        <f t="shared" si="221"/>
        <v>0</v>
      </c>
      <c r="CC267" s="10">
        <f>IFERROR(Table1[[#This Row],[Labor
Saving]]*Table1[[#This Row],[Annual Volume]],"")</f>
        <v>0</v>
      </c>
      <c r="CD267" s="10">
        <f>IFERROR(Table1[[#This Row],[Annual Volume]]*Table1[[#This Row],[Yield
Saving]],"")</f>
        <v>0</v>
      </c>
      <c r="CE267" s="10">
        <f>IFERROR(Table1[[#This Row],[Annual Volume]]*Table1[[#This Row],[Material
Saving]],"")</f>
        <v>0</v>
      </c>
      <c r="CF267" s="10">
        <f>IFERROR(Table1[[#This Row],[OH
Saving]]*Table1[[#This Row],[Annual Volume]],"")</f>
        <v>0</v>
      </c>
      <c r="CG267" s="10">
        <f>SUM(Table1[[#This Row],[Labor_ASV]:[OH_ASV]])</f>
        <v>0</v>
      </c>
    </row>
    <row r="268" spans="1:85" x14ac:dyDescent="0.3">
      <c r="A268" t="str">
        <f>Table1[[#This Row],[Project Name]]&amp;Table1[[#This Row],[Part Number]]</f>
        <v>Aut Visual 2V17</v>
      </c>
      <c r="B268" t="str">
        <f>IFERROR(Table1[[#This Row],[Project Number]]&amp;Table1[[#This Row],[Part Number]],"")</f>
        <v>AME25-066V17</v>
      </c>
      <c r="C268" s="22" t="s">
        <v>113</v>
      </c>
      <c r="D268" s="24" t="s">
        <v>229</v>
      </c>
      <c r="E268" s="25" t="s">
        <v>60</v>
      </c>
      <c r="F268" s="6">
        <f>INDEX(Proj_Reg!G:G,MATCH($C268,Proj_Reg!$B:$B,0),1)</f>
        <v>46174</v>
      </c>
      <c r="G268" s="6">
        <f>INDEX(Proj_Reg!H:H,MATCH($C268,Proj_Reg!$B:$B,0),1)</f>
        <v>46508</v>
      </c>
      <c r="H268" s="6" t="str">
        <f>IF(INDEX(Proj_Reg!C:C,MATCH($C268,Proj_Reg!$B:$B,0),1)=0,"",INDEX(Proj_Reg!C:C,MATCH($C268,Proj_Reg!$B:$B,0),1))</f>
        <v>Visual Inspection</v>
      </c>
      <c r="I268" s="6" t="str">
        <f>IF(INDEX(Proj_Reg!D:D,MATCH($C268,Proj_Reg!$B:$B,0),1)=0,"",INDEX(Proj_Reg!D:D,MATCH($C268,Proj_Reg!$B:$B,0),1))</f>
        <v>XCI</v>
      </c>
      <c r="J268" s="6" t="str">
        <f>INDEX(Proj_Reg!E:E,MATCH($C268,Proj_Reg!$B:$B,0),1)</f>
        <v>Aut Visual 2</v>
      </c>
      <c r="K268" s="21">
        <v>0</v>
      </c>
      <c r="L268" s="21">
        <v>0</v>
      </c>
      <c r="M268" s="21">
        <v>0</v>
      </c>
      <c r="N268" s="21">
        <v>0</v>
      </c>
      <c r="O268" s="11">
        <f>SUM(Table1[[#This Row],[Labor
Saving]:[OH
Saving]])</f>
        <v>0</v>
      </c>
      <c r="Q268" s="40">
        <f t="shared" si="202"/>
        <v>0</v>
      </c>
      <c r="R268" s="40">
        <f t="shared" si="203"/>
        <v>0</v>
      </c>
      <c r="S268" s="40">
        <f t="shared" si="204"/>
        <v>0</v>
      </c>
      <c r="T268" s="40">
        <f t="shared" si="205"/>
        <v>0</v>
      </c>
      <c r="U268" s="40">
        <f t="shared" si="206"/>
        <v>0</v>
      </c>
      <c r="V268" s="40">
        <f t="shared" si="207"/>
        <v>4038</v>
      </c>
      <c r="W268" s="40">
        <f t="shared" si="208"/>
        <v>12749</v>
      </c>
      <c r="X268" s="40">
        <f t="shared" si="209"/>
        <v>12309</v>
      </c>
      <c r="Y268" s="40">
        <f t="shared" si="210"/>
        <v>12749</v>
      </c>
      <c r="Z268" s="40">
        <f t="shared" si="211"/>
        <v>15081</v>
      </c>
      <c r="AA268" s="40">
        <f t="shared" si="212"/>
        <v>13621</v>
      </c>
      <c r="AB268" s="40">
        <f t="shared" si="213"/>
        <v>12162</v>
      </c>
      <c r="AC268" s="37">
        <f>SUM(Table1[[#This Row],[Jan]:[Dec]])</f>
        <v>82709</v>
      </c>
      <c r="AD268" s="15">
        <f t="shared" si="222"/>
        <v>0</v>
      </c>
      <c r="AE268" s="15">
        <f t="shared" si="223"/>
        <v>0</v>
      </c>
      <c r="AF268" s="15">
        <f t="shared" si="224"/>
        <v>0</v>
      </c>
      <c r="AG268" s="15">
        <f t="shared" si="225"/>
        <v>0</v>
      </c>
      <c r="AH268" s="15">
        <f t="shared" si="226"/>
        <v>0</v>
      </c>
      <c r="AI268" s="15">
        <f t="shared" si="227"/>
        <v>0</v>
      </c>
      <c r="AJ268" s="15">
        <f t="shared" si="228"/>
        <v>0</v>
      </c>
      <c r="AK268" s="15">
        <f t="shared" si="229"/>
        <v>0</v>
      </c>
      <c r="AL268" s="15">
        <f t="shared" si="230"/>
        <v>0</v>
      </c>
      <c r="AM268" s="15">
        <f t="shared" si="231"/>
        <v>0</v>
      </c>
      <c r="AN268" s="15">
        <f t="shared" si="232"/>
        <v>0</v>
      </c>
      <c r="AO268" s="15">
        <f t="shared" si="233"/>
        <v>0</v>
      </c>
      <c r="AP268" s="10">
        <f t="shared" si="234"/>
        <v>0</v>
      </c>
      <c r="AQ268" s="10">
        <f t="shared" si="235"/>
        <v>0</v>
      </c>
      <c r="AR268" s="10">
        <f t="shared" si="236"/>
        <v>0</v>
      </c>
      <c r="AS268" s="10">
        <f t="shared" si="237"/>
        <v>0</v>
      </c>
      <c r="AT268" s="10" t="b">
        <f t="shared" si="238"/>
        <v>1</v>
      </c>
      <c r="AU268" s="10">
        <f t="shared" si="214"/>
        <v>0</v>
      </c>
      <c r="AV268" s="10">
        <f t="shared" si="215"/>
        <v>0</v>
      </c>
      <c r="AW268" s="10">
        <f t="shared" si="216"/>
        <v>0</v>
      </c>
      <c r="AX268" s="10">
        <f t="shared" si="217"/>
        <v>0</v>
      </c>
      <c r="AY268" s="10">
        <f t="shared" si="239"/>
        <v>0</v>
      </c>
      <c r="AZ268" s="19">
        <f>IFERROR(IF($E268="REC",INDEX(A_Type_Volume!$B:$B,MATCH($D268,A_Type_Volume!$A:$A,0),1),IF($E268="VAM",INDEX(C_Type_Volume!$B:$B,MATCH($D268,C_Type_Volume!$A:$A,0),1),"X")),"")</f>
        <v>17378</v>
      </c>
      <c r="BA268" s="19">
        <f>IFERROR(IF($E268="REC",INDEX(A_Type_Volume!$C:$C,MATCH($D268,A_Type_Volume!$A:$A,0),1),IF($E268="VAM",INDEX(C_Type_Volume!$C:$C,MATCH($D268,C_Type_Volume!$A:$A,0),1),"X")),"")</f>
        <v>13642</v>
      </c>
      <c r="BB268" s="19">
        <f>IFERROR(IF($E268="REC",INDEX(A_Type_Volume!$D:$D,MATCH($D268,A_Type_Volume!$A:$A,0),1),IF($E268="VAM",INDEX(C_Type_Volume!$D:$D,MATCH($D268,C_Type_Volume!$A:$A,0),1),"X")),"")</f>
        <v>8383</v>
      </c>
      <c r="BC268" s="19">
        <f>IFERROR(IF($E268="REC",INDEX(A_Type_Volume!$E:$E,MATCH($D268,A_Type_Volume!$A:$A,0),1),IF($E268="VAM",INDEX(C_Type_Volume!$E:$E,MATCH($D268,C_Type_Volume!$A:$A,0),1),"X")),"")</f>
        <v>12018</v>
      </c>
      <c r="BD268" s="19">
        <f>IFERROR(IF($E268="REC",INDEX(A_Type_Volume!$F:$F,MATCH($D268,A_Type_Volume!$A:$A,0),1),IF($E268="VAM",INDEX(C_Type_Volume!$F:$F,MATCH($D268,C_Type_Volume!$A:$A,0),1),"X")),"")</f>
        <v>13941</v>
      </c>
      <c r="BE268" s="19">
        <f>IFERROR(IF($E268="REC",INDEX(A_Type_Volume!$G:$G,MATCH($D268,A_Type_Volume!$A:$A,0),1),IF($E268="VAM",INDEX(C_Type_Volume!$G:$G,MATCH($D268,C_Type_Volume!$A:$A,0),1),"X")),"")</f>
        <v>13460</v>
      </c>
      <c r="BF268" s="19">
        <f>IFERROR(IF($E268="REC",INDEX(A_Type_Volume!$H:$H,MATCH($D268,A_Type_Volume!$A:$A,0),1),IF($E268="VAM",INDEX(C_Type_Volume!$H:$H,MATCH($D268,C_Type_Volume!$A:$A,0),1),"X")),"")</f>
        <v>12749</v>
      </c>
      <c r="BG268" s="19">
        <f>IFERROR(IF($E268="REC",INDEX(A_Type_Volume!$I:$I,MATCH($D268,A_Type_Volume!$A:$A,0),1),IF($E268="VAM",INDEX(C_Type_Volume!$I:$I,MATCH($D268,C_Type_Volume!$A:$A,0),1),"X")),"")</f>
        <v>12309</v>
      </c>
      <c r="BH268" s="19">
        <f>IFERROR(IF($E268="REC",INDEX(A_Type_Volume!$J:$J,MATCH($D268,A_Type_Volume!$A:$A,0),1),IF($E268="VAM",INDEX(C_Type_Volume!$J:$J,MATCH($D268,C_Type_Volume!$A:$A,0),1),"X")),"")</f>
        <v>12749</v>
      </c>
      <c r="BI268" s="19">
        <f>IFERROR(IF($E268="REC",INDEX(A_Type_Volume!$K:$K,MATCH($D268,A_Type_Volume!$A:$A,0),1),IF($E268="VAM",INDEX(C_Type_Volume!$K:$K,MATCH($D268,C_Type_Volume!$A:$A,0),1),"X")),"")</f>
        <v>15081</v>
      </c>
      <c r="BJ268" s="19">
        <f>IFERROR(IF($E268="REC",INDEX(A_Type_Volume!$L:$L,MATCH($D268,A_Type_Volume!$A:$A,0),1),IF($E268="VAM",INDEX(C_Type_Volume!$L:$L,MATCH($D268,C_Type_Volume!$A:$A,0),1),"X")),"")</f>
        <v>13621</v>
      </c>
      <c r="BK268" s="19">
        <f>IFERROR(IF($E268="REC",INDEX(A_Type_Volume!M:M,MATCH($D268,A_Type_Volume!$A:$A,0),1),IF($E268="VAM",INDEX(C_Type_Volume!M:M,MATCH($D268,C_Type_Volume!$A:$A,0),1),"X")),"")</f>
        <v>12162</v>
      </c>
      <c r="BL268" s="38">
        <f>SUM(Table1[[#This Row],[Jan_AVF]:[Dec_AVF]])</f>
        <v>157493</v>
      </c>
      <c r="BM268" s="16">
        <f t="shared" si="240"/>
        <v>0</v>
      </c>
      <c r="BN268" s="16">
        <f t="shared" si="241"/>
        <v>0</v>
      </c>
      <c r="BO268" s="16">
        <f t="shared" si="242"/>
        <v>0</v>
      </c>
      <c r="BP268" s="16">
        <f t="shared" si="243"/>
        <v>0</v>
      </c>
      <c r="BQ268" s="16">
        <f t="shared" si="244"/>
        <v>0</v>
      </c>
      <c r="BR268" s="16">
        <f t="shared" si="245"/>
        <v>0</v>
      </c>
      <c r="BS268" s="16">
        <f t="shared" si="246"/>
        <v>0</v>
      </c>
      <c r="BT268" s="16">
        <f t="shared" si="247"/>
        <v>0</v>
      </c>
      <c r="BU268" s="16">
        <f t="shared" si="248"/>
        <v>0</v>
      </c>
      <c r="BV268" s="16">
        <f t="shared" si="249"/>
        <v>0</v>
      </c>
      <c r="BW268" s="16">
        <f t="shared" si="250"/>
        <v>0</v>
      </c>
      <c r="BX268" s="16">
        <f t="shared" si="251"/>
        <v>0</v>
      </c>
      <c r="BY268" s="10">
        <f t="shared" si="218"/>
        <v>0</v>
      </c>
      <c r="BZ268" s="10">
        <f t="shared" si="219"/>
        <v>0</v>
      </c>
      <c r="CA268" s="10">
        <f t="shared" si="220"/>
        <v>0</v>
      </c>
      <c r="CB268" s="10">
        <f t="shared" si="221"/>
        <v>0</v>
      </c>
      <c r="CC268" s="10">
        <f>IFERROR(Table1[[#This Row],[Labor
Saving]]*Table1[[#This Row],[Annual Volume]],"")</f>
        <v>0</v>
      </c>
      <c r="CD268" s="10">
        <f>IFERROR(Table1[[#This Row],[Annual Volume]]*Table1[[#This Row],[Yield
Saving]],"")</f>
        <v>0</v>
      </c>
      <c r="CE268" s="10">
        <f>IFERROR(Table1[[#This Row],[Annual Volume]]*Table1[[#This Row],[Material
Saving]],"")</f>
        <v>0</v>
      </c>
      <c r="CF268" s="10">
        <f>IFERROR(Table1[[#This Row],[OH
Saving]]*Table1[[#This Row],[Annual Volume]],"")</f>
        <v>0</v>
      </c>
      <c r="CG268" s="10">
        <f>SUM(Table1[[#This Row],[Labor_ASV]:[OH_ASV]])</f>
        <v>0</v>
      </c>
    </row>
    <row r="269" spans="1:85" x14ac:dyDescent="0.3">
      <c r="A269" t="str">
        <f>Table1[[#This Row],[Project Name]]&amp;Table1[[#This Row],[Part Number]]</f>
        <v>Aut Visual 2V18</v>
      </c>
      <c r="B269" t="str">
        <f>IFERROR(Table1[[#This Row],[Project Number]]&amp;Table1[[#This Row],[Part Number]],"")</f>
        <v>AME25-066V18</v>
      </c>
      <c r="C269" s="22" t="s">
        <v>113</v>
      </c>
      <c r="D269" s="24" t="s">
        <v>230</v>
      </c>
      <c r="E269" s="25" t="s">
        <v>60</v>
      </c>
      <c r="F269" s="6">
        <f>INDEX(Proj_Reg!G:G,MATCH($C269,Proj_Reg!$B:$B,0),1)</f>
        <v>46174</v>
      </c>
      <c r="G269" s="6">
        <f>INDEX(Proj_Reg!H:H,MATCH($C269,Proj_Reg!$B:$B,0),1)</f>
        <v>46508</v>
      </c>
      <c r="H269" s="6" t="str">
        <f>IF(INDEX(Proj_Reg!C:C,MATCH($C269,Proj_Reg!$B:$B,0),1)=0,"",INDEX(Proj_Reg!C:C,MATCH($C269,Proj_Reg!$B:$B,0),1))</f>
        <v>Visual Inspection</v>
      </c>
      <c r="I269" s="6" t="str">
        <f>IF(INDEX(Proj_Reg!D:D,MATCH($C269,Proj_Reg!$B:$B,0),1)=0,"",INDEX(Proj_Reg!D:D,MATCH($C269,Proj_Reg!$B:$B,0),1))</f>
        <v>XCI</v>
      </c>
      <c r="J269" s="6" t="str">
        <f>INDEX(Proj_Reg!E:E,MATCH($C269,Proj_Reg!$B:$B,0),1)</f>
        <v>Aut Visual 2</v>
      </c>
      <c r="K269" s="21">
        <v>0</v>
      </c>
      <c r="L269" s="21">
        <v>0</v>
      </c>
      <c r="M269" s="21">
        <v>0</v>
      </c>
      <c r="N269" s="21">
        <v>0</v>
      </c>
      <c r="O269" s="11">
        <f>SUM(Table1[[#This Row],[Labor
Saving]:[OH
Saving]])</f>
        <v>0</v>
      </c>
      <c r="Q269" s="40">
        <f t="shared" si="202"/>
        <v>0</v>
      </c>
      <c r="R269" s="40">
        <f t="shared" si="203"/>
        <v>0</v>
      </c>
      <c r="S269" s="40">
        <f t="shared" si="204"/>
        <v>0</v>
      </c>
      <c r="T269" s="40">
        <f t="shared" si="205"/>
        <v>0</v>
      </c>
      <c r="U269" s="40">
        <f t="shared" si="206"/>
        <v>0</v>
      </c>
      <c r="V269" s="40">
        <f t="shared" si="207"/>
        <v>2781</v>
      </c>
      <c r="W269" s="40">
        <f t="shared" si="208"/>
        <v>8690</v>
      </c>
      <c r="X269" s="40">
        <f t="shared" si="209"/>
        <v>8391</v>
      </c>
      <c r="Y269" s="40">
        <f t="shared" si="210"/>
        <v>8690</v>
      </c>
      <c r="Z269" s="40">
        <f t="shared" si="211"/>
        <v>11062</v>
      </c>
      <c r="AA269" s="40">
        <f t="shared" si="212"/>
        <v>9992</v>
      </c>
      <c r="AB269" s="40">
        <f t="shared" si="213"/>
        <v>8921</v>
      </c>
      <c r="AC269" s="37">
        <f>SUM(Table1[[#This Row],[Jan]:[Dec]])</f>
        <v>58527</v>
      </c>
      <c r="AD269" s="15">
        <f t="shared" si="222"/>
        <v>0</v>
      </c>
      <c r="AE269" s="15">
        <f t="shared" si="223"/>
        <v>0</v>
      </c>
      <c r="AF269" s="15">
        <f t="shared" si="224"/>
        <v>0</v>
      </c>
      <c r="AG269" s="15">
        <f t="shared" si="225"/>
        <v>0</v>
      </c>
      <c r="AH269" s="15">
        <f t="shared" si="226"/>
        <v>0</v>
      </c>
      <c r="AI269" s="15">
        <f t="shared" si="227"/>
        <v>0</v>
      </c>
      <c r="AJ269" s="15">
        <f t="shared" si="228"/>
        <v>0</v>
      </c>
      <c r="AK269" s="15">
        <f t="shared" si="229"/>
        <v>0</v>
      </c>
      <c r="AL269" s="15">
        <f t="shared" si="230"/>
        <v>0</v>
      </c>
      <c r="AM269" s="15">
        <f t="shared" si="231"/>
        <v>0</v>
      </c>
      <c r="AN269" s="15">
        <f t="shared" si="232"/>
        <v>0</v>
      </c>
      <c r="AO269" s="15">
        <f t="shared" si="233"/>
        <v>0</v>
      </c>
      <c r="AP269" s="10">
        <f t="shared" si="234"/>
        <v>0</v>
      </c>
      <c r="AQ269" s="10">
        <f t="shared" si="235"/>
        <v>0</v>
      </c>
      <c r="AR269" s="10">
        <f t="shared" si="236"/>
        <v>0</v>
      </c>
      <c r="AS269" s="10">
        <f t="shared" si="237"/>
        <v>0</v>
      </c>
      <c r="AT269" s="10" t="b">
        <f t="shared" si="238"/>
        <v>1</v>
      </c>
      <c r="AU269" s="10">
        <f t="shared" si="214"/>
        <v>0</v>
      </c>
      <c r="AV269" s="10">
        <f t="shared" si="215"/>
        <v>0</v>
      </c>
      <c r="AW269" s="10">
        <f t="shared" si="216"/>
        <v>0</v>
      </c>
      <c r="AX269" s="10">
        <f t="shared" si="217"/>
        <v>0</v>
      </c>
      <c r="AY269" s="10">
        <f t="shared" si="239"/>
        <v>0</v>
      </c>
      <c r="AZ269" s="19">
        <f>IFERROR(IF($E269="REC",INDEX(A_Type_Volume!$B:$B,MATCH($D269,A_Type_Volume!$A:$A,0),1),IF($E269="VAM",INDEX(C_Type_Volume!$B:$B,MATCH($D269,C_Type_Volume!$A:$A,0),1),"X")),"")</f>
        <v>6319</v>
      </c>
      <c r="BA269" s="19">
        <f>IFERROR(IF($E269="REC",INDEX(A_Type_Volume!$C:$C,MATCH($D269,A_Type_Volume!$A:$A,0),1),IF($E269="VAM",INDEX(C_Type_Volume!$C:$C,MATCH($D269,C_Type_Volume!$A:$A,0),1),"X")),"")</f>
        <v>7692</v>
      </c>
      <c r="BB269" s="19">
        <f>IFERROR(IF($E269="REC",INDEX(A_Type_Volume!$D:$D,MATCH($D269,A_Type_Volume!$A:$A,0),1),IF($E269="VAM",INDEX(C_Type_Volume!$D:$D,MATCH($D269,C_Type_Volume!$A:$A,0),1),"X")),"")</f>
        <v>20120</v>
      </c>
      <c r="BC269" s="19">
        <f>IFERROR(IF($E269="REC",INDEX(A_Type_Volume!$E:$E,MATCH($D269,A_Type_Volume!$A:$A,0),1),IF($E269="VAM",INDEX(C_Type_Volume!$E:$E,MATCH($D269,C_Type_Volume!$A:$A,0),1),"X")),"")</f>
        <v>8276</v>
      </c>
      <c r="BD269" s="19">
        <f>IFERROR(IF($E269="REC",INDEX(A_Type_Volume!$F:$F,MATCH($D269,A_Type_Volume!$A:$A,0),1),IF($E269="VAM",INDEX(C_Type_Volume!$F:$F,MATCH($D269,C_Type_Volume!$A:$A,0),1),"X")),"")</f>
        <v>9601</v>
      </c>
      <c r="BE269" s="19">
        <f>IFERROR(IF($E269="REC",INDEX(A_Type_Volume!$G:$G,MATCH($D269,A_Type_Volume!$A:$A,0),1),IF($E269="VAM",INDEX(C_Type_Volume!$G:$G,MATCH($D269,C_Type_Volume!$A:$A,0),1),"X")),"")</f>
        <v>9270</v>
      </c>
      <c r="BF269" s="19">
        <f>IFERROR(IF($E269="REC",INDEX(A_Type_Volume!$H:$H,MATCH($D269,A_Type_Volume!$A:$A,0),1),IF($E269="VAM",INDEX(C_Type_Volume!$H:$H,MATCH($D269,C_Type_Volume!$A:$A,0),1),"X")),"")</f>
        <v>8690</v>
      </c>
      <c r="BG269" s="19">
        <f>IFERROR(IF($E269="REC",INDEX(A_Type_Volume!$I:$I,MATCH($D269,A_Type_Volume!$A:$A,0),1),IF($E269="VAM",INDEX(C_Type_Volume!$I:$I,MATCH($D269,C_Type_Volume!$A:$A,0),1),"X")),"")</f>
        <v>8391</v>
      </c>
      <c r="BH269" s="19">
        <f>IFERROR(IF($E269="REC",INDEX(A_Type_Volume!$J:$J,MATCH($D269,A_Type_Volume!$A:$A,0),1),IF($E269="VAM",INDEX(C_Type_Volume!$J:$J,MATCH($D269,C_Type_Volume!$A:$A,0),1),"X")),"")</f>
        <v>8690</v>
      </c>
      <c r="BI269" s="19">
        <f>IFERROR(IF($E269="REC",INDEX(A_Type_Volume!$K:$K,MATCH($D269,A_Type_Volume!$A:$A,0),1),IF($E269="VAM",INDEX(C_Type_Volume!$K:$K,MATCH($D269,C_Type_Volume!$A:$A,0),1),"X")),"")</f>
        <v>11062</v>
      </c>
      <c r="BJ269" s="19">
        <f>IFERROR(IF($E269="REC",INDEX(A_Type_Volume!$L:$L,MATCH($D269,A_Type_Volume!$A:$A,0),1),IF($E269="VAM",INDEX(C_Type_Volume!$L:$L,MATCH($D269,C_Type_Volume!$A:$A,0),1),"X")),"")</f>
        <v>9992</v>
      </c>
      <c r="BK269" s="19">
        <f>IFERROR(IF($E269="REC",INDEX(A_Type_Volume!M:M,MATCH($D269,A_Type_Volume!$A:$A,0),1),IF($E269="VAM",INDEX(C_Type_Volume!M:M,MATCH($D269,C_Type_Volume!$A:$A,0),1),"X")),"")</f>
        <v>8921</v>
      </c>
      <c r="BL269" s="38">
        <f>SUM(Table1[[#This Row],[Jan_AVF]:[Dec_AVF]])</f>
        <v>117024</v>
      </c>
      <c r="BM269" s="16">
        <f t="shared" si="240"/>
        <v>0</v>
      </c>
      <c r="BN269" s="16">
        <f t="shared" si="241"/>
        <v>0</v>
      </c>
      <c r="BO269" s="16">
        <f t="shared" si="242"/>
        <v>0</v>
      </c>
      <c r="BP269" s="16">
        <f t="shared" si="243"/>
        <v>0</v>
      </c>
      <c r="BQ269" s="16">
        <f t="shared" si="244"/>
        <v>0</v>
      </c>
      <c r="BR269" s="16">
        <f t="shared" si="245"/>
        <v>0</v>
      </c>
      <c r="BS269" s="16">
        <f t="shared" si="246"/>
        <v>0</v>
      </c>
      <c r="BT269" s="16">
        <f t="shared" si="247"/>
        <v>0</v>
      </c>
      <c r="BU269" s="16">
        <f t="shared" si="248"/>
        <v>0</v>
      </c>
      <c r="BV269" s="16">
        <f t="shared" si="249"/>
        <v>0</v>
      </c>
      <c r="BW269" s="16">
        <f t="shared" si="250"/>
        <v>0</v>
      </c>
      <c r="BX269" s="16">
        <f t="shared" si="251"/>
        <v>0</v>
      </c>
      <c r="BY269" s="10">
        <f t="shared" si="218"/>
        <v>0</v>
      </c>
      <c r="BZ269" s="10">
        <f t="shared" si="219"/>
        <v>0</v>
      </c>
      <c r="CA269" s="10">
        <f t="shared" si="220"/>
        <v>0</v>
      </c>
      <c r="CB269" s="10">
        <f t="shared" si="221"/>
        <v>0</v>
      </c>
      <c r="CC269" s="10">
        <f>IFERROR(Table1[[#This Row],[Labor
Saving]]*Table1[[#This Row],[Annual Volume]],"")</f>
        <v>0</v>
      </c>
      <c r="CD269" s="10">
        <f>IFERROR(Table1[[#This Row],[Annual Volume]]*Table1[[#This Row],[Yield
Saving]],"")</f>
        <v>0</v>
      </c>
      <c r="CE269" s="10">
        <f>IFERROR(Table1[[#This Row],[Annual Volume]]*Table1[[#This Row],[Material
Saving]],"")</f>
        <v>0</v>
      </c>
      <c r="CF269" s="10">
        <f>IFERROR(Table1[[#This Row],[OH
Saving]]*Table1[[#This Row],[Annual Volume]],"")</f>
        <v>0</v>
      </c>
      <c r="CG269" s="10">
        <f>SUM(Table1[[#This Row],[Labor_ASV]:[OH_ASV]])</f>
        <v>0</v>
      </c>
    </row>
    <row r="270" spans="1:85" x14ac:dyDescent="0.3">
      <c r="A270" t="str">
        <f>Table1[[#This Row],[Project Name]]&amp;Table1[[#This Row],[Part Number]]</f>
        <v>Aut Visual 2V19</v>
      </c>
      <c r="B270" t="str">
        <f>IFERROR(Table1[[#This Row],[Project Number]]&amp;Table1[[#This Row],[Part Number]],"")</f>
        <v>AME25-066V19</v>
      </c>
      <c r="C270" s="22" t="s">
        <v>113</v>
      </c>
      <c r="D270" s="24" t="s">
        <v>231</v>
      </c>
      <c r="E270" s="25" t="s">
        <v>60</v>
      </c>
      <c r="F270" s="6">
        <f>INDEX(Proj_Reg!G:G,MATCH($C270,Proj_Reg!$B:$B,0),1)</f>
        <v>46174</v>
      </c>
      <c r="G270" s="6">
        <f>INDEX(Proj_Reg!H:H,MATCH($C270,Proj_Reg!$B:$B,0),1)</f>
        <v>46508</v>
      </c>
      <c r="H270" s="6" t="str">
        <f>IF(INDEX(Proj_Reg!C:C,MATCH($C270,Proj_Reg!$B:$B,0),1)=0,"",INDEX(Proj_Reg!C:C,MATCH($C270,Proj_Reg!$B:$B,0),1))</f>
        <v>Visual Inspection</v>
      </c>
      <c r="I270" s="6" t="str">
        <f>IF(INDEX(Proj_Reg!D:D,MATCH($C270,Proj_Reg!$B:$B,0),1)=0,"",INDEX(Proj_Reg!D:D,MATCH($C270,Proj_Reg!$B:$B,0),1))</f>
        <v>XCI</v>
      </c>
      <c r="J270" s="6" t="str">
        <f>INDEX(Proj_Reg!E:E,MATCH($C270,Proj_Reg!$B:$B,0),1)</f>
        <v>Aut Visual 2</v>
      </c>
      <c r="K270" s="21">
        <v>0</v>
      </c>
      <c r="L270" s="21">
        <v>0</v>
      </c>
      <c r="M270" s="21">
        <v>0</v>
      </c>
      <c r="N270" s="21">
        <v>0</v>
      </c>
      <c r="O270" s="11">
        <f>SUM(Table1[[#This Row],[Labor
Saving]:[OH
Saving]])</f>
        <v>0</v>
      </c>
      <c r="Q270" s="40">
        <f t="shared" si="202"/>
        <v>0</v>
      </c>
      <c r="R270" s="40">
        <f t="shared" si="203"/>
        <v>0</v>
      </c>
      <c r="S270" s="40">
        <f t="shared" si="204"/>
        <v>0</v>
      </c>
      <c r="T270" s="40">
        <f t="shared" si="205"/>
        <v>0</v>
      </c>
      <c r="U270" s="40">
        <f t="shared" si="206"/>
        <v>0</v>
      </c>
      <c r="V270" s="40">
        <f t="shared" si="207"/>
        <v>12741.3</v>
      </c>
      <c r="W270" s="40">
        <f t="shared" si="208"/>
        <v>43165</v>
      </c>
      <c r="X270" s="40">
        <f t="shared" si="209"/>
        <v>41676</v>
      </c>
      <c r="Y270" s="40">
        <f t="shared" si="210"/>
        <v>43165</v>
      </c>
      <c r="Z270" s="40">
        <f t="shared" si="211"/>
        <v>45242</v>
      </c>
      <c r="AA270" s="40">
        <f t="shared" si="212"/>
        <v>40864</v>
      </c>
      <c r="AB270" s="40">
        <f t="shared" si="213"/>
        <v>36486</v>
      </c>
      <c r="AC270" s="37">
        <f>SUM(Table1[[#This Row],[Jan]:[Dec]])</f>
        <v>263339.3</v>
      </c>
      <c r="AD270" s="15">
        <f t="shared" si="222"/>
        <v>0</v>
      </c>
      <c r="AE270" s="15">
        <f t="shared" si="223"/>
        <v>0</v>
      </c>
      <c r="AF270" s="15">
        <f t="shared" si="224"/>
        <v>0</v>
      </c>
      <c r="AG270" s="15">
        <f t="shared" si="225"/>
        <v>0</v>
      </c>
      <c r="AH270" s="15">
        <f t="shared" si="226"/>
        <v>0</v>
      </c>
      <c r="AI270" s="15">
        <f t="shared" si="227"/>
        <v>0</v>
      </c>
      <c r="AJ270" s="15">
        <f t="shared" si="228"/>
        <v>0</v>
      </c>
      <c r="AK270" s="15">
        <f t="shared" si="229"/>
        <v>0</v>
      </c>
      <c r="AL270" s="15">
        <f t="shared" si="230"/>
        <v>0</v>
      </c>
      <c r="AM270" s="15">
        <f t="shared" si="231"/>
        <v>0</v>
      </c>
      <c r="AN270" s="15">
        <f t="shared" si="232"/>
        <v>0</v>
      </c>
      <c r="AO270" s="15">
        <f t="shared" si="233"/>
        <v>0</v>
      </c>
      <c r="AP270" s="10">
        <f t="shared" si="234"/>
        <v>0</v>
      </c>
      <c r="AQ270" s="10">
        <f t="shared" si="235"/>
        <v>0</v>
      </c>
      <c r="AR270" s="10">
        <f t="shared" si="236"/>
        <v>0</v>
      </c>
      <c r="AS270" s="10">
        <f t="shared" si="237"/>
        <v>0</v>
      </c>
      <c r="AT270" s="10" t="b">
        <f t="shared" si="238"/>
        <v>1</v>
      </c>
      <c r="AU270" s="10">
        <f t="shared" si="214"/>
        <v>0</v>
      </c>
      <c r="AV270" s="10">
        <f t="shared" si="215"/>
        <v>0</v>
      </c>
      <c r="AW270" s="10">
        <f t="shared" si="216"/>
        <v>0</v>
      </c>
      <c r="AX270" s="10">
        <f t="shared" si="217"/>
        <v>0</v>
      </c>
      <c r="AY270" s="10">
        <f t="shared" si="239"/>
        <v>0</v>
      </c>
      <c r="AZ270" s="19">
        <f>IFERROR(IF($E270="REC",INDEX(A_Type_Volume!$B:$B,MATCH($D270,A_Type_Volume!$A:$A,0),1),IF($E270="VAM",INDEX(C_Type_Volume!$B:$B,MATCH($D270,C_Type_Volume!$A:$A,0),1),"X")),"")</f>
        <v>45815</v>
      </c>
      <c r="BA270" s="19">
        <f>IFERROR(IF($E270="REC",INDEX(A_Type_Volume!$C:$C,MATCH($D270,A_Type_Volume!$A:$A,0),1),IF($E270="VAM",INDEX(C_Type_Volume!$C:$C,MATCH($D270,C_Type_Volume!$A:$A,0),1),"X")),"")</f>
        <v>35678</v>
      </c>
      <c r="BB270" s="19">
        <f>IFERROR(IF($E270="REC",INDEX(A_Type_Volume!$D:$D,MATCH($D270,A_Type_Volume!$A:$A,0),1),IF($E270="VAM",INDEX(C_Type_Volume!$D:$D,MATCH($D270,C_Type_Volume!$A:$A,0),1),"X")),"")</f>
        <v>25150</v>
      </c>
      <c r="BC270" s="19">
        <f>IFERROR(IF($E270="REC",INDEX(A_Type_Volume!$E:$E,MATCH($D270,A_Type_Volume!$A:$A,0),1),IF($E270="VAM",INDEX(C_Type_Volume!$E:$E,MATCH($D270,C_Type_Volume!$A:$A,0),1),"X")),"")</f>
        <v>37921</v>
      </c>
      <c r="BD270" s="19">
        <f>IFERROR(IF($E270="REC",INDEX(A_Type_Volume!$F:$F,MATCH($D270,A_Type_Volume!$A:$A,0),1),IF($E270="VAM",INDEX(C_Type_Volume!$F:$F,MATCH($D270,C_Type_Volume!$A:$A,0),1),"X")),"")</f>
        <v>43988</v>
      </c>
      <c r="BE270" s="19">
        <f>IFERROR(IF($E270="REC",INDEX(A_Type_Volume!$G:$G,MATCH($D270,A_Type_Volume!$A:$A,0),1),IF($E270="VAM",INDEX(C_Type_Volume!$G:$G,MATCH($D270,C_Type_Volume!$A:$A,0),1),"X")),"")</f>
        <v>42471</v>
      </c>
      <c r="BF270" s="19">
        <f>IFERROR(IF($E270="REC",INDEX(A_Type_Volume!$H:$H,MATCH($D270,A_Type_Volume!$A:$A,0),1),IF($E270="VAM",INDEX(C_Type_Volume!$H:$H,MATCH($D270,C_Type_Volume!$A:$A,0),1),"X")),"")</f>
        <v>43165</v>
      </c>
      <c r="BG270" s="19">
        <f>IFERROR(IF($E270="REC",INDEX(A_Type_Volume!$I:$I,MATCH($D270,A_Type_Volume!$A:$A,0),1),IF($E270="VAM",INDEX(C_Type_Volume!$I:$I,MATCH($D270,C_Type_Volume!$A:$A,0),1),"X")),"")</f>
        <v>41676</v>
      </c>
      <c r="BH270" s="19">
        <f>IFERROR(IF($E270="REC",INDEX(A_Type_Volume!$J:$J,MATCH($D270,A_Type_Volume!$A:$A,0),1),IF($E270="VAM",INDEX(C_Type_Volume!$J:$J,MATCH($D270,C_Type_Volume!$A:$A,0),1),"X")),"")</f>
        <v>43165</v>
      </c>
      <c r="BI270" s="19">
        <f>IFERROR(IF($E270="REC",INDEX(A_Type_Volume!$K:$K,MATCH($D270,A_Type_Volume!$A:$A,0),1),IF($E270="VAM",INDEX(C_Type_Volume!$K:$K,MATCH($D270,C_Type_Volume!$A:$A,0),1),"X")),"")</f>
        <v>45242</v>
      </c>
      <c r="BJ270" s="19">
        <f>IFERROR(IF($E270="REC",INDEX(A_Type_Volume!$L:$L,MATCH($D270,A_Type_Volume!$A:$A,0),1),IF($E270="VAM",INDEX(C_Type_Volume!$L:$L,MATCH($D270,C_Type_Volume!$A:$A,0),1),"X")),"")</f>
        <v>40864</v>
      </c>
      <c r="BK270" s="19">
        <f>IFERROR(IF($E270="REC",INDEX(A_Type_Volume!M:M,MATCH($D270,A_Type_Volume!$A:$A,0),1),IF($E270="VAM",INDEX(C_Type_Volume!M:M,MATCH($D270,C_Type_Volume!$A:$A,0),1),"X")),"")</f>
        <v>36486</v>
      </c>
      <c r="BL270" s="38">
        <f>SUM(Table1[[#This Row],[Jan_AVF]:[Dec_AVF]])</f>
        <v>481621</v>
      </c>
      <c r="BM270" s="16">
        <f t="shared" si="240"/>
        <v>0</v>
      </c>
      <c r="BN270" s="16">
        <f t="shared" si="241"/>
        <v>0</v>
      </c>
      <c r="BO270" s="16">
        <f t="shared" si="242"/>
        <v>0</v>
      </c>
      <c r="BP270" s="16">
        <f t="shared" si="243"/>
        <v>0</v>
      </c>
      <c r="BQ270" s="16">
        <f t="shared" si="244"/>
        <v>0</v>
      </c>
      <c r="BR270" s="16">
        <f t="shared" si="245"/>
        <v>0</v>
      </c>
      <c r="BS270" s="16">
        <f t="shared" si="246"/>
        <v>0</v>
      </c>
      <c r="BT270" s="16">
        <f t="shared" si="247"/>
        <v>0</v>
      </c>
      <c r="BU270" s="16">
        <f t="shared" si="248"/>
        <v>0</v>
      </c>
      <c r="BV270" s="16">
        <f t="shared" si="249"/>
        <v>0</v>
      </c>
      <c r="BW270" s="16">
        <f t="shared" si="250"/>
        <v>0</v>
      </c>
      <c r="BX270" s="16">
        <f t="shared" si="251"/>
        <v>0</v>
      </c>
      <c r="BY270" s="10">
        <f t="shared" si="218"/>
        <v>0</v>
      </c>
      <c r="BZ270" s="10">
        <f t="shared" si="219"/>
        <v>0</v>
      </c>
      <c r="CA270" s="10">
        <f t="shared" si="220"/>
        <v>0</v>
      </c>
      <c r="CB270" s="10">
        <f t="shared" si="221"/>
        <v>0</v>
      </c>
      <c r="CC270" s="10">
        <f>IFERROR(Table1[[#This Row],[Labor
Saving]]*Table1[[#This Row],[Annual Volume]],"")</f>
        <v>0</v>
      </c>
      <c r="CD270" s="10">
        <f>IFERROR(Table1[[#This Row],[Annual Volume]]*Table1[[#This Row],[Yield
Saving]],"")</f>
        <v>0</v>
      </c>
      <c r="CE270" s="10">
        <f>IFERROR(Table1[[#This Row],[Annual Volume]]*Table1[[#This Row],[Material
Saving]],"")</f>
        <v>0</v>
      </c>
      <c r="CF270" s="10">
        <f>IFERROR(Table1[[#This Row],[OH
Saving]]*Table1[[#This Row],[Annual Volume]],"")</f>
        <v>0</v>
      </c>
      <c r="CG270" s="10">
        <f>SUM(Table1[[#This Row],[Labor_ASV]:[OH_ASV]])</f>
        <v>0</v>
      </c>
    </row>
    <row r="271" spans="1:85" x14ac:dyDescent="0.3">
      <c r="A271" t="str">
        <f>Table1[[#This Row],[Project Name]]&amp;Table1[[#This Row],[Part Number]]</f>
        <v>Aut Visual 2V20</v>
      </c>
      <c r="B271" t="str">
        <f>IFERROR(Table1[[#This Row],[Project Number]]&amp;Table1[[#This Row],[Part Number]],"")</f>
        <v>AME25-066V20</v>
      </c>
      <c r="C271" s="22" t="s">
        <v>113</v>
      </c>
      <c r="D271" s="24" t="s">
        <v>232</v>
      </c>
      <c r="E271" s="25" t="s">
        <v>60</v>
      </c>
      <c r="F271" s="6">
        <f>INDEX(Proj_Reg!G:G,MATCH($C271,Proj_Reg!$B:$B,0),1)</f>
        <v>46174</v>
      </c>
      <c r="G271" s="6">
        <f>INDEX(Proj_Reg!H:H,MATCH($C271,Proj_Reg!$B:$B,0),1)</f>
        <v>46508</v>
      </c>
      <c r="H271" s="6" t="str">
        <f>IF(INDEX(Proj_Reg!C:C,MATCH($C271,Proj_Reg!$B:$B,0),1)=0,"",INDEX(Proj_Reg!C:C,MATCH($C271,Proj_Reg!$B:$B,0),1))</f>
        <v>Visual Inspection</v>
      </c>
      <c r="I271" s="6" t="str">
        <f>IF(INDEX(Proj_Reg!D:D,MATCH($C271,Proj_Reg!$B:$B,0),1)=0,"",INDEX(Proj_Reg!D:D,MATCH($C271,Proj_Reg!$B:$B,0),1))</f>
        <v>XCI</v>
      </c>
      <c r="J271" s="6" t="str">
        <f>INDEX(Proj_Reg!E:E,MATCH($C271,Proj_Reg!$B:$B,0),1)</f>
        <v>Aut Visual 2</v>
      </c>
      <c r="K271" s="21">
        <v>0</v>
      </c>
      <c r="L271" s="21">
        <v>0</v>
      </c>
      <c r="M271" s="21">
        <v>0</v>
      </c>
      <c r="N271" s="21">
        <v>0</v>
      </c>
      <c r="O271" s="11">
        <f>SUM(Table1[[#This Row],[Labor
Saving]:[OH
Saving]])</f>
        <v>0</v>
      </c>
      <c r="Q271" s="40">
        <f t="shared" si="202"/>
        <v>0</v>
      </c>
      <c r="R271" s="40">
        <f t="shared" si="203"/>
        <v>0</v>
      </c>
      <c r="S271" s="40">
        <f t="shared" si="204"/>
        <v>0</v>
      </c>
      <c r="T271" s="40">
        <f t="shared" si="205"/>
        <v>0</v>
      </c>
      <c r="U271" s="40">
        <f t="shared" si="206"/>
        <v>0</v>
      </c>
      <c r="V271" s="40">
        <f t="shared" si="207"/>
        <v>12652.5</v>
      </c>
      <c r="W271" s="40">
        <f t="shared" si="208"/>
        <v>42869</v>
      </c>
      <c r="X271" s="40">
        <f t="shared" si="209"/>
        <v>41391</v>
      </c>
      <c r="Y271" s="40">
        <f t="shared" si="210"/>
        <v>42869</v>
      </c>
      <c r="Z271" s="40">
        <f t="shared" si="211"/>
        <v>46245</v>
      </c>
      <c r="AA271" s="40">
        <f t="shared" si="212"/>
        <v>41769</v>
      </c>
      <c r="AB271" s="40">
        <f t="shared" si="213"/>
        <v>37294</v>
      </c>
      <c r="AC271" s="37">
        <f>SUM(Table1[[#This Row],[Jan]:[Dec]])</f>
        <v>265089.5</v>
      </c>
      <c r="AD271" s="15">
        <f t="shared" si="222"/>
        <v>0</v>
      </c>
      <c r="AE271" s="15">
        <f t="shared" si="223"/>
        <v>0</v>
      </c>
      <c r="AF271" s="15">
        <f t="shared" si="224"/>
        <v>0</v>
      </c>
      <c r="AG271" s="15">
        <f t="shared" si="225"/>
        <v>0</v>
      </c>
      <c r="AH271" s="15">
        <f t="shared" si="226"/>
        <v>0</v>
      </c>
      <c r="AI271" s="15">
        <f t="shared" si="227"/>
        <v>0</v>
      </c>
      <c r="AJ271" s="15">
        <f t="shared" si="228"/>
        <v>0</v>
      </c>
      <c r="AK271" s="15">
        <f t="shared" si="229"/>
        <v>0</v>
      </c>
      <c r="AL271" s="15">
        <f t="shared" si="230"/>
        <v>0</v>
      </c>
      <c r="AM271" s="15">
        <f t="shared" si="231"/>
        <v>0</v>
      </c>
      <c r="AN271" s="15">
        <f t="shared" si="232"/>
        <v>0</v>
      </c>
      <c r="AO271" s="15">
        <f t="shared" si="233"/>
        <v>0</v>
      </c>
      <c r="AP271" s="10">
        <f t="shared" si="234"/>
        <v>0</v>
      </c>
      <c r="AQ271" s="10">
        <f t="shared" si="235"/>
        <v>0</v>
      </c>
      <c r="AR271" s="10">
        <f t="shared" si="236"/>
        <v>0</v>
      </c>
      <c r="AS271" s="10">
        <f t="shared" si="237"/>
        <v>0</v>
      </c>
      <c r="AT271" s="10" t="b">
        <f t="shared" si="238"/>
        <v>1</v>
      </c>
      <c r="AU271" s="10">
        <f t="shared" si="214"/>
        <v>0</v>
      </c>
      <c r="AV271" s="10">
        <f t="shared" si="215"/>
        <v>0</v>
      </c>
      <c r="AW271" s="10">
        <f t="shared" si="216"/>
        <v>0</v>
      </c>
      <c r="AX271" s="10">
        <f t="shared" si="217"/>
        <v>0</v>
      </c>
      <c r="AY271" s="10">
        <f t="shared" si="239"/>
        <v>0</v>
      </c>
      <c r="AZ271" s="19">
        <f>IFERROR(IF($E271="REC",INDEX(A_Type_Volume!$B:$B,MATCH($D271,A_Type_Volume!$A:$A,0),1),IF($E271="VAM",INDEX(C_Type_Volume!$B:$B,MATCH($D271,C_Type_Volume!$A:$A,0),1),"X")),"")</f>
        <v>45815</v>
      </c>
      <c r="BA271" s="19">
        <f>IFERROR(IF($E271="REC",INDEX(A_Type_Volume!$C:$C,MATCH($D271,A_Type_Volume!$A:$A,0),1),IF($E271="VAM",INDEX(C_Type_Volume!$C:$C,MATCH($D271,C_Type_Volume!$A:$A,0),1),"X")),"")</f>
        <v>31827</v>
      </c>
      <c r="BB271" s="19">
        <f>IFERROR(IF($E271="REC",INDEX(A_Type_Volume!$D:$D,MATCH($D271,A_Type_Volume!$A:$A,0),1),IF($E271="VAM",INDEX(C_Type_Volume!$D:$D,MATCH($D271,C_Type_Volume!$A:$A,0),1),"X")),"")</f>
        <v>50854</v>
      </c>
      <c r="BC271" s="19">
        <f>IFERROR(IF($E271="REC",INDEX(A_Type_Volume!$E:$E,MATCH($D271,A_Type_Volume!$A:$A,0),1),IF($E271="VAM",INDEX(C_Type_Volume!$E:$E,MATCH($D271,C_Type_Volume!$A:$A,0),1),"X")),"")</f>
        <v>37656</v>
      </c>
      <c r="BD271" s="19">
        <f>IFERROR(IF($E271="REC",INDEX(A_Type_Volume!$F:$F,MATCH($D271,A_Type_Volume!$A:$A,0),1),IF($E271="VAM",INDEX(C_Type_Volume!$F:$F,MATCH($D271,C_Type_Volume!$A:$A,0),1),"X")),"")</f>
        <v>43681</v>
      </c>
      <c r="BE271" s="19">
        <f>IFERROR(IF($E271="REC",INDEX(A_Type_Volume!$G:$G,MATCH($D271,A_Type_Volume!$A:$A,0),1),IF($E271="VAM",INDEX(C_Type_Volume!$G:$G,MATCH($D271,C_Type_Volume!$A:$A,0),1),"X")),"")</f>
        <v>42175</v>
      </c>
      <c r="BF271" s="19">
        <f>IFERROR(IF($E271="REC",INDEX(A_Type_Volume!$H:$H,MATCH($D271,A_Type_Volume!$A:$A,0),1),IF($E271="VAM",INDEX(C_Type_Volume!$H:$H,MATCH($D271,C_Type_Volume!$A:$A,0),1),"X")),"")</f>
        <v>42869</v>
      </c>
      <c r="BG271" s="19">
        <f>IFERROR(IF($E271="REC",INDEX(A_Type_Volume!$I:$I,MATCH($D271,A_Type_Volume!$A:$A,0),1),IF($E271="VAM",INDEX(C_Type_Volume!$I:$I,MATCH($D271,C_Type_Volume!$A:$A,0),1),"X")),"")</f>
        <v>41391</v>
      </c>
      <c r="BH271" s="19">
        <f>IFERROR(IF($E271="REC",INDEX(A_Type_Volume!$J:$J,MATCH($D271,A_Type_Volume!$A:$A,0),1),IF($E271="VAM",INDEX(C_Type_Volume!$J:$J,MATCH($D271,C_Type_Volume!$A:$A,0),1),"X")),"")</f>
        <v>42869</v>
      </c>
      <c r="BI271" s="19">
        <f>IFERROR(IF($E271="REC",INDEX(A_Type_Volume!$K:$K,MATCH($D271,A_Type_Volume!$A:$A,0),1),IF($E271="VAM",INDEX(C_Type_Volume!$K:$K,MATCH($D271,C_Type_Volume!$A:$A,0),1),"X")),"")</f>
        <v>46245</v>
      </c>
      <c r="BJ271" s="19">
        <f>IFERROR(IF($E271="REC",INDEX(A_Type_Volume!$L:$L,MATCH($D271,A_Type_Volume!$A:$A,0),1),IF($E271="VAM",INDEX(C_Type_Volume!$L:$L,MATCH($D271,C_Type_Volume!$A:$A,0),1),"X")),"")</f>
        <v>41769</v>
      </c>
      <c r="BK271" s="19">
        <f>IFERROR(IF($E271="REC",INDEX(A_Type_Volume!M:M,MATCH($D271,A_Type_Volume!$A:$A,0),1),IF($E271="VAM",INDEX(C_Type_Volume!M:M,MATCH($D271,C_Type_Volume!$A:$A,0),1),"X")),"")</f>
        <v>37294</v>
      </c>
      <c r="BL271" s="38">
        <f>SUM(Table1[[#This Row],[Jan_AVF]:[Dec_AVF]])</f>
        <v>504445</v>
      </c>
      <c r="BM271" s="16">
        <f t="shared" si="240"/>
        <v>0</v>
      </c>
      <c r="BN271" s="16">
        <f t="shared" si="241"/>
        <v>0</v>
      </c>
      <c r="BO271" s="16">
        <f t="shared" si="242"/>
        <v>0</v>
      </c>
      <c r="BP271" s="16">
        <f t="shared" si="243"/>
        <v>0</v>
      </c>
      <c r="BQ271" s="16">
        <f t="shared" si="244"/>
        <v>0</v>
      </c>
      <c r="BR271" s="16">
        <f t="shared" si="245"/>
        <v>0</v>
      </c>
      <c r="BS271" s="16">
        <f t="shared" si="246"/>
        <v>0</v>
      </c>
      <c r="BT271" s="16">
        <f t="shared" si="247"/>
        <v>0</v>
      </c>
      <c r="BU271" s="16">
        <f t="shared" si="248"/>
        <v>0</v>
      </c>
      <c r="BV271" s="16">
        <f t="shared" si="249"/>
        <v>0</v>
      </c>
      <c r="BW271" s="16">
        <f t="shared" si="250"/>
        <v>0</v>
      </c>
      <c r="BX271" s="16">
        <f t="shared" si="251"/>
        <v>0</v>
      </c>
      <c r="BY271" s="10">
        <f t="shared" si="218"/>
        <v>0</v>
      </c>
      <c r="BZ271" s="10">
        <f t="shared" si="219"/>
        <v>0</v>
      </c>
      <c r="CA271" s="10">
        <f t="shared" si="220"/>
        <v>0</v>
      </c>
      <c r="CB271" s="10">
        <f t="shared" si="221"/>
        <v>0</v>
      </c>
      <c r="CC271" s="10">
        <f>IFERROR(Table1[[#This Row],[Labor
Saving]]*Table1[[#This Row],[Annual Volume]],"")</f>
        <v>0</v>
      </c>
      <c r="CD271" s="10">
        <f>IFERROR(Table1[[#This Row],[Annual Volume]]*Table1[[#This Row],[Yield
Saving]],"")</f>
        <v>0</v>
      </c>
      <c r="CE271" s="10">
        <f>IFERROR(Table1[[#This Row],[Annual Volume]]*Table1[[#This Row],[Material
Saving]],"")</f>
        <v>0</v>
      </c>
      <c r="CF271" s="10">
        <f>IFERROR(Table1[[#This Row],[OH
Saving]]*Table1[[#This Row],[Annual Volume]],"")</f>
        <v>0</v>
      </c>
      <c r="CG271" s="10">
        <f>SUM(Table1[[#This Row],[Labor_ASV]:[OH_ASV]])</f>
        <v>0</v>
      </c>
    </row>
    <row r="272" spans="1:85" x14ac:dyDescent="0.3">
      <c r="A272" t="str">
        <f>Table1[[#This Row],[Project Name]]&amp;Table1[[#This Row],[Part Number]]</f>
        <v>Aut Visual 2V21</v>
      </c>
      <c r="B272" t="str">
        <f>IFERROR(Table1[[#This Row],[Project Number]]&amp;Table1[[#This Row],[Part Number]],"")</f>
        <v>AME25-066V21</v>
      </c>
      <c r="C272" s="22" t="s">
        <v>113</v>
      </c>
      <c r="D272" s="24" t="s">
        <v>233</v>
      </c>
      <c r="E272" s="25" t="s">
        <v>60</v>
      </c>
      <c r="F272" s="6">
        <f>INDEX(Proj_Reg!G:G,MATCH($C272,Proj_Reg!$B:$B,0),1)</f>
        <v>46174</v>
      </c>
      <c r="G272" s="6">
        <f>INDEX(Proj_Reg!H:H,MATCH($C272,Proj_Reg!$B:$B,0),1)</f>
        <v>46508</v>
      </c>
      <c r="H272" s="6" t="str">
        <f>IF(INDEX(Proj_Reg!C:C,MATCH($C272,Proj_Reg!$B:$B,0),1)=0,"",INDEX(Proj_Reg!C:C,MATCH($C272,Proj_Reg!$B:$B,0),1))</f>
        <v>Visual Inspection</v>
      </c>
      <c r="I272" s="6" t="str">
        <f>IF(INDEX(Proj_Reg!D:D,MATCH($C272,Proj_Reg!$B:$B,0),1)=0,"",INDEX(Proj_Reg!D:D,MATCH($C272,Proj_Reg!$B:$B,0),1))</f>
        <v>XCI</v>
      </c>
      <c r="J272" s="6" t="str">
        <f>INDEX(Proj_Reg!E:E,MATCH($C272,Proj_Reg!$B:$B,0),1)</f>
        <v>Aut Visual 2</v>
      </c>
      <c r="K272" s="21">
        <v>0</v>
      </c>
      <c r="L272" s="21">
        <v>0</v>
      </c>
      <c r="M272" s="21">
        <v>0</v>
      </c>
      <c r="N272" s="21">
        <v>0</v>
      </c>
      <c r="O272" s="11">
        <f>SUM(Table1[[#This Row],[Labor
Saving]:[OH
Saving]])</f>
        <v>0</v>
      </c>
      <c r="Q272" s="40">
        <f t="shared" si="202"/>
        <v>0</v>
      </c>
      <c r="R272" s="40">
        <f t="shared" si="203"/>
        <v>0</v>
      </c>
      <c r="S272" s="40">
        <f t="shared" si="204"/>
        <v>0</v>
      </c>
      <c r="T272" s="40">
        <f t="shared" si="205"/>
        <v>0</v>
      </c>
      <c r="U272" s="40">
        <f t="shared" si="206"/>
        <v>0</v>
      </c>
      <c r="V272" s="40">
        <f t="shared" si="207"/>
        <v>34815.9</v>
      </c>
      <c r="W272" s="40">
        <f t="shared" si="208"/>
        <v>118188</v>
      </c>
      <c r="X272" s="40">
        <f t="shared" si="209"/>
        <v>114113</v>
      </c>
      <c r="Y272" s="40">
        <f t="shared" si="210"/>
        <v>118188</v>
      </c>
      <c r="Z272" s="40">
        <f t="shared" si="211"/>
        <v>128693</v>
      </c>
      <c r="AA272" s="40">
        <f t="shared" si="212"/>
        <v>116239</v>
      </c>
      <c r="AB272" s="40">
        <f t="shared" si="213"/>
        <v>103785</v>
      </c>
      <c r="AC272" s="37">
        <f>SUM(Table1[[#This Row],[Jan]:[Dec]])</f>
        <v>734021.9</v>
      </c>
      <c r="AD272" s="15">
        <f t="shared" si="222"/>
        <v>0</v>
      </c>
      <c r="AE272" s="15">
        <f t="shared" si="223"/>
        <v>0</v>
      </c>
      <c r="AF272" s="15">
        <f t="shared" si="224"/>
        <v>0</v>
      </c>
      <c r="AG272" s="15">
        <f t="shared" si="225"/>
        <v>0</v>
      </c>
      <c r="AH272" s="15">
        <f t="shared" si="226"/>
        <v>0</v>
      </c>
      <c r="AI272" s="15">
        <f t="shared" si="227"/>
        <v>0</v>
      </c>
      <c r="AJ272" s="15">
        <f t="shared" si="228"/>
        <v>0</v>
      </c>
      <c r="AK272" s="15">
        <f t="shared" si="229"/>
        <v>0</v>
      </c>
      <c r="AL272" s="15">
        <f t="shared" si="230"/>
        <v>0</v>
      </c>
      <c r="AM272" s="15">
        <f t="shared" si="231"/>
        <v>0</v>
      </c>
      <c r="AN272" s="15">
        <f t="shared" si="232"/>
        <v>0</v>
      </c>
      <c r="AO272" s="15">
        <f t="shared" si="233"/>
        <v>0</v>
      </c>
      <c r="AP272" s="10">
        <f t="shared" si="234"/>
        <v>0</v>
      </c>
      <c r="AQ272" s="10">
        <f t="shared" si="235"/>
        <v>0</v>
      </c>
      <c r="AR272" s="10">
        <f t="shared" si="236"/>
        <v>0</v>
      </c>
      <c r="AS272" s="10">
        <f t="shared" si="237"/>
        <v>0</v>
      </c>
      <c r="AT272" s="10" t="b">
        <f t="shared" si="238"/>
        <v>1</v>
      </c>
      <c r="AU272" s="10">
        <f t="shared" si="214"/>
        <v>0</v>
      </c>
      <c r="AV272" s="10">
        <f t="shared" si="215"/>
        <v>0</v>
      </c>
      <c r="AW272" s="10">
        <f t="shared" si="216"/>
        <v>0</v>
      </c>
      <c r="AX272" s="10">
        <f t="shared" si="217"/>
        <v>0</v>
      </c>
      <c r="AY272" s="10">
        <f t="shared" si="239"/>
        <v>0</v>
      </c>
      <c r="AZ272" s="19">
        <f>IFERROR(IF($E272="REC",INDEX(A_Type_Volume!$B:$B,MATCH($D272,A_Type_Volume!$A:$A,0),1),IF($E272="VAM",INDEX(C_Type_Volume!$B:$B,MATCH($D272,C_Type_Volume!$A:$A,0),1),"X")),"")</f>
        <v>20538</v>
      </c>
      <c r="BA272" s="19">
        <f>IFERROR(IF($E272="REC",INDEX(A_Type_Volume!$C:$C,MATCH($D272,A_Type_Volume!$A:$A,0),1),IF($E272="VAM",INDEX(C_Type_Volume!$C:$C,MATCH($D272,C_Type_Volume!$A:$A,0),1),"X")),"")</f>
        <v>119280</v>
      </c>
      <c r="BB272" s="19">
        <f>IFERROR(IF($E272="REC",INDEX(A_Type_Volume!$D:$D,MATCH($D272,A_Type_Volume!$A:$A,0),1),IF($E272="VAM",INDEX(C_Type_Volume!$D:$D,MATCH($D272,C_Type_Volume!$A:$A,0),1),"X")),"")</f>
        <v>125751</v>
      </c>
      <c r="BC272" s="19">
        <f>IFERROR(IF($E272="REC",INDEX(A_Type_Volume!$E:$E,MATCH($D272,A_Type_Volume!$A:$A,0),1),IF($E272="VAM",INDEX(C_Type_Volume!$E:$E,MATCH($D272,C_Type_Volume!$A:$A,0),1),"X")),"")</f>
        <v>103619</v>
      </c>
      <c r="BD272" s="19">
        <f>IFERROR(IF($E272="REC",INDEX(A_Type_Volume!$F:$F,MATCH($D272,A_Type_Volume!$A:$A,0),1),IF($E272="VAM",INDEX(C_Type_Volume!$F:$F,MATCH($D272,C_Type_Volume!$A:$A,0),1),"X")),"")</f>
        <v>120198</v>
      </c>
      <c r="BE272" s="19">
        <f>IFERROR(IF($E272="REC",INDEX(A_Type_Volume!$G:$G,MATCH($D272,A_Type_Volume!$A:$A,0),1),IF($E272="VAM",INDEX(C_Type_Volume!$G:$G,MATCH($D272,C_Type_Volume!$A:$A,0),1),"X")),"")</f>
        <v>116053</v>
      </c>
      <c r="BF272" s="19">
        <f>IFERROR(IF($E272="REC",INDEX(A_Type_Volume!$H:$H,MATCH($D272,A_Type_Volume!$A:$A,0),1),IF($E272="VAM",INDEX(C_Type_Volume!$H:$H,MATCH($D272,C_Type_Volume!$A:$A,0),1),"X")),"")</f>
        <v>118188</v>
      </c>
      <c r="BG272" s="19">
        <f>IFERROR(IF($E272="REC",INDEX(A_Type_Volume!$I:$I,MATCH($D272,A_Type_Volume!$A:$A,0),1),IF($E272="VAM",INDEX(C_Type_Volume!$I:$I,MATCH($D272,C_Type_Volume!$A:$A,0),1),"X")),"")</f>
        <v>114113</v>
      </c>
      <c r="BH272" s="19">
        <f>IFERROR(IF($E272="REC",INDEX(A_Type_Volume!$J:$J,MATCH($D272,A_Type_Volume!$A:$A,0),1),IF($E272="VAM",INDEX(C_Type_Volume!$J:$J,MATCH($D272,C_Type_Volume!$A:$A,0),1),"X")),"")</f>
        <v>118188</v>
      </c>
      <c r="BI272" s="19">
        <f>IFERROR(IF($E272="REC",INDEX(A_Type_Volume!$K:$K,MATCH($D272,A_Type_Volume!$A:$A,0),1),IF($E272="VAM",INDEX(C_Type_Volume!$K:$K,MATCH($D272,C_Type_Volume!$A:$A,0),1),"X")),"")</f>
        <v>128693</v>
      </c>
      <c r="BJ272" s="19">
        <f>IFERROR(IF($E272="REC",INDEX(A_Type_Volume!$L:$L,MATCH($D272,A_Type_Volume!$A:$A,0),1),IF($E272="VAM",INDEX(C_Type_Volume!$L:$L,MATCH($D272,C_Type_Volume!$A:$A,0),1),"X")),"")</f>
        <v>116239</v>
      </c>
      <c r="BK272" s="19">
        <f>IFERROR(IF($E272="REC",INDEX(A_Type_Volume!M:M,MATCH($D272,A_Type_Volume!$A:$A,0),1),IF($E272="VAM",INDEX(C_Type_Volume!M:M,MATCH($D272,C_Type_Volume!$A:$A,0),1),"X")),"")</f>
        <v>103785</v>
      </c>
      <c r="BL272" s="38">
        <f>SUM(Table1[[#This Row],[Jan_AVF]:[Dec_AVF]])</f>
        <v>1304645</v>
      </c>
      <c r="BM272" s="16">
        <f t="shared" si="240"/>
        <v>0</v>
      </c>
      <c r="BN272" s="16">
        <f t="shared" si="241"/>
        <v>0</v>
      </c>
      <c r="BO272" s="16">
        <f t="shared" si="242"/>
        <v>0</v>
      </c>
      <c r="BP272" s="16">
        <f t="shared" si="243"/>
        <v>0</v>
      </c>
      <c r="BQ272" s="16">
        <f t="shared" si="244"/>
        <v>0</v>
      </c>
      <c r="BR272" s="16">
        <f t="shared" si="245"/>
        <v>0</v>
      </c>
      <c r="BS272" s="16">
        <f t="shared" si="246"/>
        <v>0</v>
      </c>
      <c r="BT272" s="16">
        <f t="shared" si="247"/>
        <v>0</v>
      </c>
      <c r="BU272" s="16">
        <f t="shared" si="248"/>
        <v>0</v>
      </c>
      <c r="BV272" s="16">
        <f t="shared" si="249"/>
        <v>0</v>
      </c>
      <c r="BW272" s="16">
        <f t="shared" si="250"/>
        <v>0</v>
      </c>
      <c r="BX272" s="16">
        <f t="shared" si="251"/>
        <v>0</v>
      </c>
      <c r="BY272" s="10">
        <f t="shared" si="218"/>
        <v>0</v>
      </c>
      <c r="BZ272" s="10">
        <f t="shared" si="219"/>
        <v>0</v>
      </c>
      <c r="CA272" s="10">
        <f t="shared" si="220"/>
        <v>0</v>
      </c>
      <c r="CB272" s="10">
        <f t="shared" si="221"/>
        <v>0</v>
      </c>
      <c r="CC272" s="10">
        <f>IFERROR(Table1[[#This Row],[Labor
Saving]]*Table1[[#This Row],[Annual Volume]],"")</f>
        <v>0</v>
      </c>
      <c r="CD272" s="10">
        <f>IFERROR(Table1[[#This Row],[Annual Volume]]*Table1[[#This Row],[Yield
Saving]],"")</f>
        <v>0</v>
      </c>
      <c r="CE272" s="10">
        <f>IFERROR(Table1[[#This Row],[Annual Volume]]*Table1[[#This Row],[Material
Saving]],"")</f>
        <v>0</v>
      </c>
      <c r="CF272" s="10">
        <f>IFERROR(Table1[[#This Row],[OH
Saving]]*Table1[[#This Row],[Annual Volume]],"")</f>
        <v>0</v>
      </c>
      <c r="CG272" s="10">
        <f>SUM(Table1[[#This Row],[Labor_ASV]:[OH_ASV]])</f>
        <v>0</v>
      </c>
    </row>
    <row r="273" spans="1:85" x14ac:dyDescent="0.3">
      <c r="A273" t="str">
        <f>Table1[[#This Row],[Project Name]]&amp;Table1[[#This Row],[Part Number]]</f>
        <v>Aut Visual 2V22</v>
      </c>
      <c r="B273" t="str">
        <f>IFERROR(Table1[[#This Row],[Project Number]]&amp;Table1[[#This Row],[Part Number]],"")</f>
        <v>AME25-066V22</v>
      </c>
      <c r="C273" s="22" t="s">
        <v>113</v>
      </c>
      <c r="D273" s="24" t="s">
        <v>234</v>
      </c>
      <c r="E273" s="25" t="s">
        <v>60</v>
      </c>
      <c r="F273" s="6">
        <f>INDEX(Proj_Reg!G:G,MATCH($C273,Proj_Reg!$B:$B,0),1)</f>
        <v>46174</v>
      </c>
      <c r="G273" s="6">
        <f>INDEX(Proj_Reg!H:H,MATCH($C273,Proj_Reg!$B:$B,0),1)</f>
        <v>46508</v>
      </c>
      <c r="H273" s="6" t="str">
        <f>IF(INDEX(Proj_Reg!C:C,MATCH($C273,Proj_Reg!$B:$B,0),1)=0,"",INDEX(Proj_Reg!C:C,MATCH($C273,Proj_Reg!$B:$B,0),1))</f>
        <v>Visual Inspection</v>
      </c>
      <c r="I273" s="6" t="str">
        <f>IF(INDEX(Proj_Reg!D:D,MATCH($C273,Proj_Reg!$B:$B,0),1)=0,"",INDEX(Proj_Reg!D:D,MATCH($C273,Proj_Reg!$B:$B,0),1))</f>
        <v>XCI</v>
      </c>
      <c r="J273" s="6" t="str">
        <f>INDEX(Proj_Reg!E:E,MATCH($C273,Proj_Reg!$B:$B,0),1)</f>
        <v>Aut Visual 2</v>
      </c>
      <c r="K273" s="21">
        <v>0</v>
      </c>
      <c r="L273" s="21">
        <v>0</v>
      </c>
      <c r="M273" s="21">
        <v>0</v>
      </c>
      <c r="N273" s="21">
        <v>0</v>
      </c>
      <c r="O273" s="11">
        <f>SUM(Table1[[#This Row],[Labor
Saving]:[OH
Saving]])</f>
        <v>0</v>
      </c>
      <c r="Q273" s="40">
        <f t="shared" si="202"/>
        <v>0</v>
      </c>
      <c r="R273" s="40">
        <f t="shared" si="203"/>
        <v>0</v>
      </c>
      <c r="S273" s="40">
        <f t="shared" si="204"/>
        <v>0</v>
      </c>
      <c r="T273" s="40">
        <f t="shared" si="205"/>
        <v>0</v>
      </c>
      <c r="U273" s="40">
        <f t="shared" si="206"/>
        <v>0</v>
      </c>
      <c r="V273" s="40">
        <f t="shared" si="207"/>
        <v>34458</v>
      </c>
      <c r="W273" s="40">
        <f t="shared" si="208"/>
        <v>119639</v>
      </c>
      <c r="X273" s="40">
        <f t="shared" si="209"/>
        <v>115514</v>
      </c>
      <c r="Y273" s="40">
        <f t="shared" si="210"/>
        <v>119639</v>
      </c>
      <c r="Z273" s="40">
        <f t="shared" si="211"/>
        <v>126679</v>
      </c>
      <c r="AA273" s="40">
        <f t="shared" si="212"/>
        <v>114420</v>
      </c>
      <c r="AB273" s="40">
        <f t="shared" si="213"/>
        <v>102160</v>
      </c>
      <c r="AC273" s="37">
        <f>SUM(Table1[[#This Row],[Jan]:[Dec]])</f>
        <v>732509</v>
      </c>
      <c r="AD273" s="15">
        <f t="shared" si="222"/>
        <v>0</v>
      </c>
      <c r="AE273" s="15">
        <f t="shared" si="223"/>
        <v>0</v>
      </c>
      <c r="AF273" s="15">
        <f t="shared" si="224"/>
        <v>0</v>
      </c>
      <c r="AG273" s="15">
        <f t="shared" si="225"/>
        <v>0</v>
      </c>
      <c r="AH273" s="15">
        <f t="shared" si="226"/>
        <v>0</v>
      </c>
      <c r="AI273" s="15">
        <f t="shared" si="227"/>
        <v>0</v>
      </c>
      <c r="AJ273" s="15">
        <f t="shared" si="228"/>
        <v>0</v>
      </c>
      <c r="AK273" s="15">
        <f t="shared" si="229"/>
        <v>0</v>
      </c>
      <c r="AL273" s="15">
        <f t="shared" si="230"/>
        <v>0</v>
      </c>
      <c r="AM273" s="15">
        <f t="shared" si="231"/>
        <v>0</v>
      </c>
      <c r="AN273" s="15">
        <f t="shared" si="232"/>
        <v>0</v>
      </c>
      <c r="AO273" s="15">
        <f t="shared" si="233"/>
        <v>0</v>
      </c>
      <c r="AP273" s="10">
        <f t="shared" si="234"/>
        <v>0</v>
      </c>
      <c r="AQ273" s="10">
        <f t="shared" si="235"/>
        <v>0</v>
      </c>
      <c r="AR273" s="10">
        <f t="shared" si="236"/>
        <v>0</v>
      </c>
      <c r="AS273" s="10">
        <f t="shared" si="237"/>
        <v>0</v>
      </c>
      <c r="AT273" s="10" t="b">
        <f t="shared" si="238"/>
        <v>1</v>
      </c>
      <c r="AU273" s="10">
        <f t="shared" si="214"/>
        <v>0</v>
      </c>
      <c r="AV273" s="10">
        <f t="shared" si="215"/>
        <v>0</v>
      </c>
      <c r="AW273" s="10">
        <f t="shared" si="216"/>
        <v>0</v>
      </c>
      <c r="AX273" s="10">
        <f t="shared" si="217"/>
        <v>0</v>
      </c>
      <c r="AY273" s="10">
        <f t="shared" si="239"/>
        <v>0</v>
      </c>
      <c r="AZ273" s="19">
        <f>IFERROR(IF($E273="REC",INDEX(A_Type_Volume!$B:$B,MATCH($D273,A_Type_Volume!$A:$A,0),1),IF($E273="VAM",INDEX(C_Type_Volume!$B:$B,MATCH($D273,C_Type_Volume!$A:$A,0),1),"X")),"")</f>
        <v>153243</v>
      </c>
      <c r="BA273" s="19">
        <f>IFERROR(IF($E273="REC",INDEX(A_Type_Volume!$C:$C,MATCH($D273,A_Type_Volume!$A:$A,0),1),IF($E273="VAM",INDEX(C_Type_Volume!$C:$C,MATCH($D273,C_Type_Volume!$A:$A,0),1),"X")),"")</f>
        <v>102836</v>
      </c>
      <c r="BB273" s="19">
        <f>IFERROR(IF($E273="REC",INDEX(A_Type_Volume!$D:$D,MATCH($D273,A_Type_Volume!$A:$A,0),1),IF($E273="VAM",INDEX(C_Type_Volume!$D:$D,MATCH($D273,C_Type_Volume!$A:$A,0),1),"X")),"")</f>
        <v>134134</v>
      </c>
      <c r="BC273" s="19">
        <f>IFERROR(IF($E273="REC",INDEX(A_Type_Volume!$E:$E,MATCH($D273,A_Type_Volume!$A:$A,0),1),IF($E273="VAM",INDEX(C_Type_Volume!$E:$E,MATCH($D273,C_Type_Volume!$A:$A,0),1),"X")),"")</f>
        <v>102553</v>
      </c>
      <c r="BD273" s="19">
        <f>IFERROR(IF($E273="REC",INDEX(A_Type_Volume!$F:$F,MATCH($D273,A_Type_Volume!$A:$A,0),1),IF($E273="VAM",INDEX(C_Type_Volume!$F:$F,MATCH($D273,C_Type_Volume!$A:$A,0),1),"X")),"")</f>
        <v>118962</v>
      </c>
      <c r="BE273" s="19">
        <f>IFERROR(IF($E273="REC",INDEX(A_Type_Volume!$G:$G,MATCH($D273,A_Type_Volume!$A:$A,0),1),IF($E273="VAM",INDEX(C_Type_Volume!$G:$G,MATCH($D273,C_Type_Volume!$A:$A,0),1),"X")),"")</f>
        <v>114860</v>
      </c>
      <c r="BF273" s="19">
        <f>IFERROR(IF($E273="REC",INDEX(A_Type_Volume!$H:$H,MATCH($D273,A_Type_Volume!$A:$A,0),1),IF($E273="VAM",INDEX(C_Type_Volume!$H:$H,MATCH($D273,C_Type_Volume!$A:$A,0),1),"X")),"")</f>
        <v>119639</v>
      </c>
      <c r="BG273" s="19">
        <f>IFERROR(IF($E273="REC",INDEX(A_Type_Volume!$I:$I,MATCH($D273,A_Type_Volume!$A:$A,0),1),IF($E273="VAM",INDEX(C_Type_Volume!$I:$I,MATCH($D273,C_Type_Volume!$A:$A,0),1),"X")),"")</f>
        <v>115514</v>
      </c>
      <c r="BH273" s="19">
        <f>IFERROR(IF($E273="REC",INDEX(A_Type_Volume!$J:$J,MATCH($D273,A_Type_Volume!$A:$A,0),1),IF($E273="VAM",INDEX(C_Type_Volume!$J:$J,MATCH($D273,C_Type_Volume!$A:$A,0),1),"X")),"")</f>
        <v>119639</v>
      </c>
      <c r="BI273" s="19">
        <f>IFERROR(IF($E273="REC",INDEX(A_Type_Volume!$K:$K,MATCH($D273,A_Type_Volume!$A:$A,0),1),IF($E273="VAM",INDEX(C_Type_Volume!$K:$K,MATCH($D273,C_Type_Volume!$A:$A,0),1),"X")),"")</f>
        <v>126679</v>
      </c>
      <c r="BJ273" s="19">
        <f>IFERROR(IF($E273="REC",INDEX(A_Type_Volume!$L:$L,MATCH($D273,A_Type_Volume!$A:$A,0),1),IF($E273="VAM",INDEX(C_Type_Volume!$L:$L,MATCH($D273,C_Type_Volume!$A:$A,0),1),"X")),"")</f>
        <v>114420</v>
      </c>
      <c r="BK273" s="19">
        <f>IFERROR(IF($E273="REC",INDEX(A_Type_Volume!M:M,MATCH($D273,A_Type_Volume!$A:$A,0),1),IF($E273="VAM",INDEX(C_Type_Volume!M:M,MATCH($D273,C_Type_Volume!$A:$A,0),1),"X")),"")</f>
        <v>102160</v>
      </c>
      <c r="BL273" s="38">
        <f>SUM(Table1[[#This Row],[Jan_AVF]:[Dec_AVF]])</f>
        <v>1424639</v>
      </c>
      <c r="BM273" s="16">
        <f t="shared" si="240"/>
        <v>0</v>
      </c>
      <c r="BN273" s="16">
        <f t="shared" si="241"/>
        <v>0</v>
      </c>
      <c r="BO273" s="16">
        <f t="shared" si="242"/>
        <v>0</v>
      </c>
      <c r="BP273" s="16">
        <f t="shared" si="243"/>
        <v>0</v>
      </c>
      <c r="BQ273" s="16">
        <f t="shared" si="244"/>
        <v>0</v>
      </c>
      <c r="BR273" s="16">
        <f t="shared" si="245"/>
        <v>0</v>
      </c>
      <c r="BS273" s="16">
        <f t="shared" si="246"/>
        <v>0</v>
      </c>
      <c r="BT273" s="16">
        <f t="shared" si="247"/>
        <v>0</v>
      </c>
      <c r="BU273" s="16">
        <f t="shared" si="248"/>
        <v>0</v>
      </c>
      <c r="BV273" s="16">
        <f t="shared" si="249"/>
        <v>0</v>
      </c>
      <c r="BW273" s="16">
        <f t="shared" si="250"/>
        <v>0</v>
      </c>
      <c r="BX273" s="16">
        <f t="shared" si="251"/>
        <v>0</v>
      </c>
      <c r="BY273" s="10">
        <f t="shared" si="218"/>
        <v>0</v>
      </c>
      <c r="BZ273" s="10">
        <f t="shared" si="219"/>
        <v>0</v>
      </c>
      <c r="CA273" s="10">
        <f t="shared" si="220"/>
        <v>0</v>
      </c>
      <c r="CB273" s="10">
        <f t="shared" si="221"/>
        <v>0</v>
      </c>
      <c r="CC273" s="10">
        <f>IFERROR(Table1[[#This Row],[Labor
Saving]]*Table1[[#This Row],[Annual Volume]],"")</f>
        <v>0</v>
      </c>
      <c r="CD273" s="10">
        <f>IFERROR(Table1[[#This Row],[Annual Volume]]*Table1[[#This Row],[Yield
Saving]],"")</f>
        <v>0</v>
      </c>
      <c r="CE273" s="10">
        <f>IFERROR(Table1[[#This Row],[Annual Volume]]*Table1[[#This Row],[Material
Saving]],"")</f>
        <v>0</v>
      </c>
      <c r="CF273" s="10">
        <f>IFERROR(Table1[[#This Row],[OH
Saving]]*Table1[[#This Row],[Annual Volume]],"")</f>
        <v>0</v>
      </c>
      <c r="CG273" s="10">
        <f>SUM(Table1[[#This Row],[Labor_ASV]:[OH_ASV]])</f>
        <v>0</v>
      </c>
    </row>
    <row r="274" spans="1:85" x14ac:dyDescent="0.3">
      <c r="A274" t="str">
        <f>Table1[[#This Row],[Project Name]]&amp;Table1[[#This Row],[Part Number]]</f>
        <v>Aut Visual 2V23</v>
      </c>
      <c r="B274" t="str">
        <f>IFERROR(Table1[[#This Row],[Project Number]]&amp;Table1[[#This Row],[Part Number]],"")</f>
        <v>AME25-066V23</v>
      </c>
      <c r="C274" s="22" t="s">
        <v>113</v>
      </c>
      <c r="D274" s="24" t="s">
        <v>235</v>
      </c>
      <c r="E274" s="25" t="s">
        <v>60</v>
      </c>
      <c r="F274" s="6">
        <f>INDEX(Proj_Reg!G:G,MATCH($C274,Proj_Reg!$B:$B,0),1)</f>
        <v>46174</v>
      </c>
      <c r="G274" s="6">
        <f>INDEX(Proj_Reg!H:H,MATCH($C274,Proj_Reg!$B:$B,0),1)</f>
        <v>46508</v>
      </c>
      <c r="H274" s="6" t="str">
        <f>IF(INDEX(Proj_Reg!C:C,MATCH($C274,Proj_Reg!$B:$B,0),1)=0,"",INDEX(Proj_Reg!C:C,MATCH($C274,Proj_Reg!$B:$B,0),1))</f>
        <v>Visual Inspection</v>
      </c>
      <c r="I274" s="6" t="str">
        <f>IF(INDEX(Proj_Reg!D:D,MATCH($C274,Proj_Reg!$B:$B,0),1)=0,"",INDEX(Proj_Reg!D:D,MATCH($C274,Proj_Reg!$B:$B,0),1))</f>
        <v>XCI</v>
      </c>
      <c r="J274" s="6" t="str">
        <f>INDEX(Proj_Reg!E:E,MATCH($C274,Proj_Reg!$B:$B,0),1)</f>
        <v>Aut Visual 2</v>
      </c>
      <c r="K274" s="21">
        <v>0</v>
      </c>
      <c r="L274" s="21">
        <v>0</v>
      </c>
      <c r="M274" s="21">
        <v>0</v>
      </c>
      <c r="N274" s="21">
        <v>0</v>
      </c>
      <c r="O274" s="11">
        <f>SUM(Table1[[#This Row],[Labor
Saving]:[OH
Saving]])</f>
        <v>0</v>
      </c>
      <c r="Q274" s="40">
        <f t="shared" si="202"/>
        <v>0</v>
      </c>
      <c r="R274" s="40">
        <f t="shared" si="203"/>
        <v>0</v>
      </c>
      <c r="S274" s="40">
        <f t="shared" si="204"/>
        <v>0</v>
      </c>
      <c r="T274" s="40">
        <f t="shared" si="205"/>
        <v>0</v>
      </c>
      <c r="U274" s="40">
        <f t="shared" si="206"/>
        <v>0</v>
      </c>
      <c r="V274" s="40">
        <f t="shared" si="207"/>
        <v>18216.899999999998</v>
      </c>
      <c r="W274" s="40">
        <f t="shared" si="208"/>
        <v>68071</v>
      </c>
      <c r="X274" s="40">
        <f t="shared" si="209"/>
        <v>65724</v>
      </c>
      <c r="Y274" s="40">
        <f t="shared" si="210"/>
        <v>68071</v>
      </c>
      <c r="Z274" s="40">
        <f t="shared" si="211"/>
        <v>71386</v>
      </c>
      <c r="AA274" s="40">
        <f t="shared" si="212"/>
        <v>64477</v>
      </c>
      <c r="AB274" s="40">
        <f t="shared" si="213"/>
        <v>57569</v>
      </c>
      <c r="AC274" s="37">
        <f>SUM(Table1[[#This Row],[Jan]:[Dec]])</f>
        <v>413514.9</v>
      </c>
      <c r="AD274" s="15">
        <f t="shared" si="222"/>
        <v>0</v>
      </c>
      <c r="AE274" s="15">
        <f t="shared" si="223"/>
        <v>0</v>
      </c>
      <c r="AF274" s="15">
        <f t="shared" si="224"/>
        <v>0</v>
      </c>
      <c r="AG274" s="15">
        <f t="shared" si="225"/>
        <v>0</v>
      </c>
      <c r="AH274" s="15">
        <f t="shared" si="226"/>
        <v>0</v>
      </c>
      <c r="AI274" s="15">
        <f t="shared" si="227"/>
        <v>0</v>
      </c>
      <c r="AJ274" s="15">
        <f t="shared" si="228"/>
        <v>0</v>
      </c>
      <c r="AK274" s="15">
        <f t="shared" si="229"/>
        <v>0</v>
      </c>
      <c r="AL274" s="15">
        <f t="shared" si="230"/>
        <v>0</v>
      </c>
      <c r="AM274" s="15">
        <f t="shared" si="231"/>
        <v>0</v>
      </c>
      <c r="AN274" s="15">
        <f t="shared" si="232"/>
        <v>0</v>
      </c>
      <c r="AO274" s="15">
        <f t="shared" si="233"/>
        <v>0</v>
      </c>
      <c r="AP274" s="10">
        <f t="shared" si="234"/>
        <v>0</v>
      </c>
      <c r="AQ274" s="10">
        <f t="shared" si="235"/>
        <v>0</v>
      </c>
      <c r="AR274" s="10">
        <f t="shared" si="236"/>
        <v>0</v>
      </c>
      <c r="AS274" s="10">
        <f t="shared" si="237"/>
        <v>0</v>
      </c>
      <c r="AT274" s="10" t="b">
        <f t="shared" si="238"/>
        <v>1</v>
      </c>
      <c r="AU274" s="10">
        <f t="shared" si="214"/>
        <v>0</v>
      </c>
      <c r="AV274" s="10">
        <f t="shared" si="215"/>
        <v>0</v>
      </c>
      <c r="AW274" s="10">
        <f t="shared" si="216"/>
        <v>0</v>
      </c>
      <c r="AX274" s="10">
        <f t="shared" si="217"/>
        <v>0</v>
      </c>
      <c r="AY274" s="10">
        <f t="shared" si="239"/>
        <v>0</v>
      </c>
      <c r="AZ274" s="19">
        <f>IFERROR(IF($E274="REC",INDEX(A_Type_Volume!$B:$B,MATCH($D274,A_Type_Volume!$A:$A,0),1),IF($E274="VAM",INDEX(C_Type_Volume!$B:$B,MATCH($D274,C_Type_Volume!$A:$A,0),1),"X")),"")</f>
        <v>123226</v>
      </c>
      <c r="BA274" s="19">
        <f>IFERROR(IF($E274="REC",INDEX(A_Type_Volume!$C:$C,MATCH($D274,A_Type_Volume!$A:$A,0),1),IF($E274="VAM",INDEX(C_Type_Volume!$C:$C,MATCH($D274,C_Type_Volume!$A:$A,0),1),"X")),"")</f>
        <v>61209</v>
      </c>
      <c r="BB274" s="19">
        <f>IFERROR(IF($E274="REC",INDEX(A_Type_Volume!$D:$D,MATCH($D274,A_Type_Volume!$A:$A,0),1),IF($E274="VAM",INDEX(C_Type_Volume!$D:$D,MATCH($D274,C_Type_Volume!$A:$A,0),1),"X")),"")</f>
        <v>67067</v>
      </c>
      <c r="BC274" s="19">
        <f>IFERROR(IF($E274="REC",INDEX(A_Type_Volume!$E:$E,MATCH($D274,A_Type_Volume!$A:$A,0),1),IF($E274="VAM",INDEX(C_Type_Volume!$E:$E,MATCH($D274,C_Type_Volume!$A:$A,0),1),"X")),"")</f>
        <v>54217</v>
      </c>
      <c r="BD274" s="19">
        <f>IFERROR(IF($E274="REC",INDEX(A_Type_Volume!$F:$F,MATCH($D274,A_Type_Volume!$A:$A,0),1),IF($E274="VAM",INDEX(C_Type_Volume!$F:$F,MATCH($D274,C_Type_Volume!$A:$A,0),1),"X")),"")</f>
        <v>62892</v>
      </c>
      <c r="BE274" s="19">
        <f>IFERROR(IF($E274="REC",INDEX(A_Type_Volume!$G:$G,MATCH($D274,A_Type_Volume!$A:$A,0),1),IF($E274="VAM",INDEX(C_Type_Volume!$G:$G,MATCH($D274,C_Type_Volume!$A:$A,0),1),"X")),"")</f>
        <v>60723</v>
      </c>
      <c r="BF274" s="19">
        <f>IFERROR(IF($E274="REC",INDEX(A_Type_Volume!$H:$H,MATCH($D274,A_Type_Volume!$A:$A,0),1),IF($E274="VAM",INDEX(C_Type_Volume!$H:$H,MATCH($D274,C_Type_Volume!$A:$A,0),1),"X")),"")</f>
        <v>68071</v>
      </c>
      <c r="BG274" s="19">
        <f>IFERROR(IF($E274="REC",INDEX(A_Type_Volume!$I:$I,MATCH($D274,A_Type_Volume!$A:$A,0),1),IF($E274="VAM",INDEX(C_Type_Volume!$I:$I,MATCH($D274,C_Type_Volume!$A:$A,0),1),"X")),"")</f>
        <v>65724</v>
      </c>
      <c r="BH274" s="19">
        <f>IFERROR(IF($E274="REC",INDEX(A_Type_Volume!$J:$J,MATCH($D274,A_Type_Volume!$A:$A,0),1),IF($E274="VAM",INDEX(C_Type_Volume!$J:$J,MATCH($D274,C_Type_Volume!$A:$A,0),1),"X")),"")</f>
        <v>68071</v>
      </c>
      <c r="BI274" s="19">
        <f>IFERROR(IF($E274="REC",INDEX(A_Type_Volume!$K:$K,MATCH($D274,A_Type_Volume!$A:$A,0),1),IF($E274="VAM",INDEX(C_Type_Volume!$K:$K,MATCH($D274,C_Type_Volume!$A:$A,0),1),"X")),"")</f>
        <v>71386</v>
      </c>
      <c r="BJ274" s="19">
        <f>IFERROR(IF($E274="REC",INDEX(A_Type_Volume!$L:$L,MATCH($D274,A_Type_Volume!$A:$A,0),1),IF($E274="VAM",INDEX(C_Type_Volume!$L:$L,MATCH($D274,C_Type_Volume!$A:$A,0),1),"X")),"")</f>
        <v>64477</v>
      </c>
      <c r="BK274" s="19">
        <f>IFERROR(IF($E274="REC",INDEX(A_Type_Volume!M:M,MATCH($D274,A_Type_Volume!$A:$A,0),1),IF($E274="VAM",INDEX(C_Type_Volume!M:M,MATCH($D274,C_Type_Volume!$A:$A,0),1),"X")),"")</f>
        <v>57569</v>
      </c>
      <c r="BL274" s="38">
        <f>SUM(Table1[[#This Row],[Jan_AVF]:[Dec_AVF]])</f>
        <v>824632</v>
      </c>
      <c r="BM274" s="16">
        <f t="shared" si="240"/>
        <v>0</v>
      </c>
      <c r="BN274" s="16">
        <f t="shared" si="241"/>
        <v>0</v>
      </c>
      <c r="BO274" s="16">
        <f t="shared" si="242"/>
        <v>0</v>
      </c>
      <c r="BP274" s="16">
        <f t="shared" si="243"/>
        <v>0</v>
      </c>
      <c r="BQ274" s="16">
        <f t="shared" si="244"/>
        <v>0</v>
      </c>
      <c r="BR274" s="16">
        <f t="shared" si="245"/>
        <v>0</v>
      </c>
      <c r="BS274" s="16">
        <f t="shared" si="246"/>
        <v>0</v>
      </c>
      <c r="BT274" s="16">
        <f t="shared" si="247"/>
        <v>0</v>
      </c>
      <c r="BU274" s="16">
        <f t="shared" si="248"/>
        <v>0</v>
      </c>
      <c r="BV274" s="16">
        <f t="shared" si="249"/>
        <v>0</v>
      </c>
      <c r="BW274" s="16">
        <f t="shared" si="250"/>
        <v>0</v>
      </c>
      <c r="BX274" s="16">
        <f t="shared" si="251"/>
        <v>0</v>
      </c>
      <c r="BY274" s="10">
        <f t="shared" si="218"/>
        <v>0</v>
      </c>
      <c r="BZ274" s="10">
        <f t="shared" si="219"/>
        <v>0</v>
      </c>
      <c r="CA274" s="10">
        <f t="shared" si="220"/>
        <v>0</v>
      </c>
      <c r="CB274" s="10">
        <f t="shared" si="221"/>
        <v>0</v>
      </c>
      <c r="CC274" s="10">
        <f>IFERROR(Table1[[#This Row],[Labor
Saving]]*Table1[[#This Row],[Annual Volume]],"")</f>
        <v>0</v>
      </c>
      <c r="CD274" s="10">
        <f>IFERROR(Table1[[#This Row],[Annual Volume]]*Table1[[#This Row],[Yield
Saving]],"")</f>
        <v>0</v>
      </c>
      <c r="CE274" s="10">
        <f>IFERROR(Table1[[#This Row],[Annual Volume]]*Table1[[#This Row],[Material
Saving]],"")</f>
        <v>0</v>
      </c>
      <c r="CF274" s="10">
        <f>IFERROR(Table1[[#This Row],[OH
Saving]]*Table1[[#This Row],[Annual Volume]],"")</f>
        <v>0</v>
      </c>
      <c r="CG274" s="10">
        <f>SUM(Table1[[#This Row],[Labor_ASV]:[OH_ASV]])</f>
        <v>0</v>
      </c>
    </row>
    <row r="275" spans="1:85" x14ac:dyDescent="0.3">
      <c r="A275" t="str">
        <f>Table1[[#This Row],[Project Name]]&amp;Table1[[#This Row],[Part Number]]</f>
        <v>Aut Visual 2V24</v>
      </c>
      <c r="B275" t="str">
        <f>IFERROR(Table1[[#This Row],[Project Number]]&amp;Table1[[#This Row],[Part Number]],"")</f>
        <v>AME25-066V24</v>
      </c>
      <c r="C275" s="22" t="s">
        <v>113</v>
      </c>
      <c r="D275" s="24" t="s">
        <v>236</v>
      </c>
      <c r="E275" s="25" t="s">
        <v>60</v>
      </c>
      <c r="F275" s="6">
        <f>INDEX(Proj_Reg!G:G,MATCH($C275,Proj_Reg!$B:$B,0),1)</f>
        <v>46174</v>
      </c>
      <c r="G275" s="6">
        <f>INDEX(Proj_Reg!H:H,MATCH($C275,Proj_Reg!$B:$B,0),1)</f>
        <v>46508</v>
      </c>
      <c r="H275" s="6" t="str">
        <f>IF(INDEX(Proj_Reg!C:C,MATCH($C275,Proj_Reg!$B:$B,0),1)=0,"",INDEX(Proj_Reg!C:C,MATCH($C275,Proj_Reg!$B:$B,0),1))</f>
        <v>Visual Inspection</v>
      </c>
      <c r="I275" s="6" t="str">
        <f>IF(INDEX(Proj_Reg!D:D,MATCH($C275,Proj_Reg!$B:$B,0),1)=0,"",INDEX(Proj_Reg!D:D,MATCH($C275,Proj_Reg!$B:$B,0),1))</f>
        <v>XCI</v>
      </c>
      <c r="J275" s="6" t="str">
        <f>INDEX(Proj_Reg!E:E,MATCH($C275,Proj_Reg!$B:$B,0),1)</f>
        <v>Aut Visual 2</v>
      </c>
      <c r="K275" s="21">
        <v>0</v>
      </c>
      <c r="L275" s="21">
        <v>0</v>
      </c>
      <c r="M275" s="21">
        <v>0</v>
      </c>
      <c r="N275" s="21">
        <v>0</v>
      </c>
      <c r="O275" s="11">
        <f>SUM(Table1[[#This Row],[Labor
Saving]:[OH
Saving]])</f>
        <v>0</v>
      </c>
      <c r="Q275" s="40">
        <f t="shared" si="202"/>
        <v>0</v>
      </c>
      <c r="R275" s="40">
        <f t="shared" si="203"/>
        <v>0</v>
      </c>
      <c r="S275" s="40">
        <f t="shared" si="204"/>
        <v>0</v>
      </c>
      <c r="T275" s="40">
        <f t="shared" si="205"/>
        <v>0</v>
      </c>
      <c r="U275" s="40">
        <f t="shared" si="206"/>
        <v>0</v>
      </c>
      <c r="V275" s="40">
        <f t="shared" si="207"/>
        <v>19471.5</v>
      </c>
      <c r="W275" s="40">
        <f t="shared" si="208"/>
        <v>66046</v>
      </c>
      <c r="X275" s="40">
        <f t="shared" si="209"/>
        <v>63769</v>
      </c>
      <c r="Y275" s="40">
        <f t="shared" si="210"/>
        <v>66046</v>
      </c>
      <c r="Z275" s="40">
        <f t="shared" si="211"/>
        <v>69372</v>
      </c>
      <c r="AA275" s="40">
        <f t="shared" si="212"/>
        <v>62658</v>
      </c>
      <c r="AB275" s="40">
        <f t="shared" si="213"/>
        <v>55945</v>
      </c>
      <c r="AC275" s="37">
        <f>SUM(Table1[[#This Row],[Jan]:[Dec]])</f>
        <v>403307.5</v>
      </c>
      <c r="AD275" s="15">
        <f t="shared" si="222"/>
        <v>0</v>
      </c>
      <c r="AE275" s="15">
        <f t="shared" si="223"/>
        <v>0</v>
      </c>
      <c r="AF275" s="15">
        <f t="shared" si="224"/>
        <v>0</v>
      </c>
      <c r="AG275" s="15">
        <f t="shared" si="225"/>
        <v>0</v>
      </c>
      <c r="AH275" s="15">
        <f t="shared" si="226"/>
        <v>0</v>
      </c>
      <c r="AI275" s="15">
        <f t="shared" si="227"/>
        <v>0</v>
      </c>
      <c r="AJ275" s="15">
        <f t="shared" si="228"/>
        <v>0</v>
      </c>
      <c r="AK275" s="15">
        <f t="shared" si="229"/>
        <v>0</v>
      </c>
      <c r="AL275" s="15">
        <f t="shared" si="230"/>
        <v>0</v>
      </c>
      <c r="AM275" s="15">
        <f t="shared" si="231"/>
        <v>0</v>
      </c>
      <c r="AN275" s="15">
        <f t="shared" si="232"/>
        <v>0</v>
      </c>
      <c r="AO275" s="15">
        <f t="shared" si="233"/>
        <v>0</v>
      </c>
      <c r="AP275" s="10">
        <f t="shared" si="234"/>
        <v>0</v>
      </c>
      <c r="AQ275" s="10">
        <f t="shared" si="235"/>
        <v>0</v>
      </c>
      <c r="AR275" s="10">
        <f t="shared" si="236"/>
        <v>0</v>
      </c>
      <c r="AS275" s="10">
        <f t="shared" si="237"/>
        <v>0</v>
      </c>
      <c r="AT275" s="10" t="b">
        <f t="shared" si="238"/>
        <v>1</v>
      </c>
      <c r="AU275" s="10">
        <f t="shared" si="214"/>
        <v>0</v>
      </c>
      <c r="AV275" s="10">
        <f t="shared" si="215"/>
        <v>0</v>
      </c>
      <c r="AW275" s="10">
        <f t="shared" si="216"/>
        <v>0</v>
      </c>
      <c r="AX275" s="10">
        <f t="shared" si="217"/>
        <v>0</v>
      </c>
      <c r="AY275" s="10">
        <f t="shared" si="239"/>
        <v>0</v>
      </c>
      <c r="AZ275" s="19">
        <f>IFERROR(IF($E275="REC",INDEX(A_Type_Volume!$B:$B,MATCH($D275,A_Type_Volume!$A:$A,0),1),IF($E275="VAM",INDEX(C_Type_Volume!$B:$B,MATCH($D275,C_Type_Volume!$A:$A,0),1),"X")),"")</f>
        <v>69512</v>
      </c>
      <c r="BA275" s="19">
        <f>IFERROR(IF($E275="REC",INDEX(A_Type_Volume!$C:$C,MATCH($D275,A_Type_Volume!$A:$A,0),1),IF($E275="VAM",INDEX(C_Type_Volume!$C:$C,MATCH($D275,C_Type_Volume!$A:$A,0),1),"X")),"")</f>
        <v>65060</v>
      </c>
      <c r="BB275" s="19">
        <f>IFERROR(IF($E275="REC",INDEX(A_Type_Volume!$D:$D,MATCH($D275,A_Type_Volume!$A:$A,0),1),IF($E275="VAM",INDEX(C_Type_Volume!$D:$D,MATCH($D275,C_Type_Volume!$A:$A,0),1),"X")),"")</f>
        <v>58684</v>
      </c>
      <c r="BC275" s="19">
        <f>IFERROR(IF($E275="REC",INDEX(A_Type_Volume!$E:$E,MATCH($D275,A_Type_Volume!$A:$A,0),1),IF($E275="VAM",INDEX(C_Type_Volume!$E:$E,MATCH($D275,C_Type_Volume!$A:$A,0),1),"X")),"")</f>
        <v>57951</v>
      </c>
      <c r="BD275" s="19">
        <f>IFERROR(IF($E275="REC",INDEX(A_Type_Volume!$F:$F,MATCH($D275,A_Type_Volume!$A:$A,0),1),IF($E275="VAM",INDEX(C_Type_Volume!$F:$F,MATCH($D275,C_Type_Volume!$A:$A,0),1),"X")),"")</f>
        <v>67223</v>
      </c>
      <c r="BE275" s="19">
        <f>IFERROR(IF($E275="REC",INDEX(A_Type_Volume!$G:$G,MATCH($D275,A_Type_Volume!$A:$A,0),1),IF($E275="VAM",INDEX(C_Type_Volume!$G:$G,MATCH($D275,C_Type_Volume!$A:$A,0),1),"X")),"")</f>
        <v>64905</v>
      </c>
      <c r="BF275" s="19">
        <f>IFERROR(IF($E275="REC",INDEX(A_Type_Volume!$H:$H,MATCH($D275,A_Type_Volume!$A:$A,0),1),IF($E275="VAM",INDEX(C_Type_Volume!$H:$H,MATCH($D275,C_Type_Volume!$A:$A,0),1),"X")),"")</f>
        <v>66046</v>
      </c>
      <c r="BG275" s="19">
        <f>IFERROR(IF($E275="REC",INDEX(A_Type_Volume!$I:$I,MATCH($D275,A_Type_Volume!$A:$A,0),1),IF($E275="VAM",INDEX(C_Type_Volume!$I:$I,MATCH($D275,C_Type_Volume!$A:$A,0),1),"X")),"")</f>
        <v>63769</v>
      </c>
      <c r="BH275" s="19">
        <f>IFERROR(IF($E275="REC",INDEX(A_Type_Volume!$J:$J,MATCH($D275,A_Type_Volume!$A:$A,0),1),IF($E275="VAM",INDEX(C_Type_Volume!$J:$J,MATCH($D275,C_Type_Volume!$A:$A,0),1),"X")),"")</f>
        <v>66046</v>
      </c>
      <c r="BI275" s="19">
        <f>IFERROR(IF($E275="REC",INDEX(A_Type_Volume!$K:$K,MATCH($D275,A_Type_Volume!$A:$A,0),1),IF($E275="VAM",INDEX(C_Type_Volume!$K:$K,MATCH($D275,C_Type_Volume!$A:$A,0),1),"X")),"")</f>
        <v>69372</v>
      </c>
      <c r="BJ275" s="19">
        <f>IFERROR(IF($E275="REC",INDEX(A_Type_Volume!$L:$L,MATCH($D275,A_Type_Volume!$A:$A,0),1),IF($E275="VAM",INDEX(C_Type_Volume!$L:$L,MATCH($D275,C_Type_Volume!$A:$A,0),1),"X")),"")</f>
        <v>62658</v>
      </c>
      <c r="BK275" s="19">
        <f>IFERROR(IF($E275="REC",INDEX(A_Type_Volume!M:M,MATCH($D275,A_Type_Volume!$A:$A,0),1),IF($E275="VAM",INDEX(C_Type_Volume!M:M,MATCH($D275,C_Type_Volume!$A:$A,0),1),"X")),"")</f>
        <v>55945</v>
      </c>
      <c r="BL275" s="38">
        <f>SUM(Table1[[#This Row],[Jan_AVF]:[Dec_AVF]])</f>
        <v>767171</v>
      </c>
      <c r="BM275" s="16">
        <f t="shared" si="240"/>
        <v>0</v>
      </c>
      <c r="BN275" s="16">
        <f t="shared" si="241"/>
        <v>0</v>
      </c>
      <c r="BO275" s="16">
        <f t="shared" si="242"/>
        <v>0</v>
      </c>
      <c r="BP275" s="16">
        <f t="shared" si="243"/>
        <v>0</v>
      </c>
      <c r="BQ275" s="16">
        <f t="shared" si="244"/>
        <v>0</v>
      </c>
      <c r="BR275" s="16">
        <f t="shared" si="245"/>
        <v>0</v>
      </c>
      <c r="BS275" s="16">
        <f t="shared" si="246"/>
        <v>0</v>
      </c>
      <c r="BT275" s="16">
        <f t="shared" si="247"/>
        <v>0</v>
      </c>
      <c r="BU275" s="16">
        <f t="shared" si="248"/>
        <v>0</v>
      </c>
      <c r="BV275" s="16">
        <f t="shared" si="249"/>
        <v>0</v>
      </c>
      <c r="BW275" s="16">
        <f t="shared" si="250"/>
        <v>0</v>
      </c>
      <c r="BX275" s="16">
        <f t="shared" si="251"/>
        <v>0</v>
      </c>
      <c r="BY275" s="10">
        <f t="shared" si="218"/>
        <v>0</v>
      </c>
      <c r="BZ275" s="10">
        <f t="shared" si="219"/>
        <v>0</v>
      </c>
      <c r="CA275" s="10">
        <f t="shared" si="220"/>
        <v>0</v>
      </c>
      <c r="CB275" s="10">
        <f t="shared" si="221"/>
        <v>0</v>
      </c>
      <c r="CC275" s="10">
        <f>IFERROR(Table1[[#This Row],[Labor
Saving]]*Table1[[#This Row],[Annual Volume]],"")</f>
        <v>0</v>
      </c>
      <c r="CD275" s="10">
        <f>IFERROR(Table1[[#This Row],[Annual Volume]]*Table1[[#This Row],[Yield
Saving]],"")</f>
        <v>0</v>
      </c>
      <c r="CE275" s="10">
        <f>IFERROR(Table1[[#This Row],[Annual Volume]]*Table1[[#This Row],[Material
Saving]],"")</f>
        <v>0</v>
      </c>
      <c r="CF275" s="10">
        <f>IFERROR(Table1[[#This Row],[OH
Saving]]*Table1[[#This Row],[Annual Volume]],"")</f>
        <v>0</v>
      </c>
      <c r="CG275" s="10">
        <f>SUM(Table1[[#This Row],[Labor_ASV]:[OH_ASV]])</f>
        <v>0</v>
      </c>
    </row>
    <row r="276" spans="1:85" x14ac:dyDescent="0.3">
      <c r="A276" t="str">
        <f>Table1[[#This Row],[Project Name]]&amp;Table1[[#This Row],[Part Number]]</f>
        <v>Aut Visual 2V25</v>
      </c>
      <c r="B276" t="str">
        <f>IFERROR(Table1[[#This Row],[Project Number]]&amp;Table1[[#This Row],[Part Number]],"")</f>
        <v>AME25-066V25</v>
      </c>
      <c r="C276" s="22" t="s">
        <v>113</v>
      </c>
      <c r="D276" s="24" t="s">
        <v>237</v>
      </c>
      <c r="E276" s="25" t="s">
        <v>60</v>
      </c>
      <c r="F276" s="6">
        <f>INDEX(Proj_Reg!G:G,MATCH($C276,Proj_Reg!$B:$B,0),1)</f>
        <v>46174</v>
      </c>
      <c r="G276" s="6">
        <f>INDEX(Proj_Reg!H:H,MATCH($C276,Proj_Reg!$B:$B,0),1)</f>
        <v>46508</v>
      </c>
      <c r="H276" s="6" t="str">
        <f>IF(INDEX(Proj_Reg!C:C,MATCH($C276,Proj_Reg!$B:$B,0),1)=0,"",INDEX(Proj_Reg!C:C,MATCH($C276,Proj_Reg!$B:$B,0),1))</f>
        <v>Visual Inspection</v>
      </c>
      <c r="I276" s="6" t="str">
        <f>IF(INDEX(Proj_Reg!D:D,MATCH($C276,Proj_Reg!$B:$B,0),1)=0,"",INDEX(Proj_Reg!D:D,MATCH($C276,Proj_Reg!$B:$B,0),1))</f>
        <v>XCI</v>
      </c>
      <c r="J276" s="6" t="str">
        <f>INDEX(Proj_Reg!E:E,MATCH($C276,Proj_Reg!$B:$B,0),1)</f>
        <v>Aut Visual 2</v>
      </c>
      <c r="K276" s="21">
        <v>0</v>
      </c>
      <c r="L276" s="21">
        <v>0</v>
      </c>
      <c r="M276" s="21">
        <v>0</v>
      </c>
      <c r="N276" s="21">
        <v>0</v>
      </c>
      <c r="O276" s="11">
        <f>SUM(Table1[[#This Row],[Labor
Saving]:[OH
Saving]])</f>
        <v>0</v>
      </c>
      <c r="Q276" s="40">
        <f t="shared" si="202"/>
        <v>0</v>
      </c>
      <c r="R276" s="40">
        <f t="shared" si="203"/>
        <v>0</v>
      </c>
      <c r="S276" s="40">
        <f t="shared" si="204"/>
        <v>0</v>
      </c>
      <c r="T276" s="40">
        <f t="shared" si="205"/>
        <v>0</v>
      </c>
      <c r="U276" s="40">
        <f t="shared" si="206"/>
        <v>0</v>
      </c>
      <c r="V276" s="40">
        <f t="shared" si="207"/>
        <v>6372</v>
      </c>
      <c r="W276" s="40">
        <f t="shared" si="208"/>
        <v>22882</v>
      </c>
      <c r="X276" s="40">
        <f t="shared" si="209"/>
        <v>22093</v>
      </c>
      <c r="Y276" s="40">
        <f t="shared" si="210"/>
        <v>22882</v>
      </c>
      <c r="Z276" s="40">
        <f t="shared" si="211"/>
        <v>23127</v>
      </c>
      <c r="AA276" s="40">
        <f t="shared" si="212"/>
        <v>20889</v>
      </c>
      <c r="AB276" s="40">
        <f t="shared" si="213"/>
        <v>18651</v>
      </c>
      <c r="AC276" s="37">
        <f>SUM(Table1[[#This Row],[Jan]:[Dec]])</f>
        <v>136896</v>
      </c>
      <c r="AD276" s="15">
        <f t="shared" si="222"/>
        <v>0</v>
      </c>
      <c r="AE276" s="15">
        <f t="shared" si="223"/>
        <v>0</v>
      </c>
      <c r="AF276" s="15">
        <f t="shared" si="224"/>
        <v>0</v>
      </c>
      <c r="AG276" s="15">
        <f t="shared" si="225"/>
        <v>0</v>
      </c>
      <c r="AH276" s="15">
        <f t="shared" si="226"/>
        <v>0</v>
      </c>
      <c r="AI276" s="15">
        <f t="shared" si="227"/>
        <v>0</v>
      </c>
      <c r="AJ276" s="15">
        <f t="shared" si="228"/>
        <v>0</v>
      </c>
      <c r="AK276" s="15">
        <f t="shared" si="229"/>
        <v>0</v>
      </c>
      <c r="AL276" s="15">
        <f t="shared" si="230"/>
        <v>0</v>
      </c>
      <c r="AM276" s="15">
        <f t="shared" si="231"/>
        <v>0</v>
      </c>
      <c r="AN276" s="15">
        <f t="shared" si="232"/>
        <v>0</v>
      </c>
      <c r="AO276" s="15">
        <f t="shared" si="233"/>
        <v>0</v>
      </c>
      <c r="AP276" s="10">
        <f t="shared" si="234"/>
        <v>0</v>
      </c>
      <c r="AQ276" s="10">
        <f t="shared" si="235"/>
        <v>0</v>
      </c>
      <c r="AR276" s="10">
        <f t="shared" si="236"/>
        <v>0</v>
      </c>
      <c r="AS276" s="10">
        <f t="shared" si="237"/>
        <v>0</v>
      </c>
      <c r="AT276" s="10" t="b">
        <f t="shared" si="238"/>
        <v>1</v>
      </c>
      <c r="AU276" s="10">
        <f t="shared" si="214"/>
        <v>0</v>
      </c>
      <c r="AV276" s="10">
        <f t="shared" si="215"/>
        <v>0</v>
      </c>
      <c r="AW276" s="10">
        <f t="shared" si="216"/>
        <v>0</v>
      </c>
      <c r="AX276" s="10">
        <f t="shared" si="217"/>
        <v>0</v>
      </c>
      <c r="AY276" s="10">
        <f t="shared" si="239"/>
        <v>0</v>
      </c>
      <c r="AZ276" s="19">
        <f>IFERROR(IF($E276="REC",INDEX(A_Type_Volume!$B:$B,MATCH($D276,A_Type_Volume!$A:$A,0),1),IF($E276="VAM",INDEX(C_Type_Volume!$B:$B,MATCH($D276,C_Type_Volume!$A:$A,0),1),"X")),"")</f>
        <v>0</v>
      </c>
      <c r="BA276" s="19">
        <f>IFERROR(IF($E276="REC",INDEX(A_Type_Volume!$C:$C,MATCH($D276,A_Type_Volume!$A:$A,0),1),IF($E276="VAM",INDEX(C_Type_Volume!$C:$C,MATCH($D276,C_Type_Volume!$A:$A,0),1),"X")),"")</f>
        <v>18185</v>
      </c>
      <c r="BB276" s="19">
        <f>IFERROR(IF($E276="REC",INDEX(A_Type_Volume!$D:$D,MATCH($D276,A_Type_Volume!$A:$A,0),1),IF($E276="VAM",INDEX(C_Type_Volume!$D:$D,MATCH($D276,C_Type_Volume!$A:$A,0),1),"X")),"")</f>
        <v>11737</v>
      </c>
      <c r="BC276" s="19">
        <f>IFERROR(IF($E276="REC",INDEX(A_Type_Volume!$E:$E,MATCH($D276,A_Type_Volume!$A:$A,0),1),IF($E276="VAM",INDEX(C_Type_Volume!$E:$E,MATCH($D276,C_Type_Volume!$A:$A,0),1),"X")),"")</f>
        <v>18964</v>
      </c>
      <c r="BD276" s="19">
        <f>IFERROR(IF($E276="REC",INDEX(A_Type_Volume!$F:$F,MATCH($D276,A_Type_Volume!$A:$A,0),1),IF($E276="VAM",INDEX(C_Type_Volume!$F:$F,MATCH($D276,C_Type_Volume!$A:$A,0),1),"X")),"")</f>
        <v>21999</v>
      </c>
      <c r="BE276" s="19">
        <f>IFERROR(IF($E276="REC",INDEX(A_Type_Volume!$G:$G,MATCH($D276,A_Type_Volume!$A:$A,0),1),IF($E276="VAM",INDEX(C_Type_Volume!$G:$G,MATCH($D276,C_Type_Volume!$A:$A,0),1),"X")),"")</f>
        <v>21240</v>
      </c>
      <c r="BF276" s="19">
        <f>IFERROR(IF($E276="REC",INDEX(A_Type_Volume!$H:$H,MATCH($D276,A_Type_Volume!$A:$A,0),1),IF($E276="VAM",INDEX(C_Type_Volume!$H:$H,MATCH($D276,C_Type_Volume!$A:$A,0),1),"X")),"")</f>
        <v>22882</v>
      </c>
      <c r="BG276" s="19">
        <f>IFERROR(IF($E276="REC",INDEX(A_Type_Volume!$I:$I,MATCH($D276,A_Type_Volume!$A:$A,0),1),IF($E276="VAM",INDEX(C_Type_Volume!$I:$I,MATCH($D276,C_Type_Volume!$A:$A,0),1),"X")),"")</f>
        <v>22093</v>
      </c>
      <c r="BH276" s="19">
        <f>IFERROR(IF($E276="REC",INDEX(A_Type_Volume!$J:$J,MATCH($D276,A_Type_Volume!$A:$A,0),1),IF($E276="VAM",INDEX(C_Type_Volume!$J:$J,MATCH($D276,C_Type_Volume!$A:$A,0),1),"X")),"")</f>
        <v>22882</v>
      </c>
      <c r="BI276" s="19">
        <f>IFERROR(IF($E276="REC",INDEX(A_Type_Volume!$K:$K,MATCH($D276,A_Type_Volume!$A:$A,0),1),IF($E276="VAM",INDEX(C_Type_Volume!$K:$K,MATCH($D276,C_Type_Volume!$A:$A,0),1),"X")),"")</f>
        <v>23127</v>
      </c>
      <c r="BJ276" s="19">
        <f>IFERROR(IF($E276="REC",INDEX(A_Type_Volume!$L:$L,MATCH($D276,A_Type_Volume!$A:$A,0),1),IF($E276="VAM",INDEX(C_Type_Volume!$L:$L,MATCH($D276,C_Type_Volume!$A:$A,0),1),"X")),"")</f>
        <v>20889</v>
      </c>
      <c r="BK276" s="19">
        <f>IFERROR(IF($E276="REC",INDEX(A_Type_Volume!M:M,MATCH($D276,A_Type_Volume!$A:$A,0),1),IF($E276="VAM",INDEX(C_Type_Volume!M:M,MATCH($D276,C_Type_Volume!$A:$A,0),1),"X")),"")</f>
        <v>18651</v>
      </c>
      <c r="BL276" s="38">
        <f>SUM(Table1[[#This Row],[Jan_AVF]:[Dec_AVF]])</f>
        <v>222649</v>
      </c>
      <c r="BM276" s="16">
        <f t="shared" si="240"/>
        <v>0</v>
      </c>
      <c r="BN276" s="16">
        <f t="shared" si="241"/>
        <v>0</v>
      </c>
      <c r="BO276" s="16">
        <f t="shared" si="242"/>
        <v>0</v>
      </c>
      <c r="BP276" s="16">
        <f t="shared" si="243"/>
        <v>0</v>
      </c>
      <c r="BQ276" s="16">
        <f t="shared" si="244"/>
        <v>0</v>
      </c>
      <c r="BR276" s="16">
        <f t="shared" si="245"/>
        <v>0</v>
      </c>
      <c r="BS276" s="16">
        <f t="shared" si="246"/>
        <v>0</v>
      </c>
      <c r="BT276" s="16">
        <f t="shared" si="247"/>
        <v>0</v>
      </c>
      <c r="BU276" s="16">
        <f t="shared" si="248"/>
        <v>0</v>
      </c>
      <c r="BV276" s="16">
        <f t="shared" si="249"/>
        <v>0</v>
      </c>
      <c r="BW276" s="16">
        <f t="shared" si="250"/>
        <v>0</v>
      </c>
      <c r="BX276" s="16">
        <f t="shared" si="251"/>
        <v>0</v>
      </c>
      <c r="BY276" s="10">
        <f t="shared" si="218"/>
        <v>0</v>
      </c>
      <c r="BZ276" s="10">
        <f t="shared" si="219"/>
        <v>0</v>
      </c>
      <c r="CA276" s="10">
        <f t="shared" si="220"/>
        <v>0</v>
      </c>
      <c r="CB276" s="10">
        <f t="shared" si="221"/>
        <v>0</v>
      </c>
      <c r="CC276" s="10">
        <f>IFERROR(Table1[[#This Row],[Labor
Saving]]*Table1[[#This Row],[Annual Volume]],"")</f>
        <v>0</v>
      </c>
      <c r="CD276" s="10">
        <f>IFERROR(Table1[[#This Row],[Annual Volume]]*Table1[[#This Row],[Yield
Saving]],"")</f>
        <v>0</v>
      </c>
      <c r="CE276" s="10">
        <f>IFERROR(Table1[[#This Row],[Annual Volume]]*Table1[[#This Row],[Material
Saving]],"")</f>
        <v>0</v>
      </c>
      <c r="CF276" s="10">
        <f>IFERROR(Table1[[#This Row],[OH
Saving]]*Table1[[#This Row],[Annual Volume]],"")</f>
        <v>0</v>
      </c>
      <c r="CG276" s="10">
        <f>SUM(Table1[[#This Row],[Labor_ASV]:[OH_ASV]])</f>
        <v>0</v>
      </c>
    </row>
    <row r="277" spans="1:85" x14ac:dyDescent="0.3">
      <c r="A277" t="str">
        <f>Table1[[#This Row],[Project Name]]&amp;Table1[[#This Row],[Part Number]]</f>
        <v>Aut Visual 2V26</v>
      </c>
      <c r="B277" t="str">
        <f>IFERROR(Table1[[#This Row],[Project Number]]&amp;Table1[[#This Row],[Part Number]],"")</f>
        <v>AME25-066V26</v>
      </c>
      <c r="C277" s="22" t="s">
        <v>113</v>
      </c>
      <c r="D277" s="24" t="s">
        <v>238</v>
      </c>
      <c r="E277" s="25" t="s">
        <v>60</v>
      </c>
      <c r="F277" s="6">
        <f>INDEX(Proj_Reg!G:G,MATCH($C277,Proj_Reg!$B:$B,0),1)</f>
        <v>46174</v>
      </c>
      <c r="G277" s="6">
        <f>INDEX(Proj_Reg!H:H,MATCH($C277,Proj_Reg!$B:$B,0),1)</f>
        <v>46508</v>
      </c>
      <c r="H277" s="6" t="str">
        <f>IF(INDEX(Proj_Reg!C:C,MATCH($C277,Proj_Reg!$B:$B,0),1)=0,"",INDEX(Proj_Reg!C:C,MATCH($C277,Proj_Reg!$B:$B,0),1))</f>
        <v>Visual Inspection</v>
      </c>
      <c r="I277" s="6" t="str">
        <f>IF(INDEX(Proj_Reg!D:D,MATCH($C277,Proj_Reg!$B:$B,0),1)=0,"",INDEX(Proj_Reg!D:D,MATCH($C277,Proj_Reg!$B:$B,0),1))</f>
        <v>XCI</v>
      </c>
      <c r="J277" s="6" t="str">
        <f>INDEX(Proj_Reg!E:E,MATCH($C277,Proj_Reg!$B:$B,0),1)</f>
        <v>Aut Visual 2</v>
      </c>
      <c r="K277" s="21">
        <v>0</v>
      </c>
      <c r="L277" s="21">
        <v>0</v>
      </c>
      <c r="M277" s="21">
        <v>0</v>
      </c>
      <c r="N277" s="21">
        <v>0</v>
      </c>
      <c r="O277" s="11">
        <f>SUM(Table1[[#This Row],[Labor
Saving]:[OH
Saving]])</f>
        <v>0</v>
      </c>
      <c r="Q277" s="40">
        <f t="shared" si="202"/>
        <v>0</v>
      </c>
      <c r="R277" s="40">
        <f t="shared" si="203"/>
        <v>0</v>
      </c>
      <c r="S277" s="40">
        <f t="shared" si="204"/>
        <v>0</v>
      </c>
      <c r="T277" s="40">
        <f t="shared" si="205"/>
        <v>0</v>
      </c>
      <c r="U277" s="40">
        <f t="shared" si="206"/>
        <v>0</v>
      </c>
      <c r="V277" s="40">
        <f t="shared" si="207"/>
        <v>5653.2</v>
      </c>
      <c r="W277" s="40">
        <f t="shared" si="208"/>
        <v>19701</v>
      </c>
      <c r="X277" s="40">
        <f t="shared" si="209"/>
        <v>19022</v>
      </c>
      <c r="Y277" s="40">
        <f t="shared" si="210"/>
        <v>19701</v>
      </c>
      <c r="Z277" s="40">
        <f t="shared" si="211"/>
        <v>21113</v>
      </c>
      <c r="AA277" s="40">
        <f t="shared" si="212"/>
        <v>19070</v>
      </c>
      <c r="AB277" s="40">
        <f t="shared" si="213"/>
        <v>17027</v>
      </c>
      <c r="AC277" s="37">
        <f>SUM(Table1[[#This Row],[Jan]:[Dec]])</f>
        <v>121287.2</v>
      </c>
      <c r="AD277" s="15">
        <f t="shared" si="222"/>
        <v>0</v>
      </c>
      <c r="AE277" s="15">
        <f t="shared" si="223"/>
        <v>0</v>
      </c>
      <c r="AF277" s="15">
        <f t="shared" si="224"/>
        <v>0</v>
      </c>
      <c r="AG277" s="15">
        <f t="shared" si="225"/>
        <v>0</v>
      </c>
      <c r="AH277" s="15">
        <f t="shared" si="226"/>
        <v>0</v>
      </c>
      <c r="AI277" s="15">
        <f t="shared" si="227"/>
        <v>0</v>
      </c>
      <c r="AJ277" s="15">
        <f t="shared" si="228"/>
        <v>0</v>
      </c>
      <c r="AK277" s="15">
        <f t="shared" si="229"/>
        <v>0</v>
      </c>
      <c r="AL277" s="15">
        <f t="shared" si="230"/>
        <v>0</v>
      </c>
      <c r="AM277" s="15">
        <f t="shared" si="231"/>
        <v>0</v>
      </c>
      <c r="AN277" s="15">
        <f t="shared" si="232"/>
        <v>0</v>
      </c>
      <c r="AO277" s="15">
        <f t="shared" si="233"/>
        <v>0</v>
      </c>
      <c r="AP277" s="10">
        <f t="shared" si="234"/>
        <v>0</v>
      </c>
      <c r="AQ277" s="10">
        <f t="shared" si="235"/>
        <v>0</v>
      </c>
      <c r="AR277" s="10">
        <f t="shared" si="236"/>
        <v>0</v>
      </c>
      <c r="AS277" s="10">
        <f t="shared" si="237"/>
        <v>0</v>
      </c>
      <c r="AT277" s="10" t="b">
        <f t="shared" si="238"/>
        <v>1</v>
      </c>
      <c r="AU277" s="10">
        <f t="shared" si="214"/>
        <v>0</v>
      </c>
      <c r="AV277" s="10">
        <f t="shared" si="215"/>
        <v>0</v>
      </c>
      <c r="AW277" s="10">
        <f t="shared" si="216"/>
        <v>0</v>
      </c>
      <c r="AX277" s="10">
        <f t="shared" si="217"/>
        <v>0</v>
      </c>
      <c r="AY277" s="10">
        <f t="shared" si="239"/>
        <v>0</v>
      </c>
      <c r="AZ277" s="19">
        <f>IFERROR(IF($E277="REC",INDEX(A_Type_Volume!$B:$B,MATCH($D277,A_Type_Volume!$A:$A,0),1),IF($E277="VAM",INDEX(C_Type_Volume!$B:$B,MATCH($D277,C_Type_Volume!$A:$A,0),1),"X")),"")</f>
        <v>4739</v>
      </c>
      <c r="BA277" s="19">
        <f>IFERROR(IF($E277="REC",INDEX(A_Type_Volume!$C:$C,MATCH($D277,A_Type_Volume!$A:$A,0),1),IF($E277="VAM",INDEX(C_Type_Volume!$C:$C,MATCH($D277,C_Type_Volume!$A:$A,0),1),"X")),"")</f>
        <v>12592</v>
      </c>
      <c r="BB277" s="19">
        <f>IFERROR(IF($E277="REC",INDEX(A_Type_Volume!$D:$D,MATCH($D277,A_Type_Volume!$A:$A,0),1),IF($E277="VAM",INDEX(C_Type_Volume!$D:$D,MATCH($D277,C_Type_Volume!$A:$A,0),1),"X")),"")</f>
        <v>20120</v>
      </c>
      <c r="BC277" s="19">
        <f>IFERROR(IF($E277="REC",INDEX(A_Type_Volume!$E:$E,MATCH($D277,A_Type_Volume!$A:$A,0),1),IF($E277="VAM",INDEX(C_Type_Volume!$E:$E,MATCH($D277,C_Type_Volume!$A:$A,0),1),"X")),"")</f>
        <v>16825</v>
      </c>
      <c r="BD277" s="19">
        <f>IFERROR(IF($E277="REC",INDEX(A_Type_Volume!$F:$F,MATCH($D277,A_Type_Volume!$A:$A,0),1),IF($E277="VAM",INDEX(C_Type_Volume!$F:$F,MATCH($D277,C_Type_Volume!$A:$A,0),1),"X")),"")</f>
        <v>19517</v>
      </c>
      <c r="BE277" s="19">
        <f>IFERROR(IF($E277="REC",INDEX(A_Type_Volume!$G:$G,MATCH($D277,A_Type_Volume!$A:$A,0),1),IF($E277="VAM",INDEX(C_Type_Volume!$G:$G,MATCH($D277,C_Type_Volume!$A:$A,0),1),"X")),"")</f>
        <v>18844</v>
      </c>
      <c r="BF277" s="19">
        <f>IFERROR(IF($E277="REC",INDEX(A_Type_Volume!$H:$H,MATCH($D277,A_Type_Volume!$A:$A,0),1),IF($E277="VAM",INDEX(C_Type_Volume!$H:$H,MATCH($D277,C_Type_Volume!$A:$A,0),1),"X")),"")</f>
        <v>19701</v>
      </c>
      <c r="BG277" s="19">
        <f>IFERROR(IF($E277="REC",INDEX(A_Type_Volume!$I:$I,MATCH($D277,A_Type_Volume!$A:$A,0),1),IF($E277="VAM",INDEX(C_Type_Volume!$I:$I,MATCH($D277,C_Type_Volume!$A:$A,0),1),"X")),"")</f>
        <v>19022</v>
      </c>
      <c r="BH277" s="19">
        <f>IFERROR(IF($E277="REC",INDEX(A_Type_Volume!$J:$J,MATCH($D277,A_Type_Volume!$A:$A,0),1),IF($E277="VAM",INDEX(C_Type_Volume!$J:$J,MATCH($D277,C_Type_Volume!$A:$A,0),1),"X")),"")</f>
        <v>19701</v>
      </c>
      <c r="BI277" s="19">
        <f>IFERROR(IF($E277="REC",INDEX(A_Type_Volume!$K:$K,MATCH($D277,A_Type_Volume!$A:$A,0),1),IF($E277="VAM",INDEX(C_Type_Volume!$K:$K,MATCH($D277,C_Type_Volume!$A:$A,0),1),"X")),"")</f>
        <v>21113</v>
      </c>
      <c r="BJ277" s="19">
        <f>IFERROR(IF($E277="REC",INDEX(A_Type_Volume!$L:$L,MATCH($D277,A_Type_Volume!$A:$A,0),1),IF($E277="VAM",INDEX(C_Type_Volume!$L:$L,MATCH($D277,C_Type_Volume!$A:$A,0),1),"X")),"")</f>
        <v>19070</v>
      </c>
      <c r="BK277" s="19">
        <f>IFERROR(IF($E277="REC",INDEX(A_Type_Volume!M:M,MATCH($D277,A_Type_Volume!$A:$A,0),1),IF($E277="VAM",INDEX(C_Type_Volume!M:M,MATCH($D277,C_Type_Volume!$A:$A,0),1),"X")),"")</f>
        <v>17027</v>
      </c>
      <c r="BL277" s="38">
        <f>SUM(Table1[[#This Row],[Jan_AVF]:[Dec_AVF]])</f>
        <v>208271</v>
      </c>
      <c r="BM277" s="16">
        <f t="shared" si="240"/>
        <v>0</v>
      </c>
      <c r="BN277" s="16">
        <f t="shared" si="241"/>
        <v>0</v>
      </c>
      <c r="BO277" s="16">
        <f t="shared" si="242"/>
        <v>0</v>
      </c>
      <c r="BP277" s="16">
        <f t="shared" si="243"/>
        <v>0</v>
      </c>
      <c r="BQ277" s="16">
        <f t="shared" si="244"/>
        <v>0</v>
      </c>
      <c r="BR277" s="16">
        <f t="shared" si="245"/>
        <v>0</v>
      </c>
      <c r="BS277" s="16">
        <f t="shared" si="246"/>
        <v>0</v>
      </c>
      <c r="BT277" s="16">
        <f t="shared" si="247"/>
        <v>0</v>
      </c>
      <c r="BU277" s="16">
        <f t="shared" si="248"/>
        <v>0</v>
      </c>
      <c r="BV277" s="16">
        <f t="shared" si="249"/>
        <v>0</v>
      </c>
      <c r="BW277" s="16">
        <f t="shared" si="250"/>
        <v>0</v>
      </c>
      <c r="BX277" s="16">
        <f t="shared" si="251"/>
        <v>0</v>
      </c>
      <c r="BY277" s="10">
        <f t="shared" si="218"/>
        <v>0</v>
      </c>
      <c r="BZ277" s="10">
        <f t="shared" si="219"/>
        <v>0</v>
      </c>
      <c r="CA277" s="10">
        <f t="shared" si="220"/>
        <v>0</v>
      </c>
      <c r="CB277" s="10">
        <f t="shared" si="221"/>
        <v>0</v>
      </c>
      <c r="CC277" s="10">
        <f>IFERROR(Table1[[#This Row],[Labor
Saving]]*Table1[[#This Row],[Annual Volume]],"")</f>
        <v>0</v>
      </c>
      <c r="CD277" s="10">
        <f>IFERROR(Table1[[#This Row],[Annual Volume]]*Table1[[#This Row],[Yield
Saving]],"")</f>
        <v>0</v>
      </c>
      <c r="CE277" s="10">
        <f>IFERROR(Table1[[#This Row],[Annual Volume]]*Table1[[#This Row],[Material
Saving]],"")</f>
        <v>0</v>
      </c>
      <c r="CF277" s="10">
        <f>IFERROR(Table1[[#This Row],[OH
Saving]]*Table1[[#This Row],[Annual Volume]],"")</f>
        <v>0</v>
      </c>
      <c r="CG277" s="10">
        <f>SUM(Table1[[#This Row],[Labor_ASV]:[OH_ASV]])</f>
        <v>0</v>
      </c>
    </row>
    <row r="278" spans="1:85" s="93" customFormat="1" x14ac:dyDescent="0.3">
      <c r="A278" s="93" t="str">
        <f>Table1[[#This Row],[Project Name]]&amp;Table1[[#This Row],[Part Number]]</f>
        <v>Auto Visual AdjustmentR24</v>
      </c>
      <c r="B278" s="93" t="str">
        <f>IFERROR(Table1[[#This Row],[Project Number]]&amp;Table1[[#This Row],[Part Number]],"")</f>
        <v>AME25-095R24</v>
      </c>
      <c r="C278" s="22" t="s">
        <v>205</v>
      </c>
      <c r="D278" s="24" t="s">
        <v>262</v>
      </c>
      <c r="E278" s="86" t="s">
        <v>58</v>
      </c>
      <c r="F278" s="94">
        <f>INDEX(Proj_Reg!G:G,MATCH($C278,Proj_Reg!$B:$B,0),1)</f>
        <v>46296</v>
      </c>
      <c r="G278" s="94">
        <f>INDEX(Proj_Reg!H:H,MATCH($C278,Proj_Reg!$B:$B,0),1)</f>
        <v>46631</v>
      </c>
      <c r="H278" s="94" t="str">
        <f>IF(INDEX(Proj_Reg!C:C,MATCH($C278,Proj_Reg!$B:$B,0),1)=0,"",INDEX(Proj_Reg!C:C,MATCH($C278,Proj_Reg!$B:$B,0),1))</f>
        <v>Visual Inspection</v>
      </c>
      <c r="I278" s="94" t="str">
        <f>IF(INDEX(Proj_Reg!D:D,MATCH($C278,Proj_Reg!$B:$B,0),1)=0,"",INDEX(Proj_Reg!D:D,MATCH($C278,Proj_Reg!$B:$B,0),1))</f>
        <v>XCI</v>
      </c>
      <c r="J278" s="94" t="str">
        <f>INDEX(Proj_Reg!E:E,MATCH($C278,Proj_Reg!$B:$B,0),1)</f>
        <v>Auto Visual Adjustment</v>
      </c>
      <c r="K278" s="21">
        <v>0</v>
      </c>
      <c r="L278" s="21">
        <v>0</v>
      </c>
      <c r="M278" s="21">
        <v>0</v>
      </c>
      <c r="N278" s="21">
        <v>0</v>
      </c>
      <c r="O278" s="95">
        <f>SUM(Table1[[#This Row],[Labor
Saving]:[OH
Saving]])</f>
        <v>0</v>
      </c>
      <c r="Q278" s="40">
        <f t="shared" ref="Q278:AB279" si="252">IFERROR(IF($F278=Q$1,0.3,IF(AND(Q$1&gt;$F278,Q$1&lt;=$G278),100%,0))*AZ278,"")</f>
        <v>0</v>
      </c>
      <c r="R278" s="40">
        <f t="shared" si="252"/>
        <v>0</v>
      </c>
      <c r="S278" s="40">
        <f t="shared" si="252"/>
        <v>0</v>
      </c>
      <c r="T278" s="40">
        <f t="shared" si="252"/>
        <v>0</v>
      </c>
      <c r="U278" s="40">
        <f t="shared" si="252"/>
        <v>0</v>
      </c>
      <c r="V278" s="40">
        <f t="shared" si="252"/>
        <v>0</v>
      </c>
      <c r="W278" s="40">
        <f t="shared" si="252"/>
        <v>0</v>
      </c>
      <c r="X278" s="40">
        <f t="shared" si="252"/>
        <v>0</v>
      </c>
      <c r="Y278" s="40">
        <f t="shared" si="210"/>
        <v>0</v>
      </c>
      <c r="Z278" s="40">
        <f t="shared" si="252"/>
        <v>5564.7</v>
      </c>
      <c r="AA278" s="40">
        <f t="shared" si="252"/>
        <v>16020</v>
      </c>
      <c r="AB278" s="40">
        <f t="shared" si="252"/>
        <v>14174</v>
      </c>
      <c r="AC278" s="96">
        <f>SUM(Table1[[#This Row],[Jan]:[Dec]])</f>
        <v>35758.699999999997</v>
      </c>
      <c r="AD278" s="97">
        <f t="shared" ref="AD278:AO279" si="253">IFERROR($O278*Q278,"")</f>
        <v>0</v>
      </c>
      <c r="AE278" s="97">
        <f t="shared" si="253"/>
        <v>0</v>
      </c>
      <c r="AF278" s="97">
        <f t="shared" si="253"/>
        <v>0</v>
      </c>
      <c r="AG278" s="97">
        <f t="shared" si="253"/>
        <v>0</v>
      </c>
      <c r="AH278" s="97">
        <f t="shared" si="253"/>
        <v>0</v>
      </c>
      <c r="AI278" s="97">
        <f t="shared" si="253"/>
        <v>0</v>
      </c>
      <c r="AJ278" s="97">
        <f t="shared" si="253"/>
        <v>0</v>
      </c>
      <c r="AK278" s="97">
        <f t="shared" si="253"/>
        <v>0</v>
      </c>
      <c r="AL278" s="97">
        <f t="shared" si="253"/>
        <v>0</v>
      </c>
      <c r="AM278" s="97">
        <f t="shared" si="253"/>
        <v>0</v>
      </c>
      <c r="AN278" s="97">
        <f t="shared" si="253"/>
        <v>0</v>
      </c>
      <c r="AO278" s="97">
        <f t="shared" si="253"/>
        <v>0</v>
      </c>
      <c r="AP278" s="98">
        <f>SUM(AD278:AF278)</f>
        <v>0</v>
      </c>
      <c r="AQ278" s="98">
        <f>SUM(AG278:AI278)</f>
        <v>0</v>
      </c>
      <c r="AR278" s="98">
        <f>SUM(AJ278:AL278)</f>
        <v>0</v>
      </c>
      <c r="AS278" s="98">
        <f>SUM(AM278:AO278)</f>
        <v>0</v>
      </c>
      <c r="AT278" s="98" t="b">
        <f>SUM(AD278:AO278)=SUM(AP278:AS278)</f>
        <v>1</v>
      </c>
      <c r="AU278" s="98">
        <f t="shared" ref="AU278:AX279" si="254">IFERROR(K278*SUM($Q278:$AB278),"")</f>
        <v>0</v>
      </c>
      <c r="AV278" s="98">
        <f t="shared" si="254"/>
        <v>0</v>
      </c>
      <c r="AW278" s="98">
        <f t="shared" si="254"/>
        <v>0</v>
      </c>
      <c r="AX278" s="98">
        <f t="shared" si="254"/>
        <v>0</v>
      </c>
      <c r="AY278" s="98">
        <f>SUM(AU278:AX278)</f>
        <v>0</v>
      </c>
      <c r="AZ278" s="99">
        <f>IFERROR(IF($E278="REC",INDEX(A_Type_Volume!$B:$B,MATCH($D278,A_Type_Volume!$A:$A,0),1),IF($E278="VAM",INDEX(C_Type_Volume!$B:$B,MATCH($D278,C_Type_Volume!$A:$A,0),1),"X")),"")</f>
        <v>19548</v>
      </c>
      <c r="BA278" s="99">
        <f>IFERROR(IF($E278="REC",INDEX(A_Type_Volume!$C:$C,MATCH($D278,A_Type_Volume!$A:$A,0),1),IF($E278="VAM",INDEX(C_Type_Volume!$C:$C,MATCH($D278,C_Type_Volume!$A:$A,0),1),"X")),"")</f>
        <v>20941</v>
      </c>
      <c r="BB278" s="99">
        <f>IFERROR(IF($E278="REC",INDEX(A_Type_Volume!$D:$D,MATCH($D278,A_Type_Volume!$A:$A,0),1),IF($E278="VAM",INDEX(C_Type_Volume!$D:$D,MATCH($D278,C_Type_Volume!$A:$A,0),1),"X")),"")</f>
        <v>30747</v>
      </c>
      <c r="BC278" s="99">
        <f>IFERROR(IF($E278="REC",INDEX(A_Type_Volume!$E:$E,MATCH($D278,A_Type_Volume!$A:$A,0),1),IF($E278="VAM",INDEX(C_Type_Volume!$E:$E,MATCH($D278,C_Type_Volume!$A:$A,0),1),"X")),"")</f>
        <v>23484</v>
      </c>
      <c r="BD278" s="99">
        <f>IFERROR(IF($E278="REC",INDEX(A_Type_Volume!$F:$F,MATCH($D278,A_Type_Volume!$A:$A,0),1),IF($E278="VAM",INDEX(C_Type_Volume!$F:$F,MATCH($D278,C_Type_Volume!$A:$A,0),1),"X")),"")</f>
        <v>22497</v>
      </c>
      <c r="BE278" s="99">
        <f>IFERROR(IF($E278="REC",INDEX(A_Type_Volume!$G:$G,MATCH($D278,A_Type_Volume!$A:$A,0),1),IF($E278="VAM",INDEX(C_Type_Volume!$G:$G,MATCH($D278,C_Type_Volume!$A:$A,0),1),"X")),"")</f>
        <v>19429</v>
      </c>
      <c r="BF278" s="99">
        <f>IFERROR(IF($E278="REC",INDEX(A_Type_Volume!$H:$H,MATCH($D278,A_Type_Volume!$A:$A,0),1),IF($E278="VAM",INDEX(C_Type_Volume!$H:$H,MATCH($D278,C_Type_Volume!$A:$A,0),1),"X")),"")</f>
        <v>22343</v>
      </c>
      <c r="BG278" s="99">
        <f>IFERROR(IF($E278="REC",INDEX(A_Type_Volume!$I:$I,MATCH($D278,A_Type_Volume!$A:$A,0),1),IF($E278="VAM",INDEX(C_Type_Volume!$I:$I,MATCH($D278,C_Type_Volume!$A:$A,0),1),"X")),"")</f>
        <v>17486</v>
      </c>
      <c r="BH278" s="99">
        <f>IFERROR(IF($E278="REC",INDEX(A_Type_Volume!$J:$J,MATCH($D278,A_Type_Volume!$A:$A,0),1),IF($E278="VAM",INDEX(C_Type_Volume!$J:$J,MATCH($D278,C_Type_Volume!$A:$A,0),1),"X")),"")</f>
        <v>17706</v>
      </c>
      <c r="BI278" s="99">
        <f>IFERROR(IF($E278="REC",INDEX(A_Type_Volume!$K:$K,MATCH($D278,A_Type_Volume!$A:$A,0),1),IF($E278="VAM",INDEX(C_Type_Volume!$K:$K,MATCH($D278,C_Type_Volume!$A:$A,0),1),"X")),"")</f>
        <v>18549</v>
      </c>
      <c r="BJ278" s="99">
        <f>IFERROR(IF($E278="REC",INDEX(A_Type_Volume!$L:$L,MATCH($D278,A_Type_Volume!$A:$A,0),1),IF($E278="VAM",INDEX(C_Type_Volume!$L:$L,MATCH($D278,C_Type_Volume!$A:$A,0),1),"X")),"")</f>
        <v>16020</v>
      </c>
      <c r="BK278" s="99">
        <f>IFERROR(IF($E278="REC",INDEX(A_Type_Volume!M:M,MATCH($D278,A_Type_Volume!$A:$A,0),1),IF($E278="VAM",INDEX(C_Type_Volume!M:M,MATCH($D278,C_Type_Volume!$A:$A,0),1),"X")),"")</f>
        <v>14174</v>
      </c>
      <c r="BL278" s="100">
        <f>SUM(Table1[[#This Row],[Jan_AVF]:[Dec_AVF]])</f>
        <v>242924</v>
      </c>
      <c r="BM278" s="101">
        <f t="shared" ref="BM278:BX279" si="255">AZ278*$O278</f>
        <v>0</v>
      </c>
      <c r="BN278" s="101">
        <f t="shared" si="255"/>
        <v>0</v>
      </c>
      <c r="BO278" s="101">
        <f t="shared" si="255"/>
        <v>0</v>
      </c>
      <c r="BP278" s="101">
        <f t="shared" si="255"/>
        <v>0</v>
      </c>
      <c r="BQ278" s="101">
        <f t="shared" si="255"/>
        <v>0</v>
      </c>
      <c r="BR278" s="101">
        <f t="shared" si="255"/>
        <v>0</v>
      </c>
      <c r="BS278" s="101">
        <f t="shared" si="255"/>
        <v>0</v>
      </c>
      <c r="BT278" s="101">
        <f t="shared" si="255"/>
        <v>0</v>
      </c>
      <c r="BU278" s="101">
        <f t="shared" si="255"/>
        <v>0</v>
      </c>
      <c r="BV278" s="101">
        <f t="shared" si="255"/>
        <v>0</v>
      </c>
      <c r="BW278" s="101">
        <f t="shared" si="255"/>
        <v>0</v>
      </c>
      <c r="BX278" s="101">
        <f t="shared" si="255"/>
        <v>0</v>
      </c>
      <c r="BY278" s="98">
        <f>IFERROR(SUM(BM278:BO278),"")</f>
        <v>0</v>
      </c>
      <c r="BZ278" s="98">
        <f>IFERROR(SUM(BP278:BR278),"")</f>
        <v>0</v>
      </c>
      <c r="CA278" s="98">
        <f>IFERROR(SUM(BS278:BU278),"")</f>
        <v>0</v>
      </c>
      <c r="CB278" s="98">
        <f>IFERROR(SUM(BV278:BX278),"")</f>
        <v>0</v>
      </c>
      <c r="CC278" s="98">
        <f>IFERROR(Table1[[#This Row],[Labor
Saving]]*Table1[[#This Row],[Annual Volume]],"")</f>
        <v>0</v>
      </c>
      <c r="CD278" s="98">
        <f>IFERROR(Table1[[#This Row],[Annual Volume]]*Table1[[#This Row],[Yield
Saving]],"")</f>
        <v>0</v>
      </c>
      <c r="CE278" s="98">
        <f>IFERROR(Table1[[#This Row],[Annual Volume]]*Table1[[#This Row],[Material
Saving]],"")</f>
        <v>0</v>
      </c>
      <c r="CF278" s="98">
        <f>IFERROR(Table1[[#This Row],[OH
Saving]]*Table1[[#This Row],[Annual Volume]],"")</f>
        <v>0</v>
      </c>
      <c r="CG278" s="98">
        <f>SUM(Table1[[#This Row],[Labor_ASV]:[OH_ASV]])</f>
        <v>0</v>
      </c>
    </row>
    <row r="279" spans="1:85" s="93" customFormat="1" x14ac:dyDescent="0.3">
      <c r="A279" s="93" t="str">
        <f>Table1[[#This Row],[Project Name]]&amp;Table1[[#This Row],[Part Number]]</f>
        <v>Auto Visual AdjustmentR25</v>
      </c>
      <c r="B279" s="93" t="str">
        <f>IFERROR(Table1[[#This Row],[Project Number]]&amp;Table1[[#This Row],[Part Number]],"")</f>
        <v>AME25-095R25</v>
      </c>
      <c r="C279" s="22" t="s">
        <v>205</v>
      </c>
      <c r="D279" s="24" t="s">
        <v>263</v>
      </c>
      <c r="E279" s="86" t="s">
        <v>58</v>
      </c>
      <c r="F279" s="102">
        <f>INDEX(Proj_Reg!G:G,MATCH($C279,Proj_Reg!$B:$B,0),1)</f>
        <v>46296</v>
      </c>
      <c r="G279" s="102">
        <f>INDEX(Proj_Reg!H:H,MATCH($C279,Proj_Reg!$B:$B,0),1)</f>
        <v>46631</v>
      </c>
      <c r="H279" s="102" t="str">
        <f>IF(INDEX(Proj_Reg!C:C,MATCH($C279,Proj_Reg!$B:$B,0),1)=0,"",INDEX(Proj_Reg!C:C,MATCH($C279,Proj_Reg!$B:$B,0),1))</f>
        <v>Visual Inspection</v>
      </c>
      <c r="I279" s="102" t="str">
        <f>IF(INDEX(Proj_Reg!D:D,MATCH($C279,Proj_Reg!$B:$B,0),1)=0,"",INDEX(Proj_Reg!D:D,MATCH($C279,Proj_Reg!$B:$B,0),1))</f>
        <v>XCI</v>
      </c>
      <c r="J279" s="102" t="str">
        <f>INDEX(Proj_Reg!E:E,MATCH($C279,Proj_Reg!$B:$B,0),1)</f>
        <v>Auto Visual Adjustment</v>
      </c>
      <c r="K279" s="21"/>
      <c r="L279" s="21"/>
      <c r="M279" s="21"/>
      <c r="N279" s="21"/>
      <c r="O279" s="103">
        <f>SUM(Table1[[#This Row],[Labor
Saving]:[OH
Saving]])</f>
        <v>0</v>
      </c>
      <c r="P279" s="88"/>
      <c r="Q279" s="80">
        <f t="shared" si="252"/>
        <v>0</v>
      </c>
      <c r="R279" s="80">
        <f t="shared" si="252"/>
        <v>0</v>
      </c>
      <c r="S279" s="80">
        <f t="shared" si="252"/>
        <v>0</v>
      </c>
      <c r="T279" s="80">
        <f t="shared" si="252"/>
        <v>0</v>
      </c>
      <c r="U279" s="80">
        <f t="shared" si="252"/>
        <v>0</v>
      </c>
      <c r="V279" s="80">
        <f t="shared" si="252"/>
        <v>0</v>
      </c>
      <c r="W279" s="80">
        <f t="shared" si="252"/>
        <v>0</v>
      </c>
      <c r="X279" s="80">
        <f t="shared" si="252"/>
        <v>0</v>
      </c>
      <c r="Y279" s="80">
        <f t="shared" si="210"/>
        <v>0</v>
      </c>
      <c r="Z279" s="80">
        <f t="shared" si="252"/>
        <v>6051.9</v>
      </c>
      <c r="AA279" s="80">
        <f t="shared" si="252"/>
        <v>17422</v>
      </c>
      <c r="AB279" s="80">
        <f t="shared" si="252"/>
        <v>15415</v>
      </c>
      <c r="AC279" s="104">
        <f>SUM(Table1[[#This Row],[Jan]:[Dec]])</f>
        <v>38888.9</v>
      </c>
      <c r="AD279" s="105">
        <f t="shared" si="253"/>
        <v>0</v>
      </c>
      <c r="AE279" s="105">
        <f t="shared" si="253"/>
        <v>0</v>
      </c>
      <c r="AF279" s="105">
        <f t="shared" si="253"/>
        <v>0</v>
      </c>
      <c r="AG279" s="105">
        <f t="shared" si="253"/>
        <v>0</v>
      </c>
      <c r="AH279" s="105">
        <f t="shared" si="253"/>
        <v>0</v>
      </c>
      <c r="AI279" s="105">
        <f t="shared" si="253"/>
        <v>0</v>
      </c>
      <c r="AJ279" s="105">
        <f t="shared" si="253"/>
        <v>0</v>
      </c>
      <c r="AK279" s="105">
        <f t="shared" si="253"/>
        <v>0</v>
      </c>
      <c r="AL279" s="105">
        <f t="shared" si="253"/>
        <v>0</v>
      </c>
      <c r="AM279" s="105">
        <f t="shared" si="253"/>
        <v>0</v>
      </c>
      <c r="AN279" s="105">
        <f t="shared" si="253"/>
        <v>0</v>
      </c>
      <c r="AO279" s="105">
        <f t="shared" si="253"/>
        <v>0</v>
      </c>
      <c r="AP279" s="106">
        <f>SUM(AD279:AF279)</f>
        <v>0</v>
      </c>
      <c r="AQ279" s="106">
        <f>SUM(AG279:AI279)</f>
        <v>0</v>
      </c>
      <c r="AR279" s="106">
        <f>SUM(AJ279:AL279)</f>
        <v>0</v>
      </c>
      <c r="AS279" s="106">
        <f>SUM(AM279:AO279)</f>
        <v>0</v>
      </c>
      <c r="AT279" s="106" t="b">
        <f>SUM(AD279:AO279)=SUM(AP279:AS279)</f>
        <v>1</v>
      </c>
      <c r="AU279" s="106">
        <f t="shared" si="254"/>
        <v>0</v>
      </c>
      <c r="AV279" s="106">
        <f t="shared" si="254"/>
        <v>0</v>
      </c>
      <c r="AW279" s="106">
        <f t="shared" si="254"/>
        <v>0</v>
      </c>
      <c r="AX279" s="106">
        <f t="shared" si="254"/>
        <v>0</v>
      </c>
      <c r="AY279" s="106">
        <f>SUM(AU279:AX279)</f>
        <v>0</v>
      </c>
      <c r="AZ279" s="107">
        <f>IFERROR(IF($E279="REC",INDEX(A_Type_Volume!$B:$B,MATCH($D279,A_Type_Volume!$A:$A,0),1),IF($E279="VAM",INDEX(C_Type_Volume!$B:$B,MATCH($D279,C_Type_Volume!$A:$A,0),1),"X")),"")</f>
        <v>0</v>
      </c>
      <c r="BA279" s="107">
        <f>IFERROR(IF($E279="REC",INDEX(A_Type_Volume!$C:$C,MATCH($D279,A_Type_Volume!$A:$A,0),1),IF($E279="VAM",INDEX(C_Type_Volume!$C:$C,MATCH($D279,C_Type_Volume!$A:$A,0),1),"X")),"")</f>
        <v>0</v>
      </c>
      <c r="BB279" s="107">
        <f>IFERROR(IF($E279="REC",INDEX(A_Type_Volume!$D:$D,MATCH($D279,A_Type_Volume!$A:$A,0),1),IF($E279="VAM",INDEX(C_Type_Volume!$D:$D,MATCH($D279,C_Type_Volume!$A:$A,0),1),"X")),"")</f>
        <v>26687</v>
      </c>
      <c r="BC279" s="107">
        <f>IFERROR(IF($E279="REC",INDEX(A_Type_Volume!$E:$E,MATCH($D279,A_Type_Volume!$A:$A,0),1),IF($E279="VAM",INDEX(C_Type_Volume!$E:$E,MATCH($D279,C_Type_Volume!$A:$A,0),1),"X")),"")</f>
        <v>23041</v>
      </c>
      <c r="BD279" s="107">
        <f>IFERROR(IF($E279="REC",INDEX(A_Type_Volume!$F:$F,MATCH($D279,A_Type_Volume!$A:$A,0),1),IF($E279="VAM",INDEX(C_Type_Volume!$F:$F,MATCH($D279,C_Type_Volume!$A:$A,0),1),"X")),"")</f>
        <v>22189</v>
      </c>
      <c r="BE279" s="107">
        <f>IFERROR(IF($E279="REC",INDEX(A_Type_Volume!$G:$G,MATCH($D279,A_Type_Volume!$A:$A,0),1),IF($E279="VAM",INDEX(C_Type_Volume!$G:$G,MATCH($D279,C_Type_Volume!$A:$A,0),1),"X")),"")</f>
        <v>21130</v>
      </c>
      <c r="BF279" s="107">
        <f>IFERROR(IF($E279="REC",INDEX(A_Type_Volume!$H:$H,MATCH($D279,A_Type_Volume!$A:$A,0),1),IF($E279="VAM",INDEX(C_Type_Volume!$H:$H,MATCH($D279,C_Type_Volume!$A:$A,0),1),"X")),"")</f>
        <v>24299</v>
      </c>
      <c r="BG279" s="107">
        <f>IFERROR(IF($E279="REC",INDEX(A_Type_Volume!$I:$I,MATCH($D279,A_Type_Volume!$A:$A,0),1),IF($E279="VAM",INDEX(C_Type_Volume!$I:$I,MATCH($D279,C_Type_Volume!$A:$A,0),1),"X")),"")</f>
        <v>19017</v>
      </c>
      <c r="BH279" s="107">
        <f>IFERROR(IF($E279="REC",INDEX(A_Type_Volume!$J:$J,MATCH($D279,A_Type_Volume!$A:$A,0),1),IF($E279="VAM",INDEX(C_Type_Volume!$J:$J,MATCH($D279,C_Type_Volume!$A:$A,0),1),"X")),"")</f>
        <v>19256</v>
      </c>
      <c r="BI279" s="107">
        <f>IFERROR(IF($E279="REC",INDEX(A_Type_Volume!$K:$K,MATCH($D279,A_Type_Volume!$A:$A,0),1),IF($E279="VAM",INDEX(C_Type_Volume!$K:$K,MATCH($D279,C_Type_Volume!$A:$A,0),1),"X")),"")</f>
        <v>20173</v>
      </c>
      <c r="BJ279" s="107">
        <f>IFERROR(IF($E279="REC",INDEX(A_Type_Volume!$L:$L,MATCH($D279,A_Type_Volume!$A:$A,0),1),IF($E279="VAM",INDEX(C_Type_Volume!$L:$L,MATCH($D279,C_Type_Volume!$A:$A,0),1),"X")),"")</f>
        <v>17422</v>
      </c>
      <c r="BK279" s="107">
        <f>IFERROR(IF($E279="REC",INDEX(A_Type_Volume!M:M,MATCH($D279,A_Type_Volume!$A:$A,0),1),IF($E279="VAM",INDEX(C_Type_Volume!M:M,MATCH($D279,C_Type_Volume!$A:$A,0),1),"X")),"")</f>
        <v>15415</v>
      </c>
      <c r="BL279" s="100">
        <f>SUM(Table1[[#This Row],[Jan_AVF]:[Dec_AVF]])</f>
        <v>208629</v>
      </c>
      <c r="BM279" s="108">
        <f t="shared" si="255"/>
        <v>0</v>
      </c>
      <c r="BN279" s="108">
        <f t="shared" si="255"/>
        <v>0</v>
      </c>
      <c r="BO279" s="108">
        <f t="shared" si="255"/>
        <v>0</v>
      </c>
      <c r="BP279" s="108">
        <f t="shared" si="255"/>
        <v>0</v>
      </c>
      <c r="BQ279" s="108">
        <f t="shared" si="255"/>
        <v>0</v>
      </c>
      <c r="BR279" s="108">
        <f t="shared" si="255"/>
        <v>0</v>
      </c>
      <c r="BS279" s="108">
        <f t="shared" si="255"/>
        <v>0</v>
      </c>
      <c r="BT279" s="108">
        <f t="shared" si="255"/>
        <v>0</v>
      </c>
      <c r="BU279" s="108">
        <f t="shared" si="255"/>
        <v>0</v>
      </c>
      <c r="BV279" s="108">
        <f t="shared" si="255"/>
        <v>0</v>
      </c>
      <c r="BW279" s="108">
        <f t="shared" si="255"/>
        <v>0</v>
      </c>
      <c r="BX279" s="108">
        <f t="shared" si="255"/>
        <v>0</v>
      </c>
      <c r="BY279" s="106">
        <f>IFERROR(SUM(BM279:BO279),"")</f>
        <v>0</v>
      </c>
      <c r="BZ279" s="106">
        <f>IFERROR(SUM(BP279:BR279),"")</f>
        <v>0</v>
      </c>
      <c r="CA279" s="106">
        <f>IFERROR(SUM(BS279:BU279),"")</f>
        <v>0</v>
      </c>
      <c r="CB279" s="106">
        <f>IFERROR(SUM(BV279:BX279),"")</f>
        <v>0</v>
      </c>
      <c r="CC279" s="106">
        <f>IFERROR(Table1[[#This Row],[Labor
Saving]]*Table1[[#This Row],[Annual Volume]],"")</f>
        <v>0</v>
      </c>
      <c r="CD279" s="106">
        <f>IFERROR(Table1[[#This Row],[Annual Volume]]*Table1[[#This Row],[Yield
Saving]],"")</f>
        <v>0</v>
      </c>
      <c r="CE279" s="106">
        <f>IFERROR(Table1[[#This Row],[Annual Volume]]*Table1[[#This Row],[Material
Saving]],"")</f>
        <v>0</v>
      </c>
      <c r="CF279" s="106">
        <f>IFERROR(Table1[[#This Row],[OH
Saving]]*Table1[[#This Row],[Annual Volume]],"")</f>
        <v>0</v>
      </c>
      <c r="CG279" s="106">
        <f>SUM(Table1[[#This Row],[Labor_ASV]:[OH_ASV]])</f>
        <v>0</v>
      </c>
    </row>
    <row r="280" spans="1:85" s="93" customFormat="1" x14ac:dyDescent="0.3">
      <c r="A280" s="93" t="str">
        <f>Table1[[#This Row],[Project Name]]&amp;Table1[[#This Row],[Part Number]]</f>
        <v>Auto Visual AdjustmentR26</v>
      </c>
      <c r="B280" s="93" t="str">
        <f>IFERROR(Table1[[#This Row],[Project Number]]&amp;Table1[[#This Row],[Part Number]],"")</f>
        <v>AME25-095R26</v>
      </c>
      <c r="C280" s="22" t="s">
        <v>205</v>
      </c>
      <c r="D280" s="24" t="s">
        <v>264</v>
      </c>
      <c r="E280" s="86" t="s">
        <v>58</v>
      </c>
      <c r="F280" s="102">
        <f>INDEX(Proj_Reg!G:G,MATCH($C280,Proj_Reg!$B:$B,0),1)</f>
        <v>46296</v>
      </c>
      <c r="G280" s="102">
        <f>INDEX(Proj_Reg!H:H,MATCH($C280,Proj_Reg!$B:$B,0),1)</f>
        <v>46631</v>
      </c>
      <c r="H280" s="102" t="str">
        <f>IF(INDEX(Proj_Reg!C:C,MATCH($C280,Proj_Reg!$B:$B,0),1)=0,"",INDEX(Proj_Reg!C:C,MATCH($C280,Proj_Reg!$B:$B,0),1))</f>
        <v>Visual Inspection</v>
      </c>
      <c r="I280" s="102" t="str">
        <f>IF(INDEX(Proj_Reg!D:D,MATCH($C280,Proj_Reg!$B:$B,0),1)=0,"",INDEX(Proj_Reg!D:D,MATCH($C280,Proj_Reg!$B:$B,0),1))</f>
        <v>XCI</v>
      </c>
      <c r="J280" s="102" t="str">
        <f>INDEX(Proj_Reg!E:E,MATCH($C280,Proj_Reg!$B:$B,0),1)</f>
        <v>Auto Visual Adjustment</v>
      </c>
      <c r="K280" s="21"/>
      <c r="L280" s="21"/>
      <c r="M280" s="21"/>
      <c r="N280" s="21"/>
      <c r="O280" s="103">
        <f>SUM(Table1[[#This Row],[Labor
Saving]:[OH
Saving]])</f>
        <v>0</v>
      </c>
      <c r="P280" s="88"/>
      <c r="Q280" s="40">
        <f t="shared" ref="Q280:Q292" si="256">IFERROR(IF($F280=Q$1,0.3,IF(AND(Q$1&gt;$F280,Q$1&lt;=$G280),100%,0))*AZ280,"")</f>
        <v>0</v>
      </c>
      <c r="R280" s="40">
        <f t="shared" ref="R280:R292" si="257">IFERROR(IF($F280=R$1,0.3,IF(AND(R$1&gt;$F280,R$1&lt;=$G280),100%,0))*BA280,"")</f>
        <v>0</v>
      </c>
      <c r="S280" s="40">
        <f t="shared" ref="S280:S292" si="258">IFERROR(IF($F280=S$1,0.3,IF(AND(S$1&gt;$F280,S$1&lt;=$G280),100%,0))*BB280,"")</f>
        <v>0</v>
      </c>
      <c r="T280" s="40">
        <f t="shared" ref="T280:T292" si="259">IFERROR(IF($F280=T$1,0.3,IF(AND(T$1&gt;$F280,T$1&lt;=$G280),100%,0))*BC280,"")</f>
        <v>0</v>
      </c>
      <c r="U280" s="40">
        <f t="shared" ref="U280:U292" si="260">IFERROR(IF($F280=U$1,0.3,IF(AND(U$1&gt;$F280,U$1&lt;=$G280),100%,0))*BD280,"")</f>
        <v>0</v>
      </c>
      <c r="V280" s="40">
        <f t="shared" ref="V280:V292" si="261">IFERROR(IF($F280=V$1,0.3,IF(AND(V$1&gt;$F280,V$1&lt;=$G280),100%,0))*BE280,"")</f>
        <v>0</v>
      </c>
      <c r="W280" s="40">
        <f t="shared" ref="W280:W292" si="262">IFERROR(IF($F280=W$1,0.3,IF(AND(W$1&gt;$F280,W$1&lt;=$G280),100%,0))*BF280,"")</f>
        <v>0</v>
      </c>
      <c r="X280" s="40">
        <f t="shared" ref="X280:X292" si="263">IFERROR(IF($F280=X$1,0.3,IF(AND(X$1&gt;$F280,X$1&lt;=$G280),100%,0))*BG280,"")</f>
        <v>0</v>
      </c>
      <c r="Y280" s="40">
        <f t="shared" si="210"/>
        <v>0</v>
      </c>
      <c r="Z280" s="40">
        <f t="shared" ref="Z280:Z292" si="264">IFERROR(IF($F280=Z$1,0.3,IF(AND(Z$1&gt;$F280,Z$1&lt;=$G280),100%,0))*BI280,"")</f>
        <v>32290.199999999997</v>
      </c>
      <c r="AA280" s="40">
        <f t="shared" ref="AA280:AA292" si="265">IFERROR(IF($F280=AA$1,0.3,IF(AND(AA$1&gt;$F280,AA$1&lt;=$G280),100%,0))*BJ280,"")</f>
        <v>92957</v>
      </c>
      <c r="AB280" s="40">
        <f t="shared" ref="AB280:AB292" si="266">IFERROR(IF($F280=AB$1,0.3,IF(AND(AB$1&gt;$F280,AB$1&lt;=$G280),100%,0))*BK280,"")</f>
        <v>82249</v>
      </c>
      <c r="AC280" s="104">
        <f>SUM(Table1[[#This Row],[Jan]:[Dec]])</f>
        <v>207496.2</v>
      </c>
      <c r="AD280" s="105">
        <f t="shared" ref="AD280:AD292" si="267">IFERROR($O280*Q280,"")</f>
        <v>0</v>
      </c>
      <c r="AE280" s="105">
        <f t="shared" ref="AE280:AE292" si="268">IFERROR($O280*R280,"")</f>
        <v>0</v>
      </c>
      <c r="AF280" s="105">
        <f t="shared" ref="AF280:AF292" si="269">IFERROR($O280*S280,"")</f>
        <v>0</v>
      </c>
      <c r="AG280" s="105">
        <f t="shared" ref="AG280:AG292" si="270">IFERROR($O280*T280,"")</f>
        <v>0</v>
      </c>
      <c r="AH280" s="105">
        <f t="shared" ref="AH280:AH292" si="271">IFERROR($O280*U280,"")</f>
        <v>0</v>
      </c>
      <c r="AI280" s="105">
        <f t="shared" ref="AI280:AI292" si="272">IFERROR($O280*V280,"")</f>
        <v>0</v>
      </c>
      <c r="AJ280" s="105">
        <f t="shared" ref="AJ280:AJ292" si="273">IFERROR($O280*W280,"")</f>
        <v>0</v>
      </c>
      <c r="AK280" s="105">
        <f t="shared" ref="AK280:AK292" si="274">IFERROR($O280*X280,"")</f>
        <v>0</v>
      </c>
      <c r="AL280" s="105">
        <f t="shared" ref="AL280:AL292" si="275">IFERROR($O280*Y280,"")</f>
        <v>0</v>
      </c>
      <c r="AM280" s="105">
        <f t="shared" ref="AM280:AM292" si="276">IFERROR($O280*Z280,"")</f>
        <v>0</v>
      </c>
      <c r="AN280" s="105">
        <f t="shared" ref="AN280:AN292" si="277">IFERROR($O280*AA280,"")</f>
        <v>0</v>
      </c>
      <c r="AO280" s="105">
        <f t="shared" ref="AO280:AO292" si="278">IFERROR($O280*AB280,"")</f>
        <v>0</v>
      </c>
      <c r="AP280" s="106">
        <f t="shared" ref="AP280:AP292" si="279">SUM(AD280:AF280)</f>
        <v>0</v>
      </c>
      <c r="AQ280" s="106">
        <f t="shared" ref="AQ280:AQ292" si="280">SUM(AG280:AI280)</f>
        <v>0</v>
      </c>
      <c r="AR280" s="106">
        <f t="shared" ref="AR280:AR292" si="281">SUM(AJ280:AL280)</f>
        <v>0</v>
      </c>
      <c r="AS280" s="106">
        <f t="shared" ref="AS280:AS292" si="282">SUM(AM280:AO280)</f>
        <v>0</v>
      </c>
      <c r="AT280" s="106" t="b">
        <f t="shared" ref="AT280:AT292" si="283">SUM(AD280:AO280)=SUM(AP280:AS280)</f>
        <v>1</v>
      </c>
      <c r="AU280" s="106">
        <f t="shared" ref="AU280:AU292" si="284">IFERROR(K280*SUM($Q280:$AB280),"")</f>
        <v>0</v>
      </c>
      <c r="AV280" s="106">
        <f t="shared" ref="AV280:AV292" si="285">IFERROR(L280*SUM($Q280:$AB280),"")</f>
        <v>0</v>
      </c>
      <c r="AW280" s="106">
        <f t="shared" ref="AW280:AW292" si="286">IFERROR(M280*SUM($Q280:$AB280),"")</f>
        <v>0</v>
      </c>
      <c r="AX280" s="106">
        <f t="shared" ref="AX280:AX292" si="287">IFERROR(N280*SUM($Q280:$AB280),"")</f>
        <v>0</v>
      </c>
      <c r="AY280" s="106">
        <f t="shared" ref="AY280:AY292" si="288">SUM(AU280:AX280)</f>
        <v>0</v>
      </c>
      <c r="AZ280" s="107">
        <f>IFERROR(IF($E280="REC",INDEX(A_Type_Volume!$B:$B,MATCH($D280,A_Type_Volume!$A:$A,0),1),IF($E280="VAM",INDEX(C_Type_Volume!$B:$B,MATCH($D280,C_Type_Volume!$A:$A,0),1),"X")),"")</f>
        <v>79817</v>
      </c>
      <c r="BA280" s="107">
        <f>IFERROR(IF($E280="REC",INDEX(A_Type_Volume!$C:$C,MATCH($D280,A_Type_Volume!$A:$A,0),1),IF($E280="VAM",INDEX(C_Type_Volume!$C:$C,MATCH($D280,C_Type_Volume!$A:$A,0),1),"X")),"")</f>
        <v>103996</v>
      </c>
      <c r="BB280" s="107">
        <f>IFERROR(IF($E280="REC",INDEX(A_Type_Volume!$D:$D,MATCH($D280,A_Type_Volume!$A:$A,0),1),IF($E280="VAM",INDEX(C_Type_Volume!$D:$D,MATCH($D280,C_Type_Volume!$A:$A,0),1),"X")),"")</f>
        <v>153736</v>
      </c>
      <c r="BC280" s="107">
        <f>IFERROR(IF($E280="REC",INDEX(A_Type_Volume!$E:$E,MATCH($D280,A_Type_Volume!$A:$A,0),1),IF($E280="VAM",INDEX(C_Type_Volume!$E:$E,MATCH($D280,C_Type_Volume!$A:$A,0),1),"X")),"")</f>
        <v>120615</v>
      </c>
      <c r="BD280" s="107">
        <f>IFERROR(IF($E280="REC",INDEX(A_Type_Volume!$F:$F,MATCH($D280,A_Type_Volume!$A:$A,0),1),IF($E280="VAM",INDEX(C_Type_Volume!$F:$F,MATCH($D280,C_Type_Volume!$A:$A,0),1),"X")),"")</f>
        <v>120946</v>
      </c>
      <c r="BE280" s="107">
        <f>IFERROR(IF($E280="REC",INDEX(A_Type_Volume!$G:$G,MATCH($D280,A_Type_Volume!$A:$A,0),1),IF($E280="VAM",INDEX(C_Type_Volume!$G:$G,MATCH($D280,C_Type_Volume!$A:$A,0),1),"X")),"")</f>
        <v>112739</v>
      </c>
      <c r="BF280" s="107">
        <f>IFERROR(IF($E280="REC",INDEX(A_Type_Volume!$H:$H,MATCH($D280,A_Type_Volume!$A:$A,0),1),IF($E280="VAM",INDEX(C_Type_Volume!$H:$H,MATCH($D280,C_Type_Volume!$A:$A,0),1),"X")),"")</f>
        <v>129650</v>
      </c>
      <c r="BG280" s="107">
        <f>IFERROR(IF($E280="REC",INDEX(A_Type_Volume!$I:$I,MATCH($D280,A_Type_Volume!$A:$A,0),1),IF($E280="VAM",INDEX(C_Type_Volume!$I:$I,MATCH($D280,C_Type_Volume!$A:$A,0),1),"X")),"")</f>
        <v>101466</v>
      </c>
      <c r="BH280" s="107">
        <f>IFERROR(IF($E280="REC",INDEX(A_Type_Volume!$J:$J,MATCH($D280,A_Type_Volume!$A:$A,0),1),IF($E280="VAM",INDEX(C_Type_Volume!$J:$J,MATCH($D280,C_Type_Volume!$A:$A,0),1),"X")),"")</f>
        <v>102742</v>
      </c>
      <c r="BI280" s="107">
        <f>IFERROR(IF($E280="REC",INDEX(A_Type_Volume!$K:$K,MATCH($D280,A_Type_Volume!$A:$A,0),1),IF($E280="VAM",INDEX(C_Type_Volume!$K:$K,MATCH($D280,C_Type_Volume!$A:$A,0),1),"X")),"")</f>
        <v>107634</v>
      </c>
      <c r="BJ280" s="107">
        <f>IFERROR(IF($E280="REC",INDEX(A_Type_Volume!$L:$L,MATCH($D280,A_Type_Volume!$A:$A,0),1),IF($E280="VAM",INDEX(C_Type_Volume!$L:$L,MATCH($D280,C_Type_Volume!$A:$A,0),1),"X")),"")</f>
        <v>92957</v>
      </c>
      <c r="BK280" s="107">
        <f>IFERROR(IF($E280="REC",INDEX(A_Type_Volume!M:M,MATCH($D280,A_Type_Volume!$A:$A,0),1),IF($E280="VAM",INDEX(C_Type_Volume!M:M,MATCH($D280,C_Type_Volume!$A:$A,0),1),"X")),"")</f>
        <v>82249</v>
      </c>
      <c r="BL280" s="100">
        <f>SUM(Table1[[#This Row],[Jan_AVF]:[Dec_AVF]])</f>
        <v>1308547</v>
      </c>
      <c r="BM280" s="108">
        <f t="shared" ref="BM280:BM292" si="289">AZ280*$O280</f>
        <v>0</v>
      </c>
      <c r="BN280" s="108">
        <f t="shared" ref="BN280:BN292" si="290">BA280*$O280</f>
        <v>0</v>
      </c>
      <c r="BO280" s="108">
        <f t="shared" ref="BO280:BO292" si="291">BB280*$O280</f>
        <v>0</v>
      </c>
      <c r="BP280" s="108">
        <f t="shared" ref="BP280:BP292" si="292">BC280*$O280</f>
        <v>0</v>
      </c>
      <c r="BQ280" s="108">
        <f t="shared" ref="BQ280:BQ292" si="293">BD280*$O280</f>
        <v>0</v>
      </c>
      <c r="BR280" s="108">
        <f t="shared" ref="BR280:BR292" si="294">BE280*$O280</f>
        <v>0</v>
      </c>
      <c r="BS280" s="108">
        <f t="shared" ref="BS280:BS292" si="295">BF280*$O280</f>
        <v>0</v>
      </c>
      <c r="BT280" s="108">
        <f t="shared" ref="BT280:BT292" si="296">BG280*$O280</f>
        <v>0</v>
      </c>
      <c r="BU280" s="108">
        <f t="shared" ref="BU280:BU292" si="297">BH280*$O280</f>
        <v>0</v>
      </c>
      <c r="BV280" s="108">
        <f t="shared" ref="BV280:BV292" si="298">BI280*$O280</f>
        <v>0</v>
      </c>
      <c r="BW280" s="108">
        <f t="shared" ref="BW280:BW292" si="299">BJ280*$O280</f>
        <v>0</v>
      </c>
      <c r="BX280" s="108">
        <f t="shared" ref="BX280:BX292" si="300">BK280*$O280</f>
        <v>0</v>
      </c>
      <c r="BY280" s="106">
        <f t="shared" ref="BY280:BY292" si="301">IFERROR(SUM(BM280:BO280),"")</f>
        <v>0</v>
      </c>
      <c r="BZ280" s="106">
        <f t="shared" ref="BZ280:BZ292" si="302">IFERROR(SUM(BP280:BR280),"")</f>
        <v>0</v>
      </c>
      <c r="CA280" s="106">
        <f t="shared" ref="CA280:CA292" si="303">IFERROR(SUM(BS280:BU280),"")</f>
        <v>0</v>
      </c>
      <c r="CB280" s="106">
        <f t="shared" ref="CB280:CB292" si="304">IFERROR(SUM(BV280:BX280),"")</f>
        <v>0</v>
      </c>
      <c r="CC280" s="106">
        <f>IFERROR(Table1[[#This Row],[Labor
Saving]]*Table1[[#This Row],[Annual Volume]],"")</f>
        <v>0</v>
      </c>
      <c r="CD280" s="106">
        <f>IFERROR(Table1[[#This Row],[Annual Volume]]*Table1[[#This Row],[Yield
Saving]],"")</f>
        <v>0</v>
      </c>
      <c r="CE280" s="106">
        <f>IFERROR(Table1[[#This Row],[Annual Volume]]*Table1[[#This Row],[Material
Saving]],"")</f>
        <v>0</v>
      </c>
      <c r="CF280" s="106">
        <f>IFERROR(Table1[[#This Row],[OH
Saving]]*Table1[[#This Row],[Annual Volume]],"")</f>
        <v>0</v>
      </c>
      <c r="CG280" s="106">
        <f>SUM(Table1[[#This Row],[Labor_ASV]:[OH_ASV]])</f>
        <v>0</v>
      </c>
    </row>
    <row r="281" spans="1:85" s="93" customFormat="1" x14ac:dyDescent="0.3">
      <c r="A281" s="93" t="str">
        <f>Table1[[#This Row],[Project Name]]&amp;Table1[[#This Row],[Part Number]]</f>
        <v>Auto Visual AdjustmentR27</v>
      </c>
      <c r="B281" s="93" t="str">
        <f>IFERROR(Table1[[#This Row],[Project Number]]&amp;Table1[[#This Row],[Part Number]],"")</f>
        <v>AME25-095R27</v>
      </c>
      <c r="C281" s="22" t="s">
        <v>205</v>
      </c>
      <c r="D281" s="24" t="s">
        <v>265</v>
      </c>
      <c r="E281" s="86" t="s">
        <v>58</v>
      </c>
      <c r="F281" s="102">
        <f>INDEX(Proj_Reg!G:G,MATCH($C281,Proj_Reg!$B:$B,0),1)</f>
        <v>46296</v>
      </c>
      <c r="G281" s="102">
        <f>INDEX(Proj_Reg!H:H,MATCH($C281,Proj_Reg!$B:$B,0),1)</f>
        <v>46631</v>
      </c>
      <c r="H281" s="102" t="str">
        <f>IF(INDEX(Proj_Reg!C:C,MATCH($C281,Proj_Reg!$B:$B,0),1)=0,"",INDEX(Proj_Reg!C:C,MATCH($C281,Proj_Reg!$B:$B,0),1))</f>
        <v>Visual Inspection</v>
      </c>
      <c r="I281" s="102" t="str">
        <f>IF(INDEX(Proj_Reg!D:D,MATCH($C281,Proj_Reg!$B:$B,0),1)=0,"",INDEX(Proj_Reg!D:D,MATCH($C281,Proj_Reg!$B:$B,0),1))</f>
        <v>XCI</v>
      </c>
      <c r="J281" s="102" t="str">
        <f>INDEX(Proj_Reg!E:E,MATCH($C281,Proj_Reg!$B:$B,0),1)</f>
        <v>Auto Visual Adjustment</v>
      </c>
      <c r="K281" s="21"/>
      <c r="L281" s="21"/>
      <c r="M281" s="21"/>
      <c r="N281" s="21"/>
      <c r="O281" s="103">
        <f>SUM(Table1[[#This Row],[Labor
Saving]:[OH
Saving]])</f>
        <v>0</v>
      </c>
      <c r="P281" s="88"/>
      <c r="Q281" s="40">
        <f t="shared" si="256"/>
        <v>0</v>
      </c>
      <c r="R281" s="40">
        <f t="shared" si="257"/>
        <v>0</v>
      </c>
      <c r="S281" s="40">
        <f t="shared" si="258"/>
        <v>0</v>
      </c>
      <c r="T281" s="40">
        <f t="shared" si="259"/>
        <v>0</v>
      </c>
      <c r="U281" s="40">
        <f t="shared" si="260"/>
        <v>0</v>
      </c>
      <c r="V281" s="40">
        <f t="shared" si="261"/>
        <v>0</v>
      </c>
      <c r="W281" s="40">
        <f t="shared" si="262"/>
        <v>0</v>
      </c>
      <c r="X281" s="40">
        <f t="shared" si="263"/>
        <v>0</v>
      </c>
      <c r="Y281" s="40">
        <f t="shared" si="210"/>
        <v>0</v>
      </c>
      <c r="Z281" s="40">
        <f t="shared" si="264"/>
        <v>29955.899999999998</v>
      </c>
      <c r="AA281" s="40">
        <f t="shared" si="265"/>
        <v>86237</v>
      </c>
      <c r="AB281" s="40">
        <f t="shared" si="266"/>
        <v>76303</v>
      </c>
      <c r="AC281" s="104">
        <f>SUM(Table1[[#This Row],[Jan]:[Dec]])</f>
        <v>192495.9</v>
      </c>
      <c r="AD281" s="105">
        <f t="shared" si="267"/>
        <v>0</v>
      </c>
      <c r="AE281" s="105">
        <f t="shared" si="268"/>
        <v>0</v>
      </c>
      <c r="AF281" s="105">
        <f t="shared" si="269"/>
        <v>0</v>
      </c>
      <c r="AG281" s="105">
        <f t="shared" si="270"/>
        <v>0</v>
      </c>
      <c r="AH281" s="105">
        <f t="shared" si="271"/>
        <v>0</v>
      </c>
      <c r="AI281" s="105">
        <f t="shared" si="272"/>
        <v>0</v>
      </c>
      <c r="AJ281" s="105">
        <f t="shared" si="273"/>
        <v>0</v>
      </c>
      <c r="AK281" s="105">
        <f t="shared" si="274"/>
        <v>0</v>
      </c>
      <c r="AL281" s="105">
        <f t="shared" si="275"/>
        <v>0</v>
      </c>
      <c r="AM281" s="105">
        <f t="shared" si="276"/>
        <v>0</v>
      </c>
      <c r="AN281" s="105">
        <f t="shared" si="277"/>
        <v>0</v>
      </c>
      <c r="AO281" s="105">
        <f t="shared" si="278"/>
        <v>0</v>
      </c>
      <c r="AP281" s="106">
        <f t="shared" si="279"/>
        <v>0</v>
      </c>
      <c r="AQ281" s="106">
        <f t="shared" si="280"/>
        <v>0</v>
      </c>
      <c r="AR281" s="106">
        <f t="shared" si="281"/>
        <v>0</v>
      </c>
      <c r="AS281" s="106">
        <f t="shared" si="282"/>
        <v>0</v>
      </c>
      <c r="AT281" s="106" t="b">
        <f t="shared" si="283"/>
        <v>1</v>
      </c>
      <c r="AU281" s="106">
        <f t="shared" si="284"/>
        <v>0</v>
      </c>
      <c r="AV281" s="106">
        <f t="shared" si="285"/>
        <v>0</v>
      </c>
      <c r="AW281" s="106">
        <f t="shared" si="286"/>
        <v>0</v>
      </c>
      <c r="AX281" s="106">
        <f t="shared" si="287"/>
        <v>0</v>
      </c>
      <c r="AY281" s="106">
        <f t="shared" si="288"/>
        <v>0</v>
      </c>
      <c r="AZ281" s="107">
        <f>IFERROR(IF($E281="REC",INDEX(A_Type_Volume!$B:$B,MATCH($D281,A_Type_Volume!$A:$A,0),1),IF($E281="VAM",INDEX(C_Type_Volume!$B:$B,MATCH($D281,C_Type_Volume!$A:$A,0),1),"X")),"")</f>
        <v>68858</v>
      </c>
      <c r="BA281" s="107">
        <f>IFERROR(IF($E281="REC",INDEX(A_Type_Volume!$C:$C,MATCH($D281,A_Type_Volume!$A:$A,0),1),IF($E281="VAM",INDEX(C_Type_Volume!$C:$C,MATCH($D281,C_Type_Volume!$A:$A,0),1),"X")),"")</f>
        <v>102471</v>
      </c>
      <c r="BB281" s="107">
        <f>IFERROR(IF($E281="REC",INDEX(A_Type_Volume!$D:$D,MATCH($D281,A_Type_Volume!$A:$A,0),1),IF($E281="VAM",INDEX(C_Type_Volume!$D:$D,MATCH($D281,C_Type_Volume!$A:$A,0),1),"X")),"")</f>
        <v>146159</v>
      </c>
      <c r="BC281" s="107">
        <f>IFERROR(IF($E281="REC",INDEX(A_Type_Volume!$E:$E,MATCH($D281,A_Type_Volume!$A:$A,0),1),IF($E281="VAM",INDEX(C_Type_Volume!$E:$E,MATCH($D281,C_Type_Volume!$A:$A,0),1),"X")),"")</f>
        <v>113672</v>
      </c>
      <c r="BD281" s="107">
        <f>IFERROR(IF($E281="REC",INDEX(A_Type_Volume!$F:$F,MATCH($D281,A_Type_Volume!$A:$A,0),1),IF($E281="VAM",INDEX(C_Type_Volume!$F:$F,MATCH($D281,C_Type_Volume!$A:$A,0),1),"X")),"")</f>
        <v>112764</v>
      </c>
      <c r="BE281" s="107">
        <f>IFERROR(IF($E281="REC",INDEX(A_Type_Volume!$G:$G,MATCH($D281,A_Type_Volume!$A:$A,0),1),IF($E281="VAM",INDEX(C_Type_Volume!$G:$G,MATCH($D281,C_Type_Volume!$A:$A,0),1),"X")),"")</f>
        <v>104589</v>
      </c>
      <c r="BF281" s="107">
        <f>IFERROR(IF($E281="REC",INDEX(A_Type_Volume!$H:$H,MATCH($D281,A_Type_Volume!$A:$A,0),1),IF($E281="VAM",INDEX(C_Type_Volume!$H:$H,MATCH($D281,C_Type_Volume!$A:$A,0),1),"X")),"")</f>
        <v>120278</v>
      </c>
      <c r="BG281" s="107">
        <f>IFERROR(IF($E281="REC",INDEX(A_Type_Volume!$I:$I,MATCH($D281,A_Type_Volume!$A:$A,0),1),IF($E281="VAM",INDEX(C_Type_Volume!$I:$I,MATCH($D281,C_Type_Volume!$A:$A,0),1),"X")),"")</f>
        <v>94130</v>
      </c>
      <c r="BH281" s="107">
        <f>IFERROR(IF($E281="REC",INDEX(A_Type_Volume!$J:$J,MATCH($D281,A_Type_Volume!$A:$A,0),1),IF($E281="VAM",INDEX(C_Type_Volume!$J:$J,MATCH($D281,C_Type_Volume!$A:$A,0),1),"X")),"")</f>
        <v>95314</v>
      </c>
      <c r="BI281" s="107">
        <f>IFERROR(IF($E281="REC",INDEX(A_Type_Volume!$K:$K,MATCH($D281,A_Type_Volume!$A:$A,0),1),IF($E281="VAM",INDEX(C_Type_Volume!$K:$K,MATCH($D281,C_Type_Volume!$A:$A,0),1),"X")),"")</f>
        <v>99853</v>
      </c>
      <c r="BJ281" s="107">
        <f>IFERROR(IF($E281="REC",INDEX(A_Type_Volume!$L:$L,MATCH($D281,A_Type_Volume!$A:$A,0),1),IF($E281="VAM",INDEX(C_Type_Volume!$L:$L,MATCH($D281,C_Type_Volume!$A:$A,0),1),"X")),"")</f>
        <v>86237</v>
      </c>
      <c r="BK281" s="107">
        <f>IFERROR(IF($E281="REC",INDEX(A_Type_Volume!M:M,MATCH($D281,A_Type_Volume!$A:$A,0),1),IF($E281="VAM",INDEX(C_Type_Volume!M:M,MATCH($D281,C_Type_Volume!$A:$A,0),1),"X")),"")</f>
        <v>76303</v>
      </c>
      <c r="BL281" s="100">
        <f>SUM(Table1[[#This Row],[Jan_AVF]:[Dec_AVF]])</f>
        <v>1220628</v>
      </c>
      <c r="BM281" s="108">
        <f t="shared" si="289"/>
        <v>0</v>
      </c>
      <c r="BN281" s="108">
        <f t="shared" si="290"/>
        <v>0</v>
      </c>
      <c r="BO281" s="108">
        <f t="shared" si="291"/>
        <v>0</v>
      </c>
      <c r="BP281" s="108">
        <f t="shared" si="292"/>
        <v>0</v>
      </c>
      <c r="BQ281" s="108">
        <f t="shared" si="293"/>
        <v>0</v>
      </c>
      <c r="BR281" s="108">
        <f t="shared" si="294"/>
        <v>0</v>
      </c>
      <c r="BS281" s="108">
        <f t="shared" si="295"/>
        <v>0</v>
      </c>
      <c r="BT281" s="108">
        <f t="shared" si="296"/>
        <v>0</v>
      </c>
      <c r="BU281" s="108">
        <f t="shared" si="297"/>
        <v>0</v>
      </c>
      <c r="BV281" s="108">
        <f t="shared" si="298"/>
        <v>0</v>
      </c>
      <c r="BW281" s="108">
        <f t="shared" si="299"/>
        <v>0</v>
      </c>
      <c r="BX281" s="108">
        <f t="shared" si="300"/>
        <v>0</v>
      </c>
      <c r="BY281" s="106">
        <f t="shared" si="301"/>
        <v>0</v>
      </c>
      <c r="BZ281" s="106">
        <f t="shared" si="302"/>
        <v>0</v>
      </c>
      <c r="CA281" s="106">
        <f t="shared" si="303"/>
        <v>0</v>
      </c>
      <c r="CB281" s="106">
        <f t="shared" si="304"/>
        <v>0</v>
      </c>
      <c r="CC281" s="106">
        <f>IFERROR(Table1[[#This Row],[Labor
Saving]]*Table1[[#This Row],[Annual Volume]],"")</f>
        <v>0</v>
      </c>
      <c r="CD281" s="106">
        <f>IFERROR(Table1[[#This Row],[Annual Volume]]*Table1[[#This Row],[Yield
Saving]],"")</f>
        <v>0</v>
      </c>
      <c r="CE281" s="106">
        <f>IFERROR(Table1[[#This Row],[Annual Volume]]*Table1[[#This Row],[Material
Saving]],"")</f>
        <v>0</v>
      </c>
      <c r="CF281" s="106">
        <f>IFERROR(Table1[[#This Row],[OH
Saving]]*Table1[[#This Row],[Annual Volume]],"")</f>
        <v>0</v>
      </c>
      <c r="CG281" s="106">
        <f>SUM(Table1[[#This Row],[Labor_ASV]:[OH_ASV]])</f>
        <v>0</v>
      </c>
    </row>
    <row r="282" spans="1:85" s="93" customFormat="1" x14ac:dyDescent="0.3">
      <c r="A282" s="93" t="str">
        <f>Table1[[#This Row],[Project Name]]&amp;Table1[[#This Row],[Part Number]]</f>
        <v>Auto Visual AdjustmentR28</v>
      </c>
      <c r="B282" s="93" t="str">
        <f>IFERROR(Table1[[#This Row],[Project Number]]&amp;Table1[[#This Row],[Part Number]],"")</f>
        <v>AME25-095R28</v>
      </c>
      <c r="C282" s="22" t="s">
        <v>205</v>
      </c>
      <c r="D282" s="24" t="s">
        <v>266</v>
      </c>
      <c r="E282" s="86" t="s">
        <v>58</v>
      </c>
      <c r="F282" s="102">
        <f>INDEX(Proj_Reg!G:G,MATCH($C282,Proj_Reg!$B:$B,0),1)</f>
        <v>46296</v>
      </c>
      <c r="G282" s="102">
        <f>INDEX(Proj_Reg!H:H,MATCH($C282,Proj_Reg!$B:$B,0),1)</f>
        <v>46631</v>
      </c>
      <c r="H282" s="102" t="str">
        <f>IF(INDEX(Proj_Reg!C:C,MATCH($C282,Proj_Reg!$B:$B,0),1)=0,"",INDEX(Proj_Reg!C:C,MATCH($C282,Proj_Reg!$B:$B,0),1))</f>
        <v>Visual Inspection</v>
      </c>
      <c r="I282" s="102" t="str">
        <f>IF(INDEX(Proj_Reg!D:D,MATCH($C282,Proj_Reg!$B:$B,0),1)=0,"",INDEX(Proj_Reg!D:D,MATCH($C282,Proj_Reg!$B:$B,0),1))</f>
        <v>XCI</v>
      </c>
      <c r="J282" s="102" t="str">
        <f>INDEX(Proj_Reg!E:E,MATCH($C282,Proj_Reg!$B:$B,0),1)</f>
        <v>Auto Visual Adjustment</v>
      </c>
      <c r="K282" s="21"/>
      <c r="L282" s="21"/>
      <c r="M282" s="21"/>
      <c r="N282" s="21"/>
      <c r="O282" s="103">
        <f>SUM(Table1[[#This Row],[Labor
Saving]:[OH
Saving]])</f>
        <v>0</v>
      </c>
      <c r="P282" s="88"/>
      <c r="Q282" s="40">
        <f t="shared" si="256"/>
        <v>0</v>
      </c>
      <c r="R282" s="40">
        <f t="shared" si="257"/>
        <v>0</v>
      </c>
      <c r="S282" s="40">
        <f t="shared" si="258"/>
        <v>0</v>
      </c>
      <c r="T282" s="40">
        <f t="shared" si="259"/>
        <v>0</v>
      </c>
      <c r="U282" s="40">
        <f t="shared" si="260"/>
        <v>0</v>
      </c>
      <c r="V282" s="40">
        <f t="shared" si="261"/>
        <v>0</v>
      </c>
      <c r="W282" s="40">
        <f t="shared" si="262"/>
        <v>0</v>
      </c>
      <c r="X282" s="40">
        <f t="shared" si="263"/>
        <v>0</v>
      </c>
      <c r="Y282" s="40">
        <f t="shared" si="210"/>
        <v>0</v>
      </c>
      <c r="Z282" s="40">
        <f t="shared" si="264"/>
        <v>103883.09999999999</v>
      </c>
      <c r="AA282" s="40">
        <f t="shared" si="265"/>
        <v>299057</v>
      </c>
      <c r="AB282" s="40">
        <f t="shared" si="266"/>
        <v>264608</v>
      </c>
      <c r="AC282" s="104">
        <f>SUM(Table1[[#This Row],[Jan]:[Dec]])</f>
        <v>667548.1</v>
      </c>
      <c r="AD282" s="105">
        <f t="shared" si="267"/>
        <v>0</v>
      </c>
      <c r="AE282" s="105">
        <f t="shared" si="268"/>
        <v>0</v>
      </c>
      <c r="AF282" s="105">
        <f t="shared" si="269"/>
        <v>0</v>
      </c>
      <c r="AG282" s="105">
        <f t="shared" si="270"/>
        <v>0</v>
      </c>
      <c r="AH282" s="105">
        <f t="shared" si="271"/>
        <v>0</v>
      </c>
      <c r="AI282" s="105">
        <f t="shared" si="272"/>
        <v>0</v>
      </c>
      <c r="AJ282" s="105">
        <f t="shared" si="273"/>
        <v>0</v>
      </c>
      <c r="AK282" s="105">
        <f t="shared" si="274"/>
        <v>0</v>
      </c>
      <c r="AL282" s="105">
        <f t="shared" si="275"/>
        <v>0</v>
      </c>
      <c r="AM282" s="105">
        <f t="shared" si="276"/>
        <v>0</v>
      </c>
      <c r="AN282" s="105">
        <f t="shared" si="277"/>
        <v>0</v>
      </c>
      <c r="AO282" s="105">
        <f t="shared" si="278"/>
        <v>0</v>
      </c>
      <c r="AP282" s="106">
        <f t="shared" si="279"/>
        <v>0</v>
      </c>
      <c r="AQ282" s="106">
        <f t="shared" si="280"/>
        <v>0</v>
      </c>
      <c r="AR282" s="106">
        <f t="shared" si="281"/>
        <v>0</v>
      </c>
      <c r="AS282" s="106">
        <f t="shared" si="282"/>
        <v>0</v>
      </c>
      <c r="AT282" s="106" t="b">
        <f t="shared" si="283"/>
        <v>1</v>
      </c>
      <c r="AU282" s="106">
        <f t="shared" si="284"/>
        <v>0</v>
      </c>
      <c r="AV282" s="106">
        <f t="shared" si="285"/>
        <v>0</v>
      </c>
      <c r="AW282" s="106">
        <f t="shared" si="286"/>
        <v>0</v>
      </c>
      <c r="AX282" s="106">
        <f t="shared" si="287"/>
        <v>0</v>
      </c>
      <c r="AY282" s="106">
        <f t="shared" si="288"/>
        <v>0</v>
      </c>
      <c r="AZ282" s="107">
        <f>IFERROR(IF($E282="REC",INDEX(A_Type_Volume!$B:$B,MATCH($D282,A_Type_Volume!$A:$A,0),1),IF($E282="VAM",INDEX(C_Type_Volume!$B:$B,MATCH($D282,C_Type_Volume!$A:$A,0),1),"X")),"")</f>
        <v>306959</v>
      </c>
      <c r="BA282" s="107">
        <f>IFERROR(IF($E282="REC",INDEX(A_Type_Volume!$C:$C,MATCH($D282,A_Type_Volume!$A:$A,0),1),IF($E282="VAM",INDEX(C_Type_Volume!$C:$C,MATCH($D282,C_Type_Volume!$A:$A,0),1),"X")),"")</f>
        <v>332127</v>
      </c>
      <c r="BB282" s="107">
        <f>IFERROR(IF($E282="REC",INDEX(A_Type_Volume!$D:$D,MATCH($D282,A_Type_Volume!$A:$A,0),1),IF($E282="VAM",INDEX(C_Type_Volume!$D:$D,MATCH($D282,C_Type_Volume!$A:$A,0),1),"X")),"")</f>
        <v>484943</v>
      </c>
      <c r="BC282" s="107">
        <f>IFERROR(IF($E282="REC",INDEX(A_Type_Volume!$E:$E,MATCH($D282,A_Type_Volume!$A:$A,0),1),IF($E282="VAM",INDEX(C_Type_Volume!$E:$E,MATCH($D282,C_Type_Volume!$A:$A,0),1),"X")),"")</f>
        <v>376646</v>
      </c>
      <c r="BD282" s="107">
        <f>IFERROR(IF($E282="REC",INDEX(A_Type_Volume!$F:$F,MATCH($D282,A_Type_Volume!$A:$A,0),1),IF($E282="VAM",INDEX(C_Type_Volume!$F:$F,MATCH($D282,C_Type_Volume!$A:$A,0),1),"X")),"")</f>
        <v>394596</v>
      </c>
      <c r="BE282" s="107">
        <f>IFERROR(IF($E282="REC",INDEX(A_Type_Volume!$G:$G,MATCH($D282,A_Type_Volume!$A:$A,0),1),IF($E282="VAM",INDEX(C_Type_Volume!$G:$G,MATCH($D282,C_Type_Volume!$A:$A,0),1),"X")),"")</f>
        <v>362701</v>
      </c>
      <c r="BF282" s="107">
        <f>IFERROR(IF($E282="REC",INDEX(A_Type_Volume!$H:$H,MATCH($D282,A_Type_Volume!$A:$A,0),1),IF($E282="VAM",INDEX(C_Type_Volume!$H:$H,MATCH($D282,C_Type_Volume!$A:$A,0),1),"X")),"")</f>
        <v>417106</v>
      </c>
      <c r="BG282" s="107">
        <f>IFERROR(IF($E282="REC",INDEX(A_Type_Volume!$I:$I,MATCH($D282,A_Type_Volume!$A:$A,0),1),IF($E282="VAM",INDEX(C_Type_Volume!$I:$I,MATCH($D282,C_Type_Volume!$A:$A,0),1),"X")),"")</f>
        <v>326431</v>
      </c>
      <c r="BH282" s="107">
        <f>IFERROR(IF($E282="REC",INDEX(A_Type_Volume!$J:$J,MATCH($D282,A_Type_Volume!$A:$A,0),1),IF($E282="VAM",INDEX(C_Type_Volume!$J:$J,MATCH($D282,C_Type_Volume!$A:$A,0),1),"X")),"")</f>
        <v>330537</v>
      </c>
      <c r="BI282" s="107">
        <f>IFERROR(IF($E282="REC",INDEX(A_Type_Volume!$K:$K,MATCH($D282,A_Type_Volume!$A:$A,0),1),IF($E282="VAM",INDEX(C_Type_Volume!$K:$K,MATCH($D282,C_Type_Volume!$A:$A,0),1),"X")),"")</f>
        <v>346277</v>
      </c>
      <c r="BJ282" s="107">
        <f>IFERROR(IF($E282="REC",INDEX(A_Type_Volume!$L:$L,MATCH($D282,A_Type_Volume!$A:$A,0),1),IF($E282="VAM",INDEX(C_Type_Volume!$L:$L,MATCH($D282,C_Type_Volume!$A:$A,0),1),"X")),"")</f>
        <v>299057</v>
      </c>
      <c r="BK282" s="107">
        <f>IFERROR(IF($E282="REC",INDEX(A_Type_Volume!M:M,MATCH($D282,A_Type_Volume!$A:$A,0),1),IF($E282="VAM",INDEX(C_Type_Volume!M:M,MATCH($D282,C_Type_Volume!$A:$A,0),1),"X")),"")</f>
        <v>264608</v>
      </c>
      <c r="BL282" s="100">
        <f>SUM(Table1[[#This Row],[Jan_AVF]:[Dec_AVF]])</f>
        <v>4241988</v>
      </c>
      <c r="BM282" s="108">
        <f t="shared" si="289"/>
        <v>0</v>
      </c>
      <c r="BN282" s="108">
        <f t="shared" si="290"/>
        <v>0</v>
      </c>
      <c r="BO282" s="108">
        <f t="shared" si="291"/>
        <v>0</v>
      </c>
      <c r="BP282" s="108">
        <f t="shared" si="292"/>
        <v>0</v>
      </c>
      <c r="BQ282" s="108">
        <f t="shared" si="293"/>
        <v>0</v>
      </c>
      <c r="BR282" s="108">
        <f t="shared" si="294"/>
        <v>0</v>
      </c>
      <c r="BS282" s="108">
        <f t="shared" si="295"/>
        <v>0</v>
      </c>
      <c r="BT282" s="108">
        <f t="shared" si="296"/>
        <v>0</v>
      </c>
      <c r="BU282" s="108">
        <f t="shared" si="297"/>
        <v>0</v>
      </c>
      <c r="BV282" s="108">
        <f t="shared" si="298"/>
        <v>0</v>
      </c>
      <c r="BW282" s="108">
        <f t="shared" si="299"/>
        <v>0</v>
      </c>
      <c r="BX282" s="108">
        <f t="shared" si="300"/>
        <v>0</v>
      </c>
      <c r="BY282" s="106">
        <f t="shared" si="301"/>
        <v>0</v>
      </c>
      <c r="BZ282" s="106">
        <f t="shared" si="302"/>
        <v>0</v>
      </c>
      <c r="CA282" s="106">
        <f t="shared" si="303"/>
        <v>0</v>
      </c>
      <c r="CB282" s="106">
        <f t="shared" si="304"/>
        <v>0</v>
      </c>
      <c r="CC282" s="106">
        <f>IFERROR(Table1[[#This Row],[Labor
Saving]]*Table1[[#This Row],[Annual Volume]],"")</f>
        <v>0</v>
      </c>
      <c r="CD282" s="106">
        <f>IFERROR(Table1[[#This Row],[Annual Volume]]*Table1[[#This Row],[Yield
Saving]],"")</f>
        <v>0</v>
      </c>
      <c r="CE282" s="106">
        <f>IFERROR(Table1[[#This Row],[Annual Volume]]*Table1[[#This Row],[Material
Saving]],"")</f>
        <v>0</v>
      </c>
      <c r="CF282" s="106">
        <f>IFERROR(Table1[[#This Row],[OH
Saving]]*Table1[[#This Row],[Annual Volume]],"")</f>
        <v>0</v>
      </c>
      <c r="CG282" s="106">
        <f>SUM(Table1[[#This Row],[Labor_ASV]:[OH_ASV]])</f>
        <v>0</v>
      </c>
    </row>
    <row r="283" spans="1:85" s="93" customFormat="1" x14ac:dyDescent="0.3">
      <c r="A283" s="93" t="str">
        <f>Table1[[#This Row],[Project Name]]&amp;Table1[[#This Row],[Part Number]]</f>
        <v>Auto Visual AdjustmentR29</v>
      </c>
      <c r="B283" s="93" t="str">
        <f>IFERROR(Table1[[#This Row],[Project Number]]&amp;Table1[[#This Row],[Part Number]],"")</f>
        <v>AME25-095R29</v>
      </c>
      <c r="C283" s="22" t="s">
        <v>205</v>
      </c>
      <c r="D283" s="24" t="s">
        <v>267</v>
      </c>
      <c r="E283" s="86" t="s">
        <v>58</v>
      </c>
      <c r="F283" s="102">
        <f>INDEX(Proj_Reg!G:G,MATCH($C283,Proj_Reg!$B:$B,0),1)</f>
        <v>46296</v>
      </c>
      <c r="G283" s="102">
        <f>INDEX(Proj_Reg!H:H,MATCH($C283,Proj_Reg!$B:$B,0),1)</f>
        <v>46631</v>
      </c>
      <c r="H283" s="102" t="str">
        <f>IF(INDEX(Proj_Reg!C:C,MATCH($C283,Proj_Reg!$B:$B,0),1)=0,"",INDEX(Proj_Reg!C:C,MATCH($C283,Proj_Reg!$B:$B,0),1))</f>
        <v>Visual Inspection</v>
      </c>
      <c r="I283" s="102" t="str">
        <f>IF(INDEX(Proj_Reg!D:D,MATCH($C283,Proj_Reg!$B:$B,0),1)=0,"",INDEX(Proj_Reg!D:D,MATCH($C283,Proj_Reg!$B:$B,0),1))</f>
        <v>XCI</v>
      </c>
      <c r="J283" s="102" t="str">
        <f>INDEX(Proj_Reg!E:E,MATCH($C283,Proj_Reg!$B:$B,0),1)</f>
        <v>Auto Visual Adjustment</v>
      </c>
      <c r="K283" s="21"/>
      <c r="L283" s="21"/>
      <c r="M283" s="21"/>
      <c r="N283" s="21"/>
      <c r="O283" s="103">
        <f>SUM(Table1[[#This Row],[Labor
Saving]:[OH
Saving]])</f>
        <v>0</v>
      </c>
      <c r="P283" s="88"/>
      <c r="Q283" s="40">
        <f t="shared" si="256"/>
        <v>0</v>
      </c>
      <c r="R283" s="40">
        <f t="shared" si="257"/>
        <v>0</v>
      </c>
      <c r="S283" s="40">
        <f t="shared" si="258"/>
        <v>0</v>
      </c>
      <c r="T283" s="40">
        <f t="shared" si="259"/>
        <v>0</v>
      </c>
      <c r="U283" s="40">
        <f t="shared" si="260"/>
        <v>0</v>
      </c>
      <c r="V283" s="40">
        <f t="shared" si="261"/>
        <v>0</v>
      </c>
      <c r="W283" s="40">
        <f t="shared" si="262"/>
        <v>0</v>
      </c>
      <c r="X283" s="40">
        <f t="shared" si="263"/>
        <v>0</v>
      </c>
      <c r="Y283" s="40">
        <f t="shared" si="210"/>
        <v>0</v>
      </c>
      <c r="Z283" s="40">
        <f t="shared" si="264"/>
        <v>105050.09999999999</v>
      </c>
      <c r="AA283" s="40">
        <f t="shared" si="265"/>
        <v>302417</v>
      </c>
      <c r="AB283" s="40">
        <f t="shared" si="266"/>
        <v>267581</v>
      </c>
      <c r="AC283" s="104">
        <f>SUM(Table1[[#This Row],[Jan]:[Dec]])</f>
        <v>675048.1</v>
      </c>
      <c r="AD283" s="105">
        <f t="shared" si="267"/>
        <v>0</v>
      </c>
      <c r="AE283" s="105">
        <f t="shared" si="268"/>
        <v>0</v>
      </c>
      <c r="AF283" s="105">
        <f t="shared" si="269"/>
        <v>0</v>
      </c>
      <c r="AG283" s="105">
        <f t="shared" si="270"/>
        <v>0</v>
      </c>
      <c r="AH283" s="105">
        <f t="shared" si="271"/>
        <v>0</v>
      </c>
      <c r="AI283" s="105">
        <f t="shared" si="272"/>
        <v>0</v>
      </c>
      <c r="AJ283" s="105">
        <f t="shared" si="273"/>
        <v>0</v>
      </c>
      <c r="AK283" s="105">
        <f t="shared" si="274"/>
        <v>0</v>
      </c>
      <c r="AL283" s="105">
        <f t="shared" si="275"/>
        <v>0</v>
      </c>
      <c r="AM283" s="105">
        <f t="shared" si="276"/>
        <v>0</v>
      </c>
      <c r="AN283" s="105">
        <f t="shared" si="277"/>
        <v>0</v>
      </c>
      <c r="AO283" s="105">
        <f t="shared" si="278"/>
        <v>0</v>
      </c>
      <c r="AP283" s="106">
        <f t="shared" si="279"/>
        <v>0</v>
      </c>
      <c r="AQ283" s="106">
        <f t="shared" si="280"/>
        <v>0</v>
      </c>
      <c r="AR283" s="106">
        <f t="shared" si="281"/>
        <v>0</v>
      </c>
      <c r="AS283" s="106">
        <f t="shared" si="282"/>
        <v>0</v>
      </c>
      <c r="AT283" s="106" t="b">
        <f t="shared" si="283"/>
        <v>1</v>
      </c>
      <c r="AU283" s="106">
        <f t="shared" si="284"/>
        <v>0</v>
      </c>
      <c r="AV283" s="106">
        <f t="shared" si="285"/>
        <v>0</v>
      </c>
      <c r="AW283" s="106">
        <f t="shared" si="286"/>
        <v>0</v>
      </c>
      <c r="AX283" s="106">
        <f t="shared" si="287"/>
        <v>0</v>
      </c>
      <c r="AY283" s="106">
        <f t="shared" si="288"/>
        <v>0</v>
      </c>
      <c r="AZ283" s="107">
        <f>IFERROR(IF($E283="REC",INDEX(A_Type_Volume!$B:$B,MATCH($D283,A_Type_Volume!$A:$A,0),1),IF($E283="VAM",INDEX(C_Type_Volume!$B:$B,MATCH($D283,C_Type_Volume!$A:$A,0),1),"X")),"")</f>
        <v>291978</v>
      </c>
      <c r="BA283" s="107">
        <f>IFERROR(IF($E283="REC",INDEX(A_Type_Volume!$C:$C,MATCH($D283,A_Type_Volume!$A:$A,0),1),IF($E283="VAM",INDEX(C_Type_Volume!$C:$C,MATCH($D283,C_Type_Volume!$A:$A,0),1),"X")),"")</f>
        <v>332413</v>
      </c>
      <c r="BB283" s="107">
        <f>IFERROR(IF($E283="REC",INDEX(A_Type_Volume!$D:$D,MATCH($D283,A_Type_Volume!$A:$A,0),1),IF($E283="VAM",INDEX(C_Type_Volume!$D:$D,MATCH($D283,C_Type_Volume!$A:$A,0),1),"X")),"")</f>
        <v>475398</v>
      </c>
      <c r="BC283" s="107">
        <f>IFERROR(IF($E283="REC",INDEX(A_Type_Volume!$E:$E,MATCH($D283,A_Type_Volume!$A:$A,0),1),IF($E283="VAM",INDEX(C_Type_Volume!$E:$E,MATCH($D283,C_Type_Volume!$A:$A,0),1),"X")),"")</f>
        <v>374653</v>
      </c>
      <c r="BD283" s="107">
        <f>IFERROR(IF($E283="REC",INDEX(A_Type_Volume!$F:$F,MATCH($D283,A_Type_Volume!$A:$A,0),1),IF($E283="VAM",INDEX(C_Type_Volume!$F:$F,MATCH($D283,C_Type_Volume!$A:$A,0),1),"X")),"")</f>
        <v>381298</v>
      </c>
      <c r="BE283" s="107">
        <f>IFERROR(IF($E283="REC",INDEX(A_Type_Volume!$G:$G,MATCH($D283,A_Type_Volume!$A:$A,0),1),IF($E283="VAM",INDEX(C_Type_Volume!$G:$G,MATCH($D283,C_Type_Volume!$A:$A,0),1),"X")),"")</f>
        <v>366776</v>
      </c>
      <c r="BF283" s="107">
        <f>IFERROR(IF($E283="REC",INDEX(A_Type_Volume!$H:$H,MATCH($D283,A_Type_Volume!$A:$A,0),1),IF($E283="VAM",INDEX(C_Type_Volume!$H:$H,MATCH($D283,C_Type_Volume!$A:$A,0),1),"X")),"")</f>
        <v>421793</v>
      </c>
      <c r="BG283" s="107">
        <f>IFERROR(IF($E283="REC",INDEX(A_Type_Volume!$I:$I,MATCH($D283,A_Type_Volume!$A:$A,0),1),IF($E283="VAM",INDEX(C_Type_Volume!$I:$I,MATCH($D283,C_Type_Volume!$A:$A,0),1),"X")),"")</f>
        <v>330099</v>
      </c>
      <c r="BH283" s="107">
        <f>IFERROR(IF($E283="REC",INDEX(A_Type_Volume!$J:$J,MATCH($D283,A_Type_Volume!$A:$A,0),1),IF($E283="VAM",INDEX(C_Type_Volume!$J:$J,MATCH($D283,C_Type_Volume!$A:$A,0),1),"X")),"")</f>
        <v>334251</v>
      </c>
      <c r="BI283" s="107">
        <f>IFERROR(IF($E283="REC",INDEX(A_Type_Volume!$K:$K,MATCH($D283,A_Type_Volume!$A:$A,0),1),IF($E283="VAM",INDEX(C_Type_Volume!$K:$K,MATCH($D283,C_Type_Volume!$A:$A,0),1),"X")),"")</f>
        <v>350167</v>
      </c>
      <c r="BJ283" s="107">
        <f>IFERROR(IF($E283="REC",INDEX(A_Type_Volume!$L:$L,MATCH($D283,A_Type_Volume!$A:$A,0),1),IF($E283="VAM",INDEX(C_Type_Volume!$L:$L,MATCH($D283,C_Type_Volume!$A:$A,0),1),"X")),"")</f>
        <v>302417</v>
      </c>
      <c r="BK283" s="107">
        <f>IFERROR(IF($E283="REC",INDEX(A_Type_Volume!M:M,MATCH($D283,A_Type_Volume!$A:$A,0),1),IF($E283="VAM",INDEX(C_Type_Volume!M:M,MATCH($D283,C_Type_Volume!$A:$A,0),1),"X")),"")</f>
        <v>267581</v>
      </c>
      <c r="BL283" s="100">
        <f>SUM(Table1[[#This Row],[Jan_AVF]:[Dec_AVF]])</f>
        <v>4228824</v>
      </c>
      <c r="BM283" s="108">
        <f t="shared" si="289"/>
        <v>0</v>
      </c>
      <c r="BN283" s="108">
        <f t="shared" si="290"/>
        <v>0</v>
      </c>
      <c r="BO283" s="108">
        <f t="shared" si="291"/>
        <v>0</v>
      </c>
      <c r="BP283" s="108">
        <f t="shared" si="292"/>
        <v>0</v>
      </c>
      <c r="BQ283" s="108">
        <f t="shared" si="293"/>
        <v>0</v>
      </c>
      <c r="BR283" s="108">
        <f t="shared" si="294"/>
        <v>0</v>
      </c>
      <c r="BS283" s="108">
        <f t="shared" si="295"/>
        <v>0</v>
      </c>
      <c r="BT283" s="108">
        <f t="shared" si="296"/>
        <v>0</v>
      </c>
      <c r="BU283" s="108">
        <f t="shared" si="297"/>
        <v>0</v>
      </c>
      <c r="BV283" s="108">
        <f t="shared" si="298"/>
        <v>0</v>
      </c>
      <c r="BW283" s="108">
        <f t="shared" si="299"/>
        <v>0</v>
      </c>
      <c r="BX283" s="108">
        <f t="shared" si="300"/>
        <v>0</v>
      </c>
      <c r="BY283" s="106">
        <f t="shared" si="301"/>
        <v>0</v>
      </c>
      <c r="BZ283" s="106">
        <f t="shared" si="302"/>
        <v>0</v>
      </c>
      <c r="CA283" s="106">
        <f t="shared" si="303"/>
        <v>0</v>
      </c>
      <c r="CB283" s="106">
        <f t="shared" si="304"/>
        <v>0</v>
      </c>
      <c r="CC283" s="106">
        <f>IFERROR(Table1[[#This Row],[Labor
Saving]]*Table1[[#This Row],[Annual Volume]],"")</f>
        <v>0</v>
      </c>
      <c r="CD283" s="106">
        <f>IFERROR(Table1[[#This Row],[Annual Volume]]*Table1[[#This Row],[Yield
Saving]],"")</f>
        <v>0</v>
      </c>
      <c r="CE283" s="106">
        <f>IFERROR(Table1[[#This Row],[Annual Volume]]*Table1[[#This Row],[Material
Saving]],"")</f>
        <v>0</v>
      </c>
      <c r="CF283" s="106">
        <f>IFERROR(Table1[[#This Row],[OH
Saving]]*Table1[[#This Row],[Annual Volume]],"")</f>
        <v>0</v>
      </c>
      <c r="CG283" s="106">
        <f>SUM(Table1[[#This Row],[Labor_ASV]:[OH_ASV]])</f>
        <v>0</v>
      </c>
    </row>
    <row r="284" spans="1:85" s="93" customFormat="1" x14ac:dyDescent="0.3">
      <c r="A284" s="93" t="str">
        <f>Table1[[#This Row],[Project Name]]&amp;Table1[[#This Row],[Part Number]]</f>
        <v>Auto Visual AdjustmentR30</v>
      </c>
      <c r="B284" s="93" t="str">
        <f>IFERROR(Table1[[#This Row],[Project Number]]&amp;Table1[[#This Row],[Part Number]],"")</f>
        <v>AME25-095R30</v>
      </c>
      <c r="C284" s="22" t="s">
        <v>205</v>
      </c>
      <c r="D284" s="24" t="s">
        <v>268</v>
      </c>
      <c r="E284" s="86" t="s">
        <v>58</v>
      </c>
      <c r="F284" s="102">
        <f>INDEX(Proj_Reg!G:G,MATCH($C284,Proj_Reg!$B:$B,0),1)</f>
        <v>46296</v>
      </c>
      <c r="G284" s="102">
        <f>INDEX(Proj_Reg!H:H,MATCH($C284,Proj_Reg!$B:$B,0),1)</f>
        <v>46631</v>
      </c>
      <c r="H284" s="102" t="str">
        <f>IF(INDEX(Proj_Reg!C:C,MATCH($C284,Proj_Reg!$B:$B,0),1)=0,"",INDEX(Proj_Reg!C:C,MATCH($C284,Proj_Reg!$B:$B,0),1))</f>
        <v>Visual Inspection</v>
      </c>
      <c r="I284" s="102" t="str">
        <f>IF(INDEX(Proj_Reg!D:D,MATCH($C284,Proj_Reg!$B:$B,0),1)=0,"",INDEX(Proj_Reg!D:D,MATCH($C284,Proj_Reg!$B:$B,0),1))</f>
        <v>XCI</v>
      </c>
      <c r="J284" s="102" t="str">
        <f>INDEX(Proj_Reg!E:E,MATCH($C284,Proj_Reg!$B:$B,0),1)</f>
        <v>Auto Visual Adjustment</v>
      </c>
      <c r="K284" s="21"/>
      <c r="L284" s="21"/>
      <c r="M284" s="21"/>
      <c r="N284" s="21"/>
      <c r="O284" s="103">
        <f>SUM(Table1[[#This Row],[Labor
Saving]:[OH
Saving]])</f>
        <v>0</v>
      </c>
      <c r="P284" s="88"/>
      <c r="Q284" s="40">
        <f t="shared" si="256"/>
        <v>0</v>
      </c>
      <c r="R284" s="40">
        <f t="shared" si="257"/>
        <v>0</v>
      </c>
      <c r="S284" s="40">
        <f t="shared" si="258"/>
        <v>0</v>
      </c>
      <c r="T284" s="40">
        <f t="shared" si="259"/>
        <v>0</v>
      </c>
      <c r="U284" s="40">
        <f t="shared" si="260"/>
        <v>0</v>
      </c>
      <c r="V284" s="40">
        <f t="shared" si="261"/>
        <v>0</v>
      </c>
      <c r="W284" s="40">
        <f t="shared" si="262"/>
        <v>0</v>
      </c>
      <c r="X284" s="40">
        <f t="shared" si="263"/>
        <v>0</v>
      </c>
      <c r="Y284" s="40">
        <f t="shared" si="210"/>
        <v>0</v>
      </c>
      <c r="Z284" s="40">
        <f t="shared" si="264"/>
        <v>43401.299999999996</v>
      </c>
      <c r="AA284" s="40">
        <f t="shared" si="265"/>
        <v>124943</v>
      </c>
      <c r="AB284" s="40">
        <f t="shared" si="266"/>
        <v>110551</v>
      </c>
      <c r="AC284" s="104">
        <f>SUM(Table1[[#This Row],[Jan]:[Dec]])</f>
        <v>278895.3</v>
      </c>
      <c r="AD284" s="105">
        <f t="shared" si="267"/>
        <v>0</v>
      </c>
      <c r="AE284" s="105">
        <f t="shared" si="268"/>
        <v>0</v>
      </c>
      <c r="AF284" s="105">
        <f t="shared" si="269"/>
        <v>0</v>
      </c>
      <c r="AG284" s="105">
        <f t="shared" si="270"/>
        <v>0</v>
      </c>
      <c r="AH284" s="105">
        <f t="shared" si="271"/>
        <v>0</v>
      </c>
      <c r="AI284" s="105">
        <f t="shared" si="272"/>
        <v>0</v>
      </c>
      <c r="AJ284" s="105">
        <f t="shared" si="273"/>
        <v>0</v>
      </c>
      <c r="AK284" s="105">
        <f t="shared" si="274"/>
        <v>0</v>
      </c>
      <c r="AL284" s="105">
        <f t="shared" si="275"/>
        <v>0</v>
      </c>
      <c r="AM284" s="105">
        <f t="shared" si="276"/>
        <v>0</v>
      </c>
      <c r="AN284" s="105">
        <f t="shared" si="277"/>
        <v>0</v>
      </c>
      <c r="AO284" s="105">
        <f t="shared" si="278"/>
        <v>0</v>
      </c>
      <c r="AP284" s="106">
        <f t="shared" si="279"/>
        <v>0</v>
      </c>
      <c r="AQ284" s="106">
        <f t="shared" si="280"/>
        <v>0</v>
      </c>
      <c r="AR284" s="106">
        <f t="shared" si="281"/>
        <v>0</v>
      </c>
      <c r="AS284" s="106">
        <f t="shared" si="282"/>
        <v>0</v>
      </c>
      <c r="AT284" s="106" t="b">
        <f t="shared" si="283"/>
        <v>1</v>
      </c>
      <c r="AU284" s="106">
        <f t="shared" si="284"/>
        <v>0</v>
      </c>
      <c r="AV284" s="106">
        <f t="shared" si="285"/>
        <v>0</v>
      </c>
      <c r="AW284" s="106">
        <f t="shared" si="286"/>
        <v>0</v>
      </c>
      <c r="AX284" s="106">
        <f t="shared" si="287"/>
        <v>0</v>
      </c>
      <c r="AY284" s="106">
        <f t="shared" si="288"/>
        <v>0</v>
      </c>
      <c r="AZ284" s="107">
        <f>IFERROR(IF($E284="REC",INDEX(A_Type_Volume!$B:$B,MATCH($D284,A_Type_Volume!$A:$A,0),1),IF($E284="VAM",INDEX(C_Type_Volume!$B:$B,MATCH($D284,C_Type_Volume!$A:$A,0),1),"X")),"")</f>
        <v>120781</v>
      </c>
      <c r="BA284" s="107">
        <f>IFERROR(IF($E284="REC",INDEX(A_Type_Volume!$C:$C,MATCH($D284,A_Type_Volume!$A:$A,0),1),IF($E284="VAM",INDEX(C_Type_Volume!$C:$C,MATCH($D284,C_Type_Volume!$A:$A,0),1),"X")),"")</f>
        <v>138916</v>
      </c>
      <c r="BB284" s="107">
        <f>IFERROR(IF($E284="REC",INDEX(A_Type_Volume!$D:$D,MATCH($D284,A_Type_Volume!$A:$A,0),1),IF($E284="VAM",INDEX(C_Type_Volume!$D:$D,MATCH($D284,C_Type_Volume!$A:$A,0),1),"X")),"")</f>
        <v>199406</v>
      </c>
      <c r="BC284" s="107">
        <f>IFERROR(IF($E284="REC",INDEX(A_Type_Volume!$E:$E,MATCH($D284,A_Type_Volume!$A:$A,0),1),IF($E284="VAM",INDEX(C_Type_Volume!$E:$E,MATCH($D284,C_Type_Volume!$A:$A,0),1),"X")),"")</f>
        <v>156971</v>
      </c>
      <c r="BD284" s="107">
        <f>IFERROR(IF($E284="REC",INDEX(A_Type_Volume!$F:$F,MATCH($D284,A_Type_Volume!$A:$A,0),1),IF($E284="VAM",INDEX(C_Type_Volume!$F:$F,MATCH($D284,C_Type_Volume!$A:$A,0),1),"X")),"")</f>
        <v>149545</v>
      </c>
      <c r="BE284" s="107">
        <f>IFERROR(IF($E284="REC",INDEX(A_Type_Volume!$G:$G,MATCH($D284,A_Type_Volume!$A:$A,0),1),IF($E284="VAM",INDEX(C_Type_Volume!$G:$G,MATCH($D284,C_Type_Volume!$A:$A,0),1),"X")),"")</f>
        <v>151533</v>
      </c>
      <c r="BF284" s="107">
        <f>IFERROR(IF($E284="REC",INDEX(A_Type_Volume!$H:$H,MATCH($D284,A_Type_Volume!$A:$A,0),1),IF($E284="VAM",INDEX(C_Type_Volume!$H:$H,MATCH($D284,C_Type_Volume!$A:$A,0),1),"X")),"")</f>
        <v>174263</v>
      </c>
      <c r="BG284" s="107">
        <f>IFERROR(IF($E284="REC",INDEX(A_Type_Volume!$I:$I,MATCH($D284,A_Type_Volume!$A:$A,0),1),IF($E284="VAM",INDEX(C_Type_Volume!$I:$I,MATCH($D284,C_Type_Volume!$A:$A,0),1),"X")),"")</f>
        <v>136380</v>
      </c>
      <c r="BH284" s="107">
        <f>IFERROR(IF($E284="REC",INDEX(A_Type_Volume!$J:$J,MATCH($D284,A_Type_Volume!$A:$A,0),1),IF($E284="VAM",INDEX(C_Type_Volume!$J:$J,MATCH($D284,C_Type_Volume!$A:$A,0),1),"X")),"")</f>
        <v>138095</v>
      </c>
      <c r="BI284" s="107">
        <f>IFERROR(IF($E284="REC",INDEX(A_Type_Volume!$K:$K,MATCH($D284,A_Type_Volume!$A:$A,0),1),IF($E284="VAM",INDEX(C_Type_Volume!$K:$K,MATCH($D284,C_Type_Volume!$A:$A,0),1),"X")),"")</f>
        <v>144671</v>
      </c>
      <c r="BJ284" s="107">
        <f>IFERROR(IF($E284="REC",INDEX(A_Type_Volume!$L:$L,MATCH($D284,A_Type_Volume!$A:$A,0),1),IF($E284="VAM",INDEX(C_Type_Volume!$L:$L,MATCH($D284,C_Type_Volume!$A:$A,0),1),"X")),"")</f>
        <v>124943</v>
      </c>
      <c r="BK284" s="107">
        <f>IFERROR(IF($E284="REC",INDEX(A_Type_Volume!M:M,MATCH($D284,A_Type_Volume!$A:$A,0),1),IF($E284="VAM",INDEX(C_Type_Volume!M:M,MATCH($D284,C_Type_Volume!$A:$A,0),1),"X")),"")</f>
        <v>110551</v>
      </c>
      <c r="BL284" s="100">
        <f>SUM(Table1[[#This Row],[Jan_AVF]:[Dec_AVF]])</f>
        <v>1746055</v>
      </c>
      <c r="BM284" s="108">
        <f t="shared" si="289"/>
        <v>0</v>
      </c>
      <c r="BN284" s="108">
        <f t="shared" si="290"/>
        <v>0</v>
      </c>
      <c r="BO284" s="108">
        <f t="shared" si="291"/>
        <v>0</v>
      </c>
      <c r="BP284" s="108">
        <f t="shared" si="292"/>
        <v>0</v>
      </c>
      <c r="BQ284" s="108">
        <f t="shared" si="293"/>
        <v>0</v>
      </c>
      <c r="BR284" s="108">
        <f t="shared" si="294"/>
        <v>0</v>
      </c>
      <c r="BS284" s="108">
        <f t="shared" si="295"/>
        <v>0</v>
      </c>
      <c r="BT284" s="108">
        <f t="shared" si="296"/>
        <v>0</v>
      </c>
      <c r="BU284" s="108">
        <f t="shared" si="297"/>
        <v>0</v>
      </c>
      <c r="BV284" s="108">
        <f t="shared" si="298"/>
        <v>0</v>
      </c>
      <c r="BW284" s="108">
        <f t="shared" si="299"/>
        <v>0</v>
      </c>
      <c r="BX284" s="108">
        <f t="shared" si="300"/>
        <v>0</v>
      </c>
      <c r="BY284" s="106">
        <f t="shared" si="301"/>
        <v>0</v>
      </c>
      <c r="BZ284" s="106">
        <f t="shared" si="302"/>
        <v>0</v>
      </c>
      <c r="CA284" s="106">
        <f t="shared" si="303"/>
        <v>0</v>
      </c>
      <c r="CB284" s="106">
        <f t="shared" si="304"/>
        <v>0</v>
      </c>
      <c r="CC284" s="106">
        <f>IFERROR(Table1[[#This Row],[Labor
Saving]]*Table1[[#This Row],[Annual Volume]],"")</f>
        <v>0</v>
      </c>
      <c r="CD284" s="106">
        <f>IFERROR(Table1[[#This Row],[Annual Volume]]*Table1[[#This Row],[Yield
Saving]],"")</f>
        <v>0</v>
      </c>
      <c r="CE284" s="106">
        <f>IFERROR(Table1[[#This Row],[Annual Volume]]*Table1[[#This Row],[Material
Saving]],"")</f>
        <v>0</v>
      </c>
      <c r="CF284" s="106">
        <f>IFERROR(Table1[[#This Row],[OH
Saving]]*Table1[[#This Row],[Annual Volume]],"")</f>
        <v>0</v>
      </c>
      <c r="CG284" s="106">
        <f>SUM(Table1[[#This Row],[Labor_ASV]:[OH_ASV]])</f>
        <v>0</v>
      </c>
    </row>
    <row r="285" spans="1:85" s="93" customFormat="1" x14ac:dyDescent="0.3">
      <c r="A285" s="93" t="str">
        <f>Table1[[#This Row],[Project Name]]&amp;Table1[[#This Row],[Part Number]]</f>
        <v>Auto Visual AdjustmentR31</v>
      </c>
      <c r="B285" s="93" t="str">
        <f>IFERROR(Table1[[#This Row],[Project Number]]&amp;Table1[[#This Row],[Part Number]],"")</f>
        <v>AME25-095R31</v>
      </c>
      <c r="C285" s="22" t="s">
        <v>205</v>
      </c>
      <c r="D285" s="24" t="s">
        <v>269</v>
      </c>
      <c r="E285" s="86" t="s">
        <v>58</v>
      </c>
      <c r="F285" s="102">
        <f>INDEX(Proj_Reg!G:G,MATCH($C285,Proj_Reg!$B:$B,0),1)</f>
        <v>46296</v>
      </c>
      <c r="G285" s="102">
        <f>INDEX(Proj_Reg!H:H,MATCH($C285,Proj_Reg!$B:$B,0),1)</f>
        <v>46631</v>
      </c>
      <c r="H285" s="102" t="str">
        <f>IF(INDEX(Proj_Reg!C:C,MATCH($C285,Proj_Reg!$B:$B,0),1)=0,"",INDEX(Proj_Reg!C:C,MATCH($C285,Proj_Reg!$B:$B,0),1))</f>
        <v>Visual Inspection</v>
      </c>
      <c r="I285" s="102" t="str">
        <f>IF(INDEX(Proj_Reg!D:D,MATCH($C285,Proj_Reg!$B:$B,0),1)=0,"",INDEX(Proj_Reg!D:D,MATCH($C285,Proj_Reg!$B:$B,0),1))</f>
        <v>XCI</v>
      </c>
      <c r="J285" s="102" t="str">
        <f>INDEX(Proj_Reg!E:E,MATCH($C285,Proj_Reg!$B:$B,0),1)</f>
        <v>Auto Visual Adjustment</v>
      </c>
      <c r="K285" s="21"/>
      <c r="L285" s="21"/>
      <c r="M285" s="21"/>
      <c r="N285" s="21"/>
      <c r="O285" s="103">
        <f>SUM(Table1[[#This Row],[Labor
Saving]:[OH
Saving]])</f>
        <v>0</v>
      </c>
      <c r="P285" s="88"/>
      <c r="Q285" s="40">
        <f t="shared" si="256"/>
        <v>0</v>
      </c>
      <c r="R285" s="40">
        <f t="shared" si="257"/>
        <v>0</v>
      </c>
      <c r="S285" s="40">
        <f t="shared" si="258"/>
        <v>0</v>
      </c>
      <c r="T285" s="40">
        <f t="shared" si="259"/>
        <v>0</v>
      </c>
      <c r="U285" s="40">
        <f t="shared" si="260"/>
        <v>0</v>
      </c>
      <c r="V285" s="40">
        <f t="shared" si="261"/>
        <v>0</v>
      </c>
      <c r="W285" s="40">
        <f t="shared" si="262"/>
        <v>0</v>
      </c>
      <c r="X285" s="40">
        <f t="shared" si="263"/>
        <v>0</v>
      </c>
      <c r="Y285" s="40">
        <f t="shared" si="210"/>
        <v>0</v>
      </c>
      <c r="Z285" s="40">
        <f t="shared" si="264"/>
        <v>42197.4</v>
      </c>
      <c r="AA285" s="40">
        <f t="shared" si="265"/>
        <v>121478</v>
      </c>
      <c r="AB285" s="40">
        <f t="shared" si="266"/>
        <v>107484</v>
      </c>
      <c r="AC285" s="104">
        <f>SUM(Table1[[#This Row],[Jan]:[Dec]])</f>
        <v>271159.40000000002</v>
      </c>
      <c r="AD285" s="105">
        <f t="shared" si="267"/>
        <v>0</v>
      </c>
      <c r="AE285" s="105">
        <f t="shared" si="268"/>
        <v>0</v>
      </c>
      <c r="AF285" s="105">
        <f t="shared" si="269"/>
        <v>0</v>
      </c>
      <c r="AG285" s="105">
        <f t="shared" si="270"/>
        <v>0</v>
      </c>
      <c r="AH285" s="105">
        <f t="shared" si="271"/>
        <v>0</v>
      </c>
      <c r="AI285" s="105">
        <f t="shared" si="272"/>
        <v>0</v>
      </c>
      <c r="AJ285" s="105">
        <f t="shared" si="273"/>
        <v>0</v>
      </c>
      <c r="AK285" s="105">
        <f t="shared" si="274"/>
        <v>0</v>
      </c>
      <c r="AL285" s="105">
        <f t="shared" si="275"/>
        <v>0</v>
      </c>
      <c r="AM285" s="105">
        <f t="shared" si="276"/>
        <v>0</v>
      </c>
      <c r="AN285" s="105">
        <f t="shared" si="277"/>
        <v>0</v>
      </c>
      <c r="AO285" s="105">
        <f t="shared" si="278"/>
        <v>0</v>
      </c>
      <c r="AP285" s="106">
        <f t="shared" si="279"/>
        <v>0</v>
      </c>
      <c r="AQ285" s="106">
        <f t="shared" si="280"/>
        <v>0</v>
      </c>
      <c r="AR285" s="106">
        <f t="shared" si="281"/>
        <v>0</v>
      </c>
      <c r="AS285" s="106">
        <f t="shared" si="282"/>
        <v>0</v>
      </c>
      <c r="AT285" s="106" t="b">
        <f t="shared" si="283"/>
        <v>1</v>
      </c>
      <c r="AU285" s="106">
        <f t="shared" si="284"/>
        <v>0</v>
      </c>
      <c r="AV285" s="106">
        <f t="shared" si="285"/>
        <v>0</v>
      </c>
      <c r="AW285" s="106">
        <f t="shared" si="286"/>
        <v>0</v>
      </c>
      <c r="AX285" s="106">
        <f t="shared" si="287"/>
        <v>0</v>
      </c>
      <c r="AY285" s="106">
        <f t="shared" si="288"/>
        <v>0</v>
      </c>
      <c r="AZ285" s="107">
        <f>IFERROR(IF($E285="REC",INDEX(A_Type_Volume!$B:$B,MATCH($D285,A_Type_Volume!$A:$A,0),1),IF($E285="VAM",INDEX(C_Type_Volume!$B:$B,MATCH($D285,C_Type_Volume!$A:$A,0),1),"X")),"")</f>
        <v>124961</v>
      </c>
      <c r="BA285" s="107">
        <f>IFERROR(IF($E285="REC",INDEX(A_Type_Volume!$C:$C,MATCH($D285,A_Type_Volume!$A:$A,0),1),IF($E285="VAM",INDEX(C_Type_Volume!$C:$C,MATCH($D285,C_Type_Volume!$A:$A,0),1),"X")),"")</f>
        <v>132227</v>
      </c>
      <c r="BB285" s="107">
        <f>IFERROR(IF($E285="REC",INDEX(A_Type_Volume!$D:$D,MATCH($D285,A_Type_Volume!$A:$A,0),1),IF($E285="VAM",INDEX(C_Type_Volume!$D:$D,MATCH($D285,C_Type_Volume!$A:$A,0),1),"X")),"")</f>
        <v>197167</v>
      </c>
      <c r="BC285" s="107">
        <f>IFERROR(IF($E285="REC",INDEX(A_Type_Volume!$E:$E,MATCH($D285,A_Type_Volume!$A:$A,0),1),IF($E285="VAM",INDEX(C_Type_Volume!$E:$E,MATCH($D285,C_Type_Volume!$A:$A,0),1),"X")),"")</f>
        <v>153223</v>
      </c>
      <c r="BD285" s="107">
        <f>IFERROR(IF($E285="REC",INDEX(A_Type_Volume!$F:$F,MATCH($D285,A_Type_Volume!$A:$A,0),1),IF($E285="VAM",INDEX(C_Type_Volume!$F:$F,MATCH($D285,C_Type_Volume!$A:$A,0),1),"X")),"")</f>
        <v>149099</v>
      </c>
      <c r="BE285" s="107">
        <f>IFERROR(IF($E285="REC",INDEX(A_Type_Volume!$G:$G,MATCH($D285,A_Type_Volume!$A:$A,0),1),IF($E285="VAM",INDEX(C_Type_Volume!$G:$G,MATCH($D285,C_Type_Volume!$A:$A,0),1),"X")),"")</f>
        <v>147330</v>
      </c>
      <c r="BF285" s="107">
        <f>IFERROR(IF($E285="REC",INDEX(A_Type_Volume!$H:$H,MATCH($D285,A_Type_Volume!$A:$A,0),1),IF($E285="VAM",INDEX(C_Type_Volume!$H:$H,MATCH($D285,C_Type_Volume!$A:$A,0),1),"X")),"")</f>
        <v>169429</v>
      </c>
      <c r="BG285" s="107">
        <f>IFERROR(IF($E285="REC",INDEX(A_Type_Volume!$I:$I,MATCH($D285,A_Type_Volume!$A:$A,0),1),IF($E285="VAM",INDEX(C_Type_Volume!$I:$I,MATCH($D285,C_Type_Volume!$A:$A,0),1),"X")),"")</f>
        <v>132597</v>
      </c>
      <c r="BH285" s="107">
        <f>IFERROR(IF($E285="REC",INDEX(A_Type_Volume!$J:$J,MATCH($D285,A_Type_Volume!$A:$A,0),1),IF($E285="VAM",INDEX(C_Type_Volume!$J:$J,MATCH($D285,C_Type_Volume!$A:$A,0),1),"X")),"")</f>
        <v>134265</v>
      </c>
      <c r="BI285" s="107">
        <f>IFERROR(IF($E285="REC",INDEX(A_Type_Volume!$K:$K,MATCH($D285,A_Type_Volume!$A:$A,0),1),IF($E285="VAM",INDEX(C_Type_Volume!$K:$K,MATCH($D285,C_Type_Volume!$A:$A,0),1),"X")),"")</f>
        <v>140658</v>
      </c>
      <c r="BJ285" s="107">
        <f>IFERROR(IF($E285="REC",INDEX(A_Type_Volume!$L:$L,MATCH($D285,A_Type_Volume!$A:$A,0),1),IF($E285="VAM",INDEX(C_Type_Volume!$L:$L,MATCH($D285,C_Type_Volume!$A:$A,0),1),"X")),"")</f>
        <v>121478</v>
      </c>
      <c r="BK285" s="107">
        <f>IFERROR(IF($E285="REC",INDEX(A_Type_Volume!M:M,MATCH($D285,A_Type_Volume!$A:$A,0),1),IF($E285="VAM",INDEX(C_Type_Volume!M:M,MATCH($D285,C_Type_Volume!$A:$A,0),1),"X")),"")</f>
        <v>107484</v>
      </c>
      <c r="BL285" s="100">
        <f>SUM(Table1[[#This Row],[Jan_AVF]:[Dec_AVF]])</f>
        <v>1709918</v>
      </c>
      <c r="BM285" s="108">
        <f t="shared" si="289"/>
        <v>0</v>
      </c>
      <c r="BN285" s="108">
        <f t="shared" si="290"/>
        <v>0</v>
      </c>
      <c r="BO285" s="108">
        <f t="shared" si="291"/>
        <v>0</v>
      </c>
      <c r="BP285" s="108">
        <f t="shared" si="292"/>
        <v>0</v>
      </c>
      <c r="BQ285" s="108">
        <f t="shared" si="293"/>
        <v>0</v>
      </c>
      <c r="BR285" s="108">
        <f t="shared" si="294"/>
        <v>0</v>
      </c>
      <c r="BS285" s="108">
        <f t="shared" si="295"/>
        <v>0</v>
      </c>
      <c r="BT285" s="108">
        <f t="shared" si="296"/>
        <v>0</v>
      </c>
      <c r="BU285" s="108">
        <f t="shared" si="297"/>
        <v>0</v>
      </c>
      <c r="BV285" s="108">
        <f t="shared" si="298"/>
        <v>0</v>
      </c>
      <c r="BW285" s="108">
        <f t="shared" si="299"/>
        <v>0</v>
      </c>
      <c r="BX285" s="108">
        <f t="shared" si="300"/>
        <v>0</v>
      </c>
      <c r="BY285" s="106">
        <f t="shared" si="301"/>
        <v>0</v>
      </c>
      <c r="BZ285" s="106">
        <f t="shared" si="302"/>
        <v>0</v>
      </c>
      <c r="CA285" s="106">
        <f t="shared" si="303"/>
        <v>0</v>
      </c>
      <c r="CB285" s="106">
        <f t="shared" si="304"/>
        <v>0</v>
      </c>
      <c r="CC285" s="106">
        <f>IFERROR(Table1[[#This Row],[Labor
Saving]]*Table1[[#This Row],[Annual Volume]],"")</f>
        <v>0</v>
      </c>
      <c r="CD285" s="106">
        <f>IFERROR(Table1[[#This Row],[Annual Volume]]*Table1[[#This Row],[Yield
Saving]],"")</f>
        <v>0</v>
      </c>
      <c r="CE285" s="106">
        <f>IFERROR(Table1[[#This Row],[Annual Volume]]*Table1[[#This Row],[Material
Saving]],"")</f>
        <v>0</v>
      </c>
      <c r="CF285" s="106">
        <f>IFERROR(Table1[[#This Row],[OH
Saving]]*Table1[[#This Row],[Annual Volume]],"")</f>
        <v>0</v>
      </c>
      <c r="CG285" s="106">
        <f>SUM(Table1[[#This Row],[Labor_ASV]:[OH_ASV]])</f>
        <v>0</v>
      </c>
    </row>
    <row r="286" spans="1:85" s="93" customFormat="1" x14ac:dyDescent="0.3">
      <c r="A286" s="93" t="str">
        <f>Table1[[#This Row],[Project Name]]&amp;Table1[[#This Row],[Part Number]]</f>
        <v>Auto Visual AdjustmentR32</v>
      </c>
      <c r="B286" s="93" t="str">
        <f>IFERROR(Table1[[#This Row],[Project Number]]&amp;Table1[[#This Row],[Part Number]],"")</f>
        <v>AME25-095R32</v>
      </c>
      <c r="C286" s="22" t="s">
        <v>205</v>
      </c>
      <c r="D286" s="24" t="s">
        <v>270</v>
      </c>
      <c r="E286" s="86" t="s">
        <v>58</v>
      </c>
      <c r="F286" s="102">
        <f>INDEX(Proj_Reg!G:G,MATCH($C286,Proj_Reg!$B:$B,0),1)</f>
        <v>46296</v>
      </c>
      <c r="G286" s="102">
        <f>INDEX(Proj_Reg!H:H,MATCH($C286,Proj_Reg!$B:$B,0),1)</f>
        <v>46631</v>
      </c>
      <c r="H286" s="102" t="str">
        <f>IF(INDEX(Proj_Reg!C:C,MATCH($C286,Proj_Reg!$B:$B,0),1)=0,"",INDEX(Proj_Reg!C:C,MATCH($C286,Proj_Reg!$B:$B,0),1))</f>
        <v>Visual Inspection</v>
      </c>
      <c r="I286" s="102" t="str">
        <f>IF(INDEX(Proj_Reg!D:D,MATCH($C286,Proj_Reg!$B:$B,0),1)=0,"",INDEX(Proj_Reg!D:D,MATCH($C286,Proj_Reg!$B:$B,0),1))</f>
        <v>XCI</v>
      </c>
      <c r="J286" s="102" t="str">
        <f>INDEX(Proj_Reg!E:E,MATCH($C286,Proj_Reg!$B:$B,0),1)</f>
        <v>Auto Visual Adjustment</v>
      </c>
      <c r="K286" s="21"/>
      <c r="L286" s="21"/>
      <c r="M286" s="21"/>
      <c r="N286" s="21"/>
      <c r="O286" s="103">
        <f>SUM(Table1[[#This Row],[Labor
Saving]:[OH
Saving]])</f>
        <v>0</v>
      </c>
      <c r="P286" s="88"/>
      <c r="Q286" s="40">
        <f t="shared" si="256"/>
        <v>0</v>
      </c>
      <c r="R286" s="40">
        <f t="shared" si="257"/>
        <v>0</v>
      </c>
      <c r="S286" s="40">
        <f t="shared" si="258"/>
        <v>0</v>
      </c>
      <c r="T286" s="40">
        <f t="shared" si="259"/>
        <v>0</v>
      </c>
      <c r="U286" s="40">
        <f t="shared" si="260"/>
        <v>0</v>
      </c>
      <c r="V286" s="40">
        <f t="shared" si="261"/>
        <v>0</v>
      </c>
      <c r="W286" s="40">
        <f t="shared" si="262"/>
        <v>0</v>
      </c>
      <c r="X286" s="40">
        <f t="shared" si="263"/>
        <v>0</v>
      </c>
      <c r="Y286" s="40">
        <f t="shared" si="210"/>
        <v>0</v>
      </c>
      <c r="Z286" s="40">
        <f t="shared" si="264"/>
        <v>6970.8</v>
      </c>
      <c r="AA286" s="40">
        <f t="shared" si="265"/>
        <v>20068</v>
      </c>
      <c r="AB286" s="40">
        <f t="shared" si="266"/>
        <v>17756</v>
      </c>
      <c r="AC286" s="104">
        <f>SUM(Table1[[#This Row],[Jan]:[Dec]])</f>
        <v>44794.8</v>
      </c>
      <c r="AD286" s="105">
        <f t="shared" si="267"/>
        <v>0</v>
      </c>
      <c r="AE286" s="105">
        <f t="shared" si="268"/>
        <v>0</v>
      </c>
      <c r="AF286" s="105">
        <f t="shared" si="269"/>
        <v>0</v>
      </c>
      <c r="AG286" s="105">
        <f t="shared" si="270"/>
        <v>0</v>
      </c>
      <c r="AH286" s="105">
        <f t="shared" si="271"/>
        <v>0</v>
      </c>
      <c r="AI286" s="105">
        <f t="shared" si="272"/>
        <v>0</v>
      </c>
      <c r="AJ286" s="105">
        <f t="shared" si="273"/>
        <v>0</v>
      </c>
      <c r="AK286" s="105">
        <f t="shared" si="274"/>
        <v>0</v>
      </c>
      <c r="AL286" s="105">
        <f t="shared" si="275"/>
        <v>0</v>
      </c>
      <c r="AM286" s="105">
        <f t="shared" si="276"/>
        <v>0</v>
      </c>
      <c r="AN286" s="105">
        <f t="shared" si="277"/>
        <v>0</v>
      </c>
      <c r="AO286" s="105">
        <f t="shared" si="278"/>
        <v>0</v>
      </c>
      <c r="AP286" s="106">
        <f t="shared" si="279"/>
        <v>0</v>
      </c>
      <c r="AQ286" s="106">
        <f t="shared" si="280"/>
        <v>0</v>
      </c>
      <c r="AR286" s="106">
        <f t="shared" si="281"/>
        <v>0</v>
      </c>
      <c r="AS286" s="106">
        <f t="shared" si="282"/>
        <v>0</v>
      </c>
      <c r="AT286" s="106" t="b">
        <f t="shared" si="283"/>
        <v>1</v>
      </c>
      <c r="AU286" s="106">
        <f t="shared" si="284"/>
        <v>0</v>
      </c>
      <c r="AV286" s="106">
        <f t="shared" si="285"/>
        <v>0</v>
      </c>
      <c r="AW286" s="106">
        <f t="shared" si="286"/>
        <v>0</v>
      </c>
      <c r="AX286" s="106">
        <f t="shared" si="287"/>
        <v>0</v>
      </c>
      <c r="AY286" s="106">
        <f t="shared" si="288"/>
        <v>0</v>
      </c>
      <c r="AZ286" s="107">
        <f>IFERROR(IF($E286="REC",INDEX(A_Type_Volume!$B:$B,MATCH($D286,A_Type_Volume!$A:$A,0),1),IF($E286="VAM",INDEX(C_Type_Volume!$B:$B,MATCH($D286,C_Type_Volume!$A:$A,0),1),"X")),"")</f>
        <v>21588</v>
      </c>
      <c r="BA286" s="107">
        <f>IFERROR(IF($E286="REC",INDEX(A_Type_Volume!$C:$C,MATCH($D286,A_Type_Volume!$A:$A,0),1),IF($E286="VAM",INDEX(C_Type_Volume!$C:$C,MATCH($D286,C_Type_Volume!$A:$A,0),1),"X")),"")</f>
        <v>25233</v>
      </c>
      <c r="BB286" s="107">
        <f>IFERROR(IF($E286="REC",INDEX(A_Type_Volume!$D:$D,MATCH($D286,A_Type_Volume!$A:$A,0),1),IF($E286="VAM",INDEX(C_Type_Volume!$D:$D,MATCH($D286,C_Type_Volume!$A:$A,0),1),"X")),"")</f>
        <v>41903</v>
      </c>
      <c r="BC286" s="107">
        <f>IFERROR(IF($E286="REC",INDEX(A_Type_Volume!$E:$E,MATCH($D286,A_Type_Volume!$A:$A,0),1),IF($E286="VAM",INDEX(C_Type_Volume!$E:$E,MATCH($D286,C_Type_Volume!$A:$A,0),1),"X")),"")</f>
        <v>27200</v>
      </c>
      <c r="BD286" s="107">
        <f>IFERROR(IF($E286="REC",INDEX(A_Type_Volume!$F:$F,MATCH($D286,A_Type_Volume!$A:$A,0),1),IF($E286="VAM",INDEX(C_Type_Volume!$F:$F,MATCH($D286,C_Type_Volume!$A:$A,0),1),"X")),"")</f>
        <v>27089</v>
      </c>
      <c r="BE286" s="107">
        <f>IFERROR(IF($E286="REC",INDEX(A_Type_Volume!$G:$G,MATCH($D286,A_Type_Volume!$A:$A,0),1),IF($E286="VAM",INDEX(C_Type_Volume!$G:$G,MATCH($D286,C_Type_Volume!$A:$A,0),1),"X")),"")</f>
        <v>24338</v>
      </c>
      <c r="BF286" s="107">
        <f>IFERROR(IF($E286="REC",INDEX(A_Type_Volume!$H:$H,MATCH($D286,A_Type_Volume!$A:$A,0),1),IF($E286="VAM",INDEX(C_Type_Volume!$H:$H,MATCH($D286,C_Type_Volume!$A:$A,0),1),"X")),"")</f>
        <v>27989</v>
      </c>
      <c r="BG286" s="107">
        <f>IFERROR(IF($E286="REC",INDEX(A_Type_Volume!$I:$I,MATCH($D286,A_Type_Volume!$A:$A,0),1),IF($E286="VAM",INDEX(C_Type_Volume!$I:$I,MATCH($D286,C_Type_Volume!$A:$A,0),1),"X")),"")</f>
        <v>21905</v>
      </c>
      <c r="BH286" s="107">
        <f>IFERROR(IF($E286="REC",INDEX(A_Type_Volume!$J:$J,MATCH($D286,A_Type_Volume!$A:$A,0),1),IF($E286="VAM",INDEX(C_Type_Volume!$J:$J,MATCH($D286,C_Type_Volume!$A:$A,0),1),"X")),"")</f>
        <v>22180</v>
      </c>
      <c r="BI286" s="107">
        <f>IFERROR(IF($E286="REC",INDEX(A_Type_Volume!$K:$K,MATCH($D286,A_Type_Volume!$A:$A,0),1),IF($E286="VAM",INDEX(C_Type_Volume!$K:$K,MATCH($D286,C_Type_Volume!$A:$A,0),1),"X")),"")</f>
        <v>23236</v>
      </c>
      <c r="BJ286" s="107">
        <f>IFERROR(IF($E286="REC",INDEX(A_Type_Volume!$L:$L,MATCH($D286,A_Type_Volume!$A:$A,0),1),IF($E286="VAM",INDEX(C_Type_Volume!$L:$L,MATCH($D286,C_Type_Volume!$A:$A,0),1),"X")),"")</f>
        <v>20068</v>
      </c>
      <c r="BK286" s="107">
        <f>IFERROR(IF($E286="REC",INDEX(A_Type_Volume!M:M,MATCH($D286,A_Type_Volume!$A:$A,0),1),IF($E286="VAM",INDEX(C_Type_Volume!M:M,MATCH($D286,C_Type_Volume!$A:$A,0),1),"X")),"")</f>
        <v>17756</v>
      </c>
      <c r="BL286" s="100">
        <f>SUM(Table1[[#This Row],[Jan_AVF]:[Dec_AVF]])</f>
        <v>300485</v>
      </c>
      <c r="BM286" s="108">
        <f t="shared" si="289"/>
        <v>0</v>
      </c>
      <c r="BN286" s="108">
        <f t="shared" si="290"/>
        <v>0</v>
      </c>
      <c r="BO286" s="108">
        <f t="shared" si="291"/>
        <v>0</v>
      </c>
      <c r="BP286" s="108">
        <f t="shared" si="292"/>
        <v>0</v>
      </c>
      <c r="BQ286" s="108">
        <f t="shared" si="293"/>
        <v>0</v>
      </c>
      <c r="BR286" s="108">
        <f t="shared" si="294"/>
        <v>0</v>
      </c>
      <c r="BS286" s="108">
        <f t="shared" si="295"/>
        <v>0</v>
      </c>
      <c r="BT286" s="108">
        <f t="shared" si="296"/>
        <v>0</v>
      </c>
      <c r="BU286" s="108">
        <f t="shared" si="297"/>
        <v>0</v>
      </c>
      <c r="BV286" s="108">
        <f t="shared" si="298"/>
        <v>0</v>
      </c>
      <c r="BW286" s="108">
        <f t="shared" si="299"/>
        <v>0</v>
      </c>
      <c r="BX286" s="108">
        <f t="shared" si="300"/>
        <v>0</v>
      </c>
      <c r="BY286" s="106">
        <f t="shared" si="301"/>
        <v>0</v>
      </c>
      <c r="BZ286" s="106">
        <f t="shared" si="302"/>
        <v>0</v>
      </c>
      <c r="CA286" s="106">
        <f t="shared" si="303"/>
        <v>0</v>
      </c>
      <c r="CB286" s="106">
        <f t="shared" si="304"/>
        <v>0</v>
      </c>
      <c r="CC286" s="106">
        <f>IFERROR(Table1[[#This Row],[Labor
Saving]]*Table1[[#This Row],[Annual Volume]],"")</f>
        <v>0</v>
      </c>
      <c r="CD286" s="106">
        <f>IFERROR(Table1[[#This Row],[Annual Volume]]*Table1[[#This Row],[Yield
Saving]],"")</f>
        <v>0</v>
      </c>
      <c r="CE286" s="106">
        <f>IFERROR(Table1[[#This Row],[Annual Volume]]*Table1[[#This Row],[Material
Saving]],"")</f>
        <v>0</v>
      </c>
      <c r="CF286" s="106">
        <f>IFERROR(Table1[[#This Row],[OH
Saving]]*Table1[[#This Row],[Annual Volume]],"")</f>
        <v>0</v>
      </c>
      <c r="CG286" s="106">
        <f>SUM(Table1[[#This Row],[Labor_ASV]:[OH_ASV]])</f>
        <v>0</v>
      </c>
    </row>
    <row r="287" spans="1:85" s="93" customFormat="1" x14ac:dyDescent="0.3">
      <c r="A287" s="93" t="str">
        <f>Table1[[#This Row],[Project Name]]&amp;Table1[[#This Row],[Part Number]]</f>
        <v>Auto Visual AdjustmentR33</v>
      </c>
      <c r="B287" s="93" t="str">
        <f>IFERROR(Table1[[#This Row],[Project Number]]&amp;Table1[[#This Row],[Part Number]],"")</f>
        <v>AME25-095R33</v>
      </c>
      <c r="C287" s="22" t="s">
        <v>205</v>
      </c>
      <c r="D287" s="24" t="s">
        <v>271</v>
      </c>
      <c r="E287" s="86" t="s">
        <v>58</v>
      </c>
      <c r="F287" s="102">
        <f>INDEX(Proj_Reg!G:G,MATCH($C287,Proj_Reg!$B:$B,0),1)</f>
        <v>46296</v>
      </c>
      <c r="G287" s="102">
        <f>INDEX(Proj_Reg!H:H,MATCH($C287,Proj_Reg!$B:$B,0),1)</f>
        <v>46631</v>
      </c>
      <c r="H287" s="102" t="str">
        <f>IF(INDEX(Proj_Reg!C:C,MATCH($C287,Proj_Reg!$B:$B,0),1)=0,"",INDEX(Proj_Reg!C:C,MATCH($C287,Proj_Reg!$B:$B,0),1))</f>
        <v>Visual Inspection</v>
      </c>
      <c r="I287" s="102" t="str">
        <f>IF(INDEX(Proj_Reg!D:D,MATCH($C287,Proj_Reg!$B:$B,0),1)=0,"",INDEX(Proj_Reg!D:D,MATCH($C287,Proj_Reg!$B:$B,0),1))</f>
        <v>XCI</v>
      </c>
      <c r="J287" s="102" t="str">
        <f>INDEX(Proj_Reg!E:E,MATCH($C287,Proj_Reg!$B:$B,0),1)</f>
        <v>Auto Visual Adjustment</v>
      </c>
      <c r="K287" s="21"/>
      <c r="L287" s="21"/>
      <c r="M287" s="21"/>
      <c r="N287" s="21"/>
      <c r="O287" s="103">
        <f>SUM(Table1[[#This Row],[Labor
Saving]:[OH
Saving]])</f>
        <v>0</v>
      </c>
      <c r="P287" s="88"/>
      <c r="Q287" s="40">
        <f t="shared" si="256"/>
        <v>0</v>
      </c>
      <c r="R287" s="40">
        <f t="shared" si="257"/>
        <v>0</v>
      </c>
      <c r="S287" s="40">
        <f t="shared" si="258"/>
        <v>0</v>
      </c>
      <c r="T287" s="40">
        <f t="shared" si="259"/>
        <v>0</v>
      </c>
      <c r="U287" s="40">
        <f t="shared" si="260"/>
        <v>0</v>
      </c>
      <c r="V287" s="40">
        <f t="shared" si="261"/>
        <v>0</v>
      </c>
      <c r="W287" s="40">
        <f t="shared" si="262"/>
        <v>0</v>
      </c>
      <c r="X287" s="40">
        <f t="shared" si="263"/>
        <v>0</v>
      </c>
      <c r="Y287" s="40">
        <f t="shared" si="210"/>
        <v>0</v>
      </c>
      <c r="Z287" s="40">
        <f t="shared" si="264"/>
        <v>7113.3</v>
      </c>
      <c r="AA287" s="40">
        <f t="shared" si="265"/>
        <v>20478</v>
      </c>
      <c r="AB287" s="40">
        <f t="shared" si="266"/>
        <v>18119</v>
      </c>
      <c r="AC287" s="104">
        <f>SUM(Table1[[#This Row],[Jan]:[Dec]])</f>
        <v>45710.3</v>
      </c>
      <c r="AD287" s="105">
        <f t="shared" si="267"/>
        <v>0</v>
      </c>
      <c r="AE287" s="105">
        <f t="shared" si="268"/>
        <v>0</v>
      </c>
      <c r="AF287" s="105">
        <f t="shared" si="269"/>
        <v>0</v>
      </c>
      <c r="AG287" s="105">
        <f t="shared" si="270"/>
        <v>0</v>
      </c>
      <c r="AH287" s="105">
        <f t="shared" si="271"/>
        <v>0</v>
      </c>
      <c r="AI287" s="105">
        <f t="shared" si="272"/>
        <v>0</v>
      </c>
      <c r="AJ287" s="105">
        <f t="shared" si="273"/>
        <v>0</v>
      </c>
      <c r="AK287" s="105">
        <f t="shared" si="274"/>
        <v>0</v>
      </c>
      <c r="AL287" s="105">
        <f t="shared" si="275"/>
        <v>0</v>
      </c>
      <c r="AM287" s="105">
        <f t="shared" si="276"/>
        <v>0</v>
      </c>
      <c r="AN287" s="105">
        <f t="shared" si="277"/>
        <v>0</v>
      </c>
      <c r="AO287" s="105">
        <f t="shared" si="278"/>
        <v>0</v>
      </c>
      <c r="AP287" s="106">
        <f t="shared" si="279"/>
        <v>0</v>
      </c>
      <c r="AQ287" s="106">
        <f t="shared" si="280"/>
        <v>0</v>
      </c>
      <c r="AR287" s="106">
        <f t="shared" si="281"/>
        <v>0</v>
      </c>
      <c r="AS287" s="106">
        <f t="shared" si="282"/>
        <v>0</v>
      </c>
      <c r="AT287" s="106" t="b">
        <f t="shared" si="283"/>
        <v>1</v>
      </c>
      <c r="AU287" s="106">
        <f t="shared" si="284"/>
        <v>0</v>
      </c>
      <c r="AV287" s="106">
        <f t="shared" si="285"/>
        <v>0</v>
      </c>
      <c r="AW287" s="106">
        <f t="shared" si="286"/>
        <v>0</v>
      </c>
      <c r="AX287" s="106">
        <f t="shared" si="287"/>
        <v>0</v>
      </c>
      <c r="AY287" s="106">
        <f t="shared" si="288"/>
        <v>0</v>
      </c>
      <c r="AZ287" s="107">
        <f>IFERROR(IF($E287="REC",INDEX(A_Type_Volume!$B:$B,MATCH($D287,A_Type_Volume!$A:$A,0),1),IF($E287="VAM",INDEX(C_Type_Volume!$B:$B,MATCH($D287,C_Type_Volume!$A:$A,0),1),"X")),"")</f>
        <v>22493</v>
      </c>
      <c r="BA287" s="107">
        <f>IFERROR(IF($E287="REC",INDEX(A_Type_Volume!$C:$C,MATCH($D287,A_Type_Volume!$A:$A,0),1),IF($E287="VAM",INDEX(C_Type_Volume!$C:$C,MATCH($D287,C_Type_Volume!$A:$A,0),1),"X")),"")</f>
        <v>24865</v>
      </c>
      <c r="BB287" s="107">
        <f>IFERROR(IF($E287="REC",INDEX(A_Type_Volume!$D:$D,MATCH($D287,A_Type_Volume!$A:$A,0),1),IF($E287="VAM",INDEX(C_Type_Volume!$D:$D,MATCH($D287,C_Type_Volume!$A:$A,0),1),"X")),"")</f>
        <v>38554</v>
      </c>
      <c r="BC287" s="107">
        <f>IFERROR(IF($E287="REC",INDEX(A_Type_Volume!$E:$E,MATCH($D287,A_Type_Volume!$A:$A,0),1),IF($E287="VAM",INDEX(C_Type_Volume!$E:$E,MATCH($D287,C_Type_Volume!$A:$A,0),1),"X")),"")</f>
        <v>27627</v>
      </c>
      <c r="BD287" s="107">
        <f>IFERROR(IF($E287="REC",INDEX(A_Type_Volume!$F:$F,MATCH($D287,A_Type_Volume!$A:$A,0),1),IF($E287="VAM",INDEX(C_Type_Volume!$F:$F,MATCH($D287,C_Type_Volume!$A:$A,0),1),"X")),"")</f>
        <v>25533</v>
      </c>
      <c r="BE287" s="107">
        <f>IFERROR(IF($E287="REC",INDEX(A_Type_Volume!$G:$G,MATCH($D287,A_Type_Volume!$A:$A,0),1),IF($E287="VAM",INDEX(C_Type_Volume!$G:$G,MATCH($D287,C_Type_Volume!$A:$A,0),1),"X")),"")</f>
        <v>24836</v>
      </c>
      <c r="BF287" s="107">
        <f>IFERROR(IF($E287="REC",INDEX(A_Type_Volume!$H:$H,MATCH($D287,A_Type_Volume!$A:$A,0),1),IF($E287="VAM",INDEX(C_Type_Volume!$H:$H,MATCH($D287,C_Type_Volume!$A:$A,0),1),"X")),"")</f>
        <v>28561</v>
      </c>
      <c r="BG287" s="107">
        <f>IFERROR(IF($E287="REC",INDEX(A_Type_Volume!$I:$I,MATCH($D287,A_Type_Volume!$A:$A,0),1),IF($E287="VAM",INDEX(C_Type_Volume!$I:$I,MATCH($D287,C_Type_Volume!$A:$A,0),1),"X")),"")</f>
        <v>22352</v>
      </c>
      <c r="BH287" s="107">
        <f>IFERROR(IF($E287="REC",INDEX(A_Type_Volume!$J:$J,MATCH($D287,A_Type_Volume!$A:$A,0),1),IF($E287="VAM",INDEX(C_Type_Volume!$J:$J,MATCH($D287,C_Type_Volume!$A:$A,0),1),"X")),"")</f>
        <v>22633</v>
      </c>
      <c r="BI287" s="107">
        <f>IFERROR(IF($E287="REC",INDEX(A_Type_Volume!$K:$K,MATCH($D287,A_Type_Volume!$A:$A,0),1),IF($E287="VAM",INDEX(C_Type_Volume!$K:$K,MATCH($D287,C_Type_Volume!$A:$A,0),1),"X")),"")</f>
        <v>23711</v>
      </c>
      <c r="BJ287" s="107">
        <f>IFERROR(IF($E287="REC",INDEX(A_Type_Volume!$L:$L,MATCH($D287,A_Type_Volume!$A:$A,0),1),IF($E287="VAM",INDEX(C_Type_Volume!$L:$L,MATCH($D287,C_Type_Volume!$A:$A,0),1),"X")),"")</f>
        <v>20478</v>
      </c>
      <c r="BK287" s="107">
        <f>IFERROR(IF($E287="REC",INDEX(A_Type_Volume!M:M,MATCH($D287,A_Type_Volume!$A:$A,0),1),IF($E287="VAM",INDEX(C_Type_Volume!M:M,MATCH($D287,C_Type_Volume!$A:$A,0),1),"X")),"")</f>
        <v>18119</v>
      </c>
      <c r="BL287" s="100">
        <f>SUM(Table1[[#This Row],[Jan_AVF]:[Dec_AVF]])</f>
        <v>299762</v>
      </c>
      <c r="BM287" s="108">
        <f t="shared" si="289"/>
        <v>0</v>
      </c>
      <c r="BN287" s="108">
        <f t="shared" si="290"/>
        <v>0</v>
      </c>
      <c r="BO287" s="108">
        <f t="shared" si="291"/>
        <v>0</v>
      </c>
      <c r="BP287" s="108">
        <f t="shared" si="292"/>
        <v>0</v>
      </c>
      <c r="BQ287" s="108">
        <f t="shared" si="293"/>
        <v>0</v>
      </c>
      <c r="BR287" s="108">
        <f t="shared" si="294"/>
        <v>0</v>
      </c>
      <c r="BS287" s="108">
        <f t="shared" si="295"/>
        <v>0</v>
      </c>
      <c r="BT287" s="108">
        <f t="shared" si="296"/>
        <v>0</v>
      </c>
      <c r="BU287" s="108">
        <f t="shared" si="297"/>
        <v>0</v>
      </c>
      <c r="BV287" s="108">
        <f t="shared" si="298"/>
        <v>0</v>
      </c>
      <c r="BW287" s="108">
        <f t="shared" si="299"/>
        <v>0</v>
      </c>
      <c r="BX287" s="108">
        <f t="shared" si="300"/>
        <v>0</v>
      </c>
      <c r="BY287" s="106">
        <f t="shared" si="301"/>
        <v>0</v>
      </c>
      <c r="BZ287" s="106">
        <f t="shared" si="302"/>
        <v>0</v>
      </c>
      <c r="CA287" s="106">
        <f t="shared" si="303"/>
        <v>0</v>
      </c>
      <c r="CB287" s="106">
        <f t="shared" si="304"/>
        <v>0</v>
      </c>
      <c r="CC287" s="106">
        <f>IFERROR(Table1[[#This Row],[Labor
Saving]]*Table1[[#This Row],[Annual Volume]],"")</f>
        <v>0</v>
      </c>
      <c r="CD287" s="106">
        <f>IFERROR(Table1[[#This Row],[Annual Volume]]*Table1[[#This Row],[Yield
Saving]],"")</f>
        <v>0</v>
      </c>
      <c r="CE287" s="106">
        <f>IFERROR(Table1[[#This Row],[Annual Volume]]*Table1[[#This Row],[Material
Saving]],"")</f>
        <v>0</v>
      </c>
      <c r="CF287" s="106">
        <f>IFERROR(Table1[[#This Row],[OH
Saving]]*Table1[[#This Row],[Annual Volume]],"")</f>
        <v>0</v>
      </c>
      <c r="CG287" s="106">
        <f>SUM(Table1[[#This Row],[Labor_ASV]:[OH_ASV]])</f>
        <v>0</v>
      </c>
    </row>
    <row r="288" spans="1:85" s="93" customFormat="1" x14ac:dyDescent="0.3">
      <c r="A288" s="93" t="str">
        <f>Table1[[#This Row],[Project Name]]&amp;Table1[[#This Row],[Part Number]]</f>
        <v>Auto Visual AdjustmentR34</v>
      </c>
      <c r="B288" s="93" t="str">
        <f>IFERROR(Table1[[#This Row],[Project Number]]&amp;Table1[[#This Row],[Part Number]],"")</f>
        <v>AME25-095R34</v>
      </c>
      <c r="C288" s="22" t="s">
        <v>205</v>
      </c>
      <c r="D288" s="24" t="s">
        <v>272</v>
      </c>
      <c r="E288" s="86" t="s">
        <v>58</v>
      </c>
      <c r="F288" s="102">
        <f>INDEX(Proj_Reg!G:G,MATCH($C288,Proj_Reg!$B:$B,0),1)</f>
        <v>46296</v>
      </c>
      <c r="G288" s="102">
        <f>INDEX(Proj_Reg!H:H,MATCH($C288,Proj_Reg!$B:$B,0),1)</f>
        <v>46631</v>
      </c>
      <c r="H288" s="102" t="str">
        <f>IF(INDEX(Proj_Reg!C:C,MATCH($C288,Proj_Reg!$B:$B,0),1)=0,"",INDEX(Proj_Reg!C:C,MATCH($C288,Proj_Reg!$B:$B,0),1))</f>
        <v>Visual Inspection</v>
      </c>
      <c r="I288" s="102" t="str">
        <f>IF(INDEX(Proj_Reg!D:D,MATCH($C288,Proj_Reg!$B:$B,0),1)=0,"",INDEX(Proj_Reg!D:D,MATCH($C288,Proj_Reg!$B:$B,0),1))</f>
        <v>XCI</v>
      </c>
      <c r="J288" s="102" t="str">
        <f>INDEX(Proj_Reg!E:E,MATCH($C288,Proj_Reg!$B:$B,0),1)</f>
        <v>Auto Visual Adjustment</v>
      </c>
      <c r="K288" s="21"/>
      <c r="L288" s="21"/>
      <c r="M288" s="21"/>
      <c r="N288" s="21"/>
      <c r="O288" s="103">
        <f>SUM(Table1[[#This Row],[Labor
Saving]:[OH
Saving]])</f>
        <v>0</v>
      </c>
      <c r="P288" s="88"/>
      <c r="Q288" s="40">
        <f t="shared" si="256"/>
        <v>0</v>
      </c>
      <c r="R288" s="40">
        <f t="shared" si="257"/>
        <v>0</v>
      </c>
      <c r="S288" s="40">
        <f t="shared" si="258"/>
        <v>0</v>
      </c>
      <c r="T288" s="40">
        <f t="shared" si="259"/>
        <v>0</v>
      </c>
      <c r="U288" s="40">
        <f t="shared" si="260"/>
        <v>0</v>
      </c>
      <c r="V288" s="40">
        <f t="shared" si="261"/>
        <v>0</v>
      </c>
      <c r="W288" s="40">
        <f t="shared" si="262"/>
        <v>0</v>
      </c>
      <c r="X288" s="40">
        <f t="shared" si="263"/>
        <v>0</v>
      </c>
      <c r="Y288" s="40">
        <f t="shared" si="210"/>
        <v>0</v>
      </c>
      <c r="Z288" s="40">
        <f t="shared" si="264"/>
        <v>1406.1</v>
      </c>
      <c r="AA288" s="40">
        <f t="shared" si="265"/>
        <v>4048</v>
      </c>
      <c r="AB288" s="40">
        <f t="shared" si="266"/>
        <v>3582</v>
      </c>
      <c r="AC288" s="104">
        <f>SUM(Table1[[#This Row],[Jan]:[Dec]])</f>
        <v>9036.1</v>
      </c>
      <c r="AD288" s="105">
        <f t="shared" si="267"/>
        <v>0</v>
      </c>
      <c r="AE288" s="105">
        <f t="shared" si="268"/>
        <v>0</v>
      </c>
      <c r="AF288" s="105">
        <f t="shared" si="269"/>
        <v>0</v>
      </c>
      <c r="AG288" s="105">
        <f t="shared" si="270"/>
        <v>0</v>
      </c>
      <c r="AH288" s="105">
        <f t="shared" si="271"/>
        <v>0</v>
      </c>
      <c r="AI288" s="105">
        <f t="shared" si="272"/>
        <v>0</v>
      </c>
      <c r="AJ288" s="105">
        <f t="shared" si="273"/>
        <v>0</v>
      </c>
      <c r="AK288" s="105">
        <f t="shared" si="274"/>
        <v>0</v>
      </c>
      <c r="AL288" s="105">
        <f t="shared" si="275"/>
        <v>0</v>
      </c>
      <c r="AM288" s="105">
        <f t="shared" si="276"/>
        <v>0</v>
      </c>
      <c r="AN288" s="105">
        <f t="shared" si="277"/>
        <v>0</v>
      </c>
      <c r="AO288" s="105">
        <f t="shared" si="278"/>
        <v>0</v>
      </c>
      <c r="AP288" s="106">
        <f t="shared" si="279"/>
        <v>0</v>
      </c>
      <c r="AQ288" s="106">
        <f t="shared" si="280"/>
        <v>0</v>
      </c>
      <c r="AR288" s="106">
        <f t="shared" si="281"/>
        <v>0</v>
      </c>
      <c r="AS288" s="106">
        <f t="shared" si="282"/>
        <v>0</v>
      </c>
      <c r="AT288" s="106" t="b">
        <f t="shared" si="283"/>
        <v>1</v>
      </c>
      <c r="AU288" s="106">
        <f t="shared" si="284"/>
        <v>0</v>
      </c>
      <c r="AV288" s="106">
        <f t="shared" si="285"/>
        <v>0</v>
      </c>
      <c r="AW288" s="106">
        <f t="shared" si="286"/>
        <v>0</v>
      </c>
      <c r="AX288" s="106">
        <f t="shared" si="287"/>
        <v>0</v>
      </c>
      <c r="AY288" s="106">
        <f t="shared" si="288"/>
        <v>0</v>
      </c>
      <c r="AZ288" s="107">
        <f>IFERROR(IF($E288="REC",INDEX(A_Type_Volume!$B:$B,MATCH($D288,A_Type_Volume!$A:$A,0),1),IF($E288="VAM",INDEX(C_Type_Volume!$B:$B,MATCH($D288,C_Type_Volume!$A:$A,0),1),"X")),"")</f>
        <v>5587</v>
      </c>
      <c r="BA288" s="107">
        <f>IFERROR(IF($E288="REC",INDEX(A_Type_Volume!$C:$C,MATCH($D288,A_Type_Volume!$A:$A,0),1),IF($E288="VAM",INDEX(C_Type_Volume!$C:$C,MATCH($D288,C_Type_Volume!$A:$A,0),1),"X")),"")</f>
        <v>6267</v>
      </c>
      <c r="BB288" s="107">
        <f>IFERROR(IF($E288="REC",INDEX(A_Type_Volume!$D:$D,MATCH($D288,A_Type_Volume!$A:$A,0),1),IF($E288="VAM",INDEX(C_Type_Volume!$D:$D,MATCH($D288,C_Type_Volume!$A:$A,0),1),"X")),"")</f>
        <v>9670</v>
      </c>
      <c r="BC288" s="107">
        <f>IFERROR(IF($E288="REC",INDEX(A_Type_Volume!$E:$E,MATCH($D288,A_Type_Volume!$A:$A,0),1),IF($E288="VAM",INDEX(C_Type_Volume!$E:$E,MATCH($D288,C_Type_Volume!$A:$A,0),1),"X")),"")</f>
        <v>7765</v>
      </c>
      <c r="BD288" s="107">
        <f>IFERROR(IF($E288="REC",INDEX(A_Type_Volume!$F:$F,MATCH($D288,A_Type_Volume!$A:$A,0),1),IF($E288="VAM",INDEX(C_Type_Volume!$F:$F,MATCH($D288,C_Type_Volume!$A:$A,0),1),"X")),"")</f>
        <v>4130</v>
      </c>
      <c r="BE288" s="107">
        <f>IFERROR(IF($E288="REC",INDEX(A_Type_Volume!$G:$G,MATCH($D288,A_Type_Volume!$A:$A,0),1),IF($E288="VAM",INDEX(C_Type_Volume!$G:$G,MATCH($D288,C_Type_Volume!$A:$A,0),1),"X")),"")</f>
        <v>4909</v>
      </c>
      <c r="BF288" s="107">
        <f>IFERROR(IF($E288="REC",INDEX(A_Type_Volume!$H:$H,MATCH($D288,A_Type_Volume!$A:$A,0),1),IF($E288="VAM",INDEX(C_Type_Volume!$H:$H,MATCH($D288,C_Type_Volume!$A:$A,0),1),"X")),"")</f>
        <v>5646</v>
      </c>
      <c r="BG288" s="107">
        <f>IFERROR(IF($E288="REC",INDEX(A_Type_Volume!$I:$I,MATCH($D288,A_Type_Volume!$A:$A,0),1),IF($E288="VAM",INDEX(C_Type_Volume!$I:$I,MATCH($D288,C_Type_Volume!$A:$A,0),1),"X")),"")</f>
        <v>4418</v>
      </c>
      <c r="BH288" s="107">
        <f>IFERROR(IF($E288="REC",INDEX(A_Type_Volume!$J:$J,MATCH($D288,A_Type_Volume!$A:$A,0),1),IF($E288="VAM",INDEX(C_Type_Volume!$J:$J,MATCH($D288,C_Type_Volume!$A:$A,0),1),"X")),"")</f>
        <v>4474</v>
      </c>
      <c r="BI288" s="107">
        <f>IFERROR(IF($E288="REC",INDEX(A_Type_Volume!$K:$K,MATCH($D288,A_Type_Volume!$A:$A,0),1),IF($E288="VAM",INDEX(C_Type_Volume!$K:$K,MATCH($D288,C_Type_Volume!$A:$A,0),1),"X")),"")</f>
        <v>4687</v>
      </c>
      <c r="BJ288" s="107">
        <f>IFERROR(IF($E288="REC",INDEX(A_Type_Volume!$L:$L,MATCH($D288,A_Type_Volume!$A:$A,0),1),IF($E288="VAM",INDEX(C_Type_Volume!$L:$L,MATCH($D288,C_Type_Volume!$A:$A,0),1),"X")),"")</f>
        <v>4048</v>
      </c>
      <c r="BK288" s="107">
        <f>IFERROR(IF($E288="REC",INDEX(A_Type_Volume!M:M,MATCH($D288,A_Type_Volume!$A:$A,0),1),IF($E288="VAM",INDEX(C_Type_Volume!M:M,MATCH($D288,C_Type_Volume!$A:$A,0),1),"X")),"")</f>
        <v>3582</v>
      </c>
      <c r="BL288" s="100">
        <f>SUM(Table1[[#This Row],[Jan_AVF]:[Dec_AVF]])</f>
        <v>65183</v>
      </c>
      <c r="BM288" s="108">
        <f t="shared" si="289"/>
        <v>0</v>
      </c>
      <c r="BN288" s="108">
        <f t="shared" si="290"/>
        <v>0</v>
      </c>
      <c r="BO288" s="108">
        <f t="shared" si="291"/>
        <v>0</v>
      </c>
      <c r="BP288" s="108">
        <f t="shared" si="292"/>
        <v>0</v>
      </c>
      <c r="BQ288" s="108">
        <f t="shared" si="293"/>
        <v>0</v>
      </c>
      <c r="BR288" s="108">
        <f t="shared" si="294"/>
        <v>0</v>
      </c>
      <c r="BS288" s="108">
        <f t="shared" si="295"/>
        <v>0</v>
      </c>
      <c r="BT288" s="108">
        <f t="shared" si="296"/>
        <v>0</v>
      </c>
      <c r="BU288" s="108">
        <f t="shared" si="297"/>
        <v>0</v>
      </c>
      <c r="BV288" s="108">
        <f t="shared" si="298"/>
        <v>0</v>
      </c>
      <c r="BW288" s="108">
        <f t="shared" si="299"/>
        <v>0</v>
      </c>
      <c r="BX288" s="108">
        <f t="shared" si="300"/>
        <v>0</v>
      </c>
      <c r="BY288" s="106">
        <f t="shared" si="301"/>
        <v>0</v>
      </c>
      <c r="BZ288" s="106">
        <f t="shared" si="302"/>
        <v>0</v>
      </c>
      <c r="CA288" s="106">
        <f t="shared" si="303"/>
        <v>0</v>
      </c>
      <c r="CB288" s="106">
        <f t="shared" si="304"/>
        <v>0</v>
      </c>
      <c r="CC288" s="106">
        <f>IFERROR(Table1[[#This Row],[Labor
Saving]]*Table1[[#This Row],[Annual Volume]],"")</f>
        <v>0</v>
      </c>
      <c r="CD288" s="106">
        <f>IFERROR(Table1[[#This Row],[Annual Volume]]*Table1[[#This Row],[Yield
Saving]],"")</f>
        <v>0</v>
      </c>
      <c r="CE288" s="106">
        <f>IFERROR(Table1[[#This Row],[Annual Volume]]*Table1[[#This Row],[Material
Saving]],"")</f>
        <v>0</v>
      </c>
      <c r="CF288" s="106">
        <f>IFERROR(Table1[[#This Row],[OH
Saving]]*Table1[[#This Row],[Annual Volume]],"")</f>
        <v>0</v>
      </c>
      <c r="CG288" s="106">
        <f>SUM(Table1[[#This Row],[Labor_ASV]:[OH_ASV]])</f>
        <v>0</v>
      </c>
    </row>
    <row r="289" spans="1:85" s="93" customFormat="1" x14ac:dyDescent="0.3">
      <c r="A289" s="93" t="str">
        <f>Table1[[#This Row],[Project Name]]&amp;Table1[[#This Row],[Part Number]]</f>
        <v>Auto Visual AdjustmentR35</v>
      </c>
      <c r="B289" s="93" t="str">
        <f>IFERROR(Table1[[#This Row],[Project Number]]&amp;Table1[[#This Row],[Part Number]],"")</f>
        <v>AME25-095R35</v>
      </c>
      <c r="C289" s="22" t="s">
        <v>205</v>
      </c>
      <c r="D289" s="24" t="s">
        <v>273</v>
      </c>
      <c r="E289" s="86" t="s">
        <v>58</v>
      </c>
      <c r="F289" s="102">
        <f>INDEX(Proj_Reg!G:G,MATCH($C289,Proj_Reg!$B:$B,0),1)</f>
        <v>46296</v>
      </c>
      <c r="G289" s="102">
        <f>INDEX(Proj_Reg!H:H,MATCH($C289,Proj_Reg!$B:$B,0),1)</f>
        <v>46631</v>
      </c>
      <c r="H289" s="102" t="str">
        <f>IF(INDEX(Proj_Reg!C:C,MATCH($C289,Proj_Reg!$B:$B,0),1)=0,"",INDEX(Proj_Reg!C:C,MATCH($C289,Proj_Reg!$B:$B,0),1))</f>
        <v>Visual Inspection</v>
      </c>
      <c r="I289" s="102" t="str">
        <f>IF(INDEX(Proj_Reg!D:D,MATCH($C289,Proj_Reg!$B:$B,0),1)=0,"",INDEX(Proj_Reg!D:D,MATCH($C289,Proj_Reg!$B:$B,0),1))</f>
        <v>XCI</v>
      </c>
      <c r="J289" s="102" t="str">
        <f>INDEX(Proj_Reg!E:E,MATCH($C289,Proj_Reg!$B:$B,0),1)</f>
        <v>Auto Visual Adjustment</v>
      </c>
      <c r="K289" s="21"/>
      <c r="L289" s="21"/>
      <c r="M289" s="21"/>
      <c r="N289" s="21"/>
      <c r="O289" s="103">
        <f>SUM(Table1[[#This Row],[Labor
Saving]:[OH
Saving]])</f>
        <v>0</v>
      </c>
      <c r="P289" s="88"/>
      <c r="Q289" s="40">
        <f t="shared" si="256"/>
        <v>0</v>
      </c>
      <c r="R289" s="40">
        <f t="shared" si="257"/>
        <v>0</v>
      </c>
      <c r="S289" s="40">
        <f t="shared" si="258"/>
        <v>0</v>
      </c>
      <c r="T289" s="40">
        <f t="shared" si="259"/>
        <v>0</v>
      </c>
      <c r="U289" s="40">
        <f t="shared" si="260"/>
        <v>0</v>
      </c>
      <c r="V289" s="40">
        <f t="shared" si="261"/>
        <v>0</v>
      </c>
      <c r="W289" s="40">
        <f t="shared" si="262"/>
        <v>0</v>
      </c>
      <c r="X289" s="40">
        <f t="shared" si="263"/>
        <v>0</v>
      </c>
      <c r="Y289" s="40">
        <f t="shared" si="210"/>
        <v>0</v>
      </c>
      <c r="Z289" s="40">
        <f t="shared" si="264"/>
        <v>1318.8</v>
      </c>
      <c r="AA289" s="40">
        <f t="shared" si="265"/>
        <v>3797</v>
      </c>
      <c r="AB289" s="40">
        <f t="shared" si="266"/>
        <v>3359</v>
      </c>
      <c r="AC289" s="104">
        <f>SUM(Table1[[#This Row],[Jan]:[Dec]])</f>
        <v>8474.7999999999993</v>
      </c>
      <c r="AD289" s="105">
        <f t="shared" si="267"/>
        <v>0</v>
      </c>
      <c r="AE289" s="105">
        <f t="shared" si="268"/>
        <v>0</v>
      </c>
      <c r="AF289" s="105">
        <f t="shared" si="269"/>
        <v>0</v>
      </c>
      <c r="AG289" s="105">
        <f t="shared" si="270"/>
        <v>0</v>
      </c>
      <c r="AH289" s="105">
        <f t="shared" si="271"/>
        <v>0</v>
      </c>
      <c r="AI289" s="105">
        <f t="shared" si="272"/>
        <v>0</v>
      </c>
      <c r="AJ289" s="105">
        <f t="shared" si="273"/>
        <v>0</v>
      </c>
      <c r="AK289" s="105">
        <f t="shared" si="274"/>
        <v>0</v>
      </c>
      <c r="AL289" s="105">
        <f t="shared" si="275"/>
        <v>0</v>
      </c>
      <c r="AM289" s="105">
        <f t="shared" si="276"/>
        <v>0</v>
      </c>
      <c r="AN289" s="105">
        <f t="shared" si="277"/>
        <v>0</v>
      </c>
      <c r="AO289" s="105">
        <f t="shared" si="278"/>
        <v>0</v>
      </c>
      <c r="AP289" s="106">
        <f t="shared" si="279"/>
        <v>0</v>
      </c>
      <c r="AQ289" s="106">
        <f t="shared" si="280"/>
        <v>0</v>
      </c>
      <c r="AR289" s="106">
        <f t="shared" si="281"/>
        <v>0</v>
      </c>
      <c r="AS289" s="106">
        <f t="shared" si="282"/>
        <v>0</v>
      </c>
      <c r="AT289" s="106" t="b">
        <f t="shared" si="283"/>
        <v>1</v>
      </c>
      <c r="AU289" s="106">
        <f t="shared" si="284"/>
        <v>0</v>
      </c>
      <c r="AV289" s="106">
        <f t="shared" si="285"/>
        <v>0</v>
      </c>
      <c r="AW289" s="106">
        <f t="shared" si="286"/>
        <v>0</v>
      </c>
      <c r="AX289" s="106">
        <f t="shared" si="287"/>
        <v>0</v>
      </c>
      <c r="AY289" s="106">
        <f t="shared" si="288"/>
        <v>0</v>
      </c>
      <c r="AZ289" s="107">
        <f>IFERROR(IF($E289="REC",INDEX(A_Type_Volume!$B:$B,MATCH($D289,A_Type_Volume!$A:$A,0),1),IF($E289="VAM",INDEX(C_Type_Volume!$B:$B,MATCH($D289,C_Type_Volume!$A:$A,0),1),"X")),"")</f>
        <v>5429</v>
      </c>
      <c r="BA289" s="107">
        <f>IFERROR(IF($E289="REC",INDEX(A_Type_Volume!$C:$C,MATCH($D289,A_Type_Volume!$A:$A,0),1),IF($E289="VAM",INDEX(C_Type_Volume!$C:$C,MATCH($D289,C_Type_Volume!$A:$A,0),1),"X")),"")</f>
        <v>6322</v>
      </c>
      <c r="BB289" s="107">
        <f>IFERROR(IF($E289="REC",INDEX(A_Type_Volume!$D:$D,MATCH($D289,A_Type_Volume!$A:$A,0),1),IF($E289="VAM",INDEX(C_Type_Volume!$D:$D,MATCH($D289,C_Type_Volume!$A:$A,0),1),"X")),"")</f>
        <v>8540</v>
      </c>
      <c r="BC289" s="107">
        <f>IFERROR(IF($E289="REC",INDEX(A_Type_Volume!$E:$E,MATCH($D289,A_Type_Volume!$A:$A,0),1),IF($E289="VAM",INDEX(C_Type_Volume!$E:$E,MATCH($D289,C_Type_Volume!$A:$A,0),1),"X")),"")</f>
        <v>7306</v>
      </c>
      <c r="BD289" s="107">
        <f>IFERROR(IF($E289="REC",INDEX(A_Type_Volume!$F:$F,MATCH($D289,A_Type_Volume!$A:$A,0),1),IF($E289="VAM",INDEX(C_Type_Volume!$F:$F,MATCH($D289,C_Type_Volume!$A:$A,0),1),"X")),"")</f>
        <v>4114</v>
      </c>
      <c r="BE289" s="107">
        <f>IFERROR(IF($E289="REC",INDEX(A_Type_Volume!$G:$G,MATCH($D289,A_Type_Volume!$A:$A,0),1),IF($E289="VAM",INDEX(C_Type_Volume!$G:$G,MATCH($D289,C_Type_Volume!$A:$A,0),1),"X")),"")</f>
        <v>4605</v>
      </c>
      <c r="BF289" s="107">
        <f>IFERROR(IF($E289="REC",INDEX(A_Type_Volume!$H:$H,MATCH($D289,A_Type_Volume!$A:$A,0),1),IF($E289="VAM",INDEX(C_Type_Volume!$H:$H,MATCH($D289,C_Type_Volume!$A:$A,0),1),"X")),"")</f>
        <v>5295</v>
      </c>
      <c r="BG289" s="107">
        <f>IFERROR(IF($E289="REC",INDEX(A_Type_Volume!$I:$I,MATCH($D289,A_Type_Volume!$A:$A,0),1),IF($E289="VAM",INDEX(C_Type_Volume!$I:$I,MATCH($D289,C_Type_Volume!$A:$A,0),1),"X")),"")</f>
        <v>4144</v>
      </c>
      <c r="BH289" s="107">
        <f>IFERROR(IF($E289="REC",INDEX(A_Type_Volume!$J:$J,MATCH($D289,A_Type_Volume!$A:$A,0),1),IF($E289="VAM",INDEX(C_Type_Volume!$J:$J,MATCH($D289,C_Type_Volume!$A:$A,0),1),"X")),"")</f>
        <v>4196</v>
      </c>
      <c r="BI289" s="107">
        <f>IFERROR(IF($E289="REC",INDEX(A_Type_Volume!$K:$K,MATCH($D289,A_Type_Volume!$A:$A,0),1),IF($E289="VAM",INDEX(C_Type_Volume!$K:$K,MATCH($D289,C_Type_Volume!$A:$A,0),1),"X")),"")</f>
        <v>4396</v>
      </c>
      <c r="BJ289" s="107">
        <f>IFERROR(IF($E289="REC",INDEX(A_Type_Volume!$L:$L,MATCH($D289,A_Type_Volume!$A:$A,0),1),IF($E289="VAM",INDEX(C_Type_Volume!$L:$L,MATCH($D289,C_Type_Volume!$A:$A,0),1),"X")),"")</f>
        <v>3797</v>
      </c>
      <c r="BK289" s="107">
        <f>IFERROR(IF($E289="REC",INDEX(A_Type_Volume!M:M,MATCH($D289,A_Type_Volume!$A:$A,0),1),IF($E289="VAM",INDEX(C_Type_Volume!M:M,MATCH($D289,C_Type_Volume!$A:$A,0),1),"X")),"")</f>
        <v>3359</v>
      </c>
      <c r="BL289" s="100">
        <f>SUM(Table1[[#This Row],[Jan_AVF]:[Dec_AVF]])</f>
        <v>61503</v>
      </c>
      <c r="BM289" s="108">
        <f t="shared" si="289"/>
        <v>0</v>
      </c>
      <c r="BN289" s="108">
        <f t="shared" si="290"/>
        <v>0</v>
      </c>
      <c r="BO289" s="108">
        <f t="shared" si="291"/>
        <v>0</v>
      </c>
      <c r="BP289" s="108">
        <f t="shared" si="292"/>
        <v>0</v>
      </c>
      <c r="BQ289" s="108">
        <f t="shared" si="293"/>
        <v>0</v>
      </c>
      <c r="BR289" s="108">
        <f t="shared" si="294"/>
        <v>0</v>
      </c>
      <c r="BS289" s="108">
        <f t="shared" si="295"/>
        <v>0</v>
      </c>
      <c r="BT289" s="108">
        <f t="shared" si="296"/>
        <v>0</v>
      </c>
      <c r="BU289" s="108">
        <f t="shared" si="297"/>
        <v>0</v>
      </c>
      <c r="BV289" s="108">
        <f t="shared" si="298"/>
        <v>0</v>
      </c>
      <c r="BW289" s="108">
        <f t="shared" si="299"/>
        <v>0</v>
      </c>
      <c r="BX289" s="108">
        <f t="shared" si="300"/>
        <v>0</v>
      </c>
      <c r="BY289" s="106">
        <f t="shared" si="301"/>
        <v>0</v>
      </c>
      <c r="BZ289" s="106">
        <f t="shared" si="302"/>
        <v>0</v>
      </c>
      <c r="CA289" s="106">
        <f t="shared" si="303"/>
        <v>0</v>
      </c>
      <c r="CB289" s="106">
        <f t="shared" si="304"/>
        <v>0</v>
      </c>
      <c r="CC289" s="106">
        <f>IFERROR(Table1[[#This Row],[Labor
Saving]]*Table1[[#This Row],[Annual Volume]],"")</f>
        <v>0</v>
      </c>
      <c r="CD289" s="106">
        <f>IFERROR(Table1[[#This Row],[Annual Volume]]*Table1[[#This Row],[Yield
Saving]],"")</f>
        <v>0</v>
      </c>
      <c r="CE289" s="106">
        <f>IFERROR(Table1[[#This Row],[Annual Volume]]*Table1[[#This Row],[Material
Saving]],"")</f>
        <v>0</v>
      </c>
      <c r="CF289" s="106">
        <f>IFERROR(Table1[[#This Row],[OH
Saving]]*Table1[[#This Row],[Annual Volume]],"")</f>
        <v>0</v>
      </c>
      <c r="CG289" s="106">
        <f>SUM(Table1[[#This Row],[Labor_ASV]:[OH_ASV]])</f>
        <v>0</v>
      </c>
    </row>
    <row r="290" spans="1:85" s="93" customFormat="1" x14ac:dyDescent="0.3">
      <c r="A290" s="93" t="str">
        <f>Table1[[#This Row],[Project Name]]&amp;Table1[[#This Row],[Part Number]]</f>
        <v>Auto Visual AdjustmentR36</v>
      </c>
      <c r="B290" s="93" t="str">
        <f>IFERROR(Table1[[#This Row],[Project Number]]&amp;Table1[[#This Row],[Part Number]],"")</f>
        <v>AME25-095R36</v>
      </c>
      <c r="C290" s="22" t="s">
        <v>205</v>
      </c>
      <c r="D290" s="24" t="s">
        <v>274</v>
      </c>
      <c r="E290" s="86" t="s">
        <v>58</v>
      </c>
      <c r="F290" s="102">
        <f>INDEX(Proj_Reg!G:G,MATCH($C290,Proj_Reg!$B:$B,0),1)</f>
        <v>46296</v>
      </c>
      <c r="G290" s="102">
        <f>INDEX(Proj_Reg!H:H,MATCH($C290,Proj_Reg!$B:$B,0),1)</f>
        <v>46631</v>
      </c>
      <c r="H290" s="102" t="str">
        <f>IF(INDEX(Proj_Reg!C:C,MATCH($C290,Proj_Reg!$B:$B,0),1)=0,"",INDEX(Proj_Reg!C:C,MATCH($C290,Proj_Reg!$B:$B,0),1))</f>
        <v>Visual Inspection</v>
      </c>
      <c r="I290" s="102" t="str">
        <f>IF(INDEX(Proj_Reg!D:D,MATCH($C290,Proj_Reg!$B:$B,0),1)=0,"",INDEX(Proj_Reg!D:D,MATCH($C290,Proj_Reg!$B:$B,0),1))</f>
        <v>XCI</v>
      </c>
      <c r="J290" s="102" t="str">
        <f>INDEX(Proj_Reg!E:E,MATCH($C290,Proj_Reg!$B:$B,0),1)</f>
        <v>Auto Visual Adjustment</v>
      </c>
      <c r="K290" s="21"/>
      <c r="L290" s="21"/>
      <c r="M290" s="21"/>
      <c r="N290" s="21"/>
      <c r="O290" s="103">
        <f>SUM(Table1[[#This Row],[Labor
Saving]:[OH
Saving]])</f>
        <v>0</v>
      </c>
      <c r="P290" s="88"/>
      <c r="Q290" s="40">
        <f t="shared" si="256"/>
        <v>0</v>
      </c>
      <c r="R290" s="40">
        <f t="shared" si="257"/>
        <v>0</v>
      </c>
      <c r="S290" s="40">
        <f t="shared" si="258"/>
        <v>0</v>
      </c>
      <c r="T290" s="40">
        <f t="shared" si="259"/>
        <v>0</v>
      </c>
      <c r="U290" s="40">
        <f t="shared" si="260"/>
        <v>0</v>
      </c>
      <c r="V290" s="40">
        <f t="shared" si="261"/>
        <v>0</v>
      </c>
      <c r="W290" s="40">
        <f t="shared" si="262"/>
        <v>0</v>
      </c>
      <c r="X290" s="40">
        <f t="shared" si="263"/>
        <v>0</v>
      </c>
      <c r="Y290" s="40">
        <f t="shared" si="210"/>
        <v>0</v>
      </c>
      <c r="Z290" s="40">
        <f t="shared" si="264"/>
        <v>4792.8</v>
      </c>
      <c r="AA290" s="40">
        <f t="shared" si="265"/>
        <v>13797</v>
      </c>
      <c r="AB290" s="40">
        <f t="shared" si="266"/>
        <v>12208</v>
      </c>
      <c r="AC290" s="104">
        <f>SUM(Table1[[#This Row],[Jan]:[Dec]])</f>
        <v>30797.8</v>
      </c>
      <c r="AD290" s="105">
        <f t="shared" si="267"/>
        <v>0</v>
      </c>
      <c r="AE290" s="105">
        <f t="shared" si="268"/>
        <v>0</v>
      </c>
      <c r="AF290" s="105">
        <f t="shared" si="269"/>
        <v>0</v>
      </c>
      <c r="AG290" s="105">
        <f t="shared" si="270"/>
        <v>0</v>
      </c>
      <c r="AH290" s="105">
        <f t="shared" si="271"/>
        <v>0</v>
      </c>
      <c r="AI290" s="105">
        <f t="shared" si="272"/>
        <v>0</v>
      </c>
      <c r="AJ290" s="105">
        <f t="shared" si="273"/>
        <v>0</v>
      </c>
      <c r="AK290" s="105">
        <f t="shared" si="274"/>
        <v>0</v>
      </c>
      <c r="AL290" s="105">
        <f t="shared" si="275"/>
        <v>0</v>
      </c>
      <c r="AM290" s="105">
        <f t="shared" si="276"/>
        <v>0</v>
      </c>
      <c r="AN290" s="105">
        <f t="shared" si="277"/>
        <v>0</v>
      </c>
      <c r="AO290" s="105">
        <f t="shared" si="278"/>
        <v>0</v>
      </c>
      <c r="AP290" s="106">
        <f t="shared" si="279"/>
        <v>0</v>
      </c>
      <c r="AQ290" s="106">
        <f t="shared" si="280"/>
        <v>0</v>
      </c>
      <c r="AR290" s="106">
        <f t="shared" si="281"/>
        <v>0</v>
      </c>
      <c r="AS290" s="106">
        <f t="shared" si="282"/>
        <v>0</v>
      </c>
      <c r="AT290" s="106" t="b">
        <f t="shared" si="283"/>
        <v>1</v>
      </c>
      <c r="AU290" s="106">
        <f t="shared" si="284"/>
        <v>0</v>
      </c>
      <c r="AV290" s="106">
        <f t="shared" si="285"/>
        <v>0</v>
      </c>
      <c r="AW290" s="106">
        <f t="shared" si="286"/>
        <v>0</v>
      </c>
      <c r="AX290" s="106">
        <f t="shared" si="287"/>
        <v>0</v>
      </c>
      <c r="AY290" s="106">
        <f t="shared" si="288"/>
        <v>0</v>
      </c>
      <c r="AZ290" s="107">
        <f>IFERROR(IF($E290="REC",INDEX(A_Type_Volume!$B:$B,MATCH($D290,A_Type_Volume!$A:$A,0),1),IF($E290="VAM",INDEX(C_Type_Volume!$B:$B,MATCH($D290,C_Type_Volume!$A:$A,0),1),"X")),"")</f>
        <v>18601</v>
      </c>
      <c r="BA290" s="107">
        <f>IFERROR(IF($E290="REC",INDEX(A_Type_Volume!$C:$C,MATCH($D290,A_Type_Volume!$A:$A,0),1),IF($E290="VAM",INDEX(C_Type_Volume!$C:$C,MATCH($D290,C_Type_Volume!$A:$A,0),1),"X")),"")</f>
        <v>17399</v>
      </c>
      <c r="BB290" s="107">
        <f>IFERROR(IF($E290="REC",INDEX(A_Type_Volume!$D:$D,MATCH($D290,A_Type_Volume!$A:$A,0),1),IF($E290="VAM",INDEX(C_Type_Volume!$D:$D,MATCH($D290,C_Type_Volume!$A:$A,0),1),"X")),"")</f>
        <v>27733</v>
      </c>
      <c r="BC290" s="107">
        <f>IFERROR(IF($E290="REC",INDEX(A_Type_Volume!$E:$E,MATCH($D290,A_Type_Volume!$A:$A,0),1),IF($E290="VAM",INDEX(C_Type_Volume!$E:$E,MATCH($D290,C_Type_Volume!$A:$A,0),1),"X")),"")</f>
        <v>16542</v>
      </c>
      <c r="BD290" s="107">
        <f>IFERROR(IF($E290="REC",INDEX(A_Type_Volume!$F:$F,MATCH($D290,A_Type_Volume!$A:$A,0),1),IF($E290="VAM",INDEX(C_Type_Volume!$F:$F,MATCH($D290,C_Type_Volume!$A:$A,0),1),"X")),"")</f>
        <v>17089</v>
      </c>
      <c r="BE290" s="107">
        <f>IFERROR(IF($E290="REC",INDEX(A_Type_Volume!$G:$G,MATCH($D290,A_Type_Volume!$A:$A,0),1),IF($E290="VAM",INDEX(C_Type_Volume!$G:$G,MATCH($D290,C_Type_Volume!$A:$A,0),1),"X")),"")</f>
        <v>16734</v>
      </c>
      <c r="BF290" s="107">
        <f>IFERROR(IF($E290="REC",INDEX(A_Type_Volume!$H:$H,MATCH($D290,A_Type_Volume!$A:$A,0),1),IF($E290="VAM",INDEX(C_Type_Volume!$H:$H,MATCH($D290,C_Type_Volume!$A:$A,0),1),"X")),"")</f>
        <v>19244</v>
      </c>
      <c r="BG290" s="107">
        <f>IFERROR(IF($E290="REC",INDEX(A_Type_Volume!$I:$I,MATCH($D290,A_Type_Volume!$A:$A,0),1),IF($E290="VAM",INDEX(C_Type_Volume!$I:$I,MATCH($D290,C_Type_Volume!$A:$A,0),1),"X")),"")</f>
        <v>15060</v>
      </c>
      <c r="BH290" s="107">
        <f>IFERROR(IF($E290="REC",INDEX(A_Type_Volume!$J:$J,MATCH($D290,A_Type_Volume!$A:$A,0),1),IF($E290="VAM",INDEX(C_Type_Volume!$J:$J,MATCH($D290,C_Type_Volume!$A:$A,0),1),"X")),"")</f>
        <v>15250</v>
      </c>
      <c r="BI290" s="107">
        <f>IFERROR(IF($E290="REC",INDEX(A_Type_Volume!$K:$K,MATCH($D290,A_Type_Volume!$A:$A,0),1),IF($E290="VAM",INDEX(C_Type_Volume!$K:$K,MATCH($D290,C_Type_Volume!$A:$A,0),1),"X")),"")</f>
        <v>15976</v>
      </c>
      <c r="BJ290" s="107">
        <f>IFERROR(IF($E290="REC",INDEX(A_Type_Volume!$L:$L,MATCH($D290,A_Type_Volume!$A:$A,0),1),IF($E290="VAM",INDEX(C_Type_Volume!$L:$L,MATCH($D290,C_Type_Volume!$A:$A,0),1),"X")),"")</f>
        <v>13797</v>
      </c>
      <c r="BK290" s="107">
        <f>IFERROR(IF($E290="REC",INDEX(A_Type_Volume!M:M,MATCH($D290,A_Type_Volume!$A:$A,0),1),IF($E290="VAM",INDEX(C_Type_Volume!M:M,MATCH($D290,C_Type_Volume!$A:$A,0),1),"X")),"")</f>
        <v>12208</v>
      </c>
      <c r="BL290" s="100">
        <f>SUM(Table1[[#This Row],[Jan_AVF]:[Dec_AVF]])</f>
        <v>205633</v>
      </c>
      <c r="BM290" s="108">
        <f t="shared" si="289"/>
        <v>0</v>
      </c>
      <c r="BN290" s="108">
        <f t="shared" si="290"/>
        <v>0</v>
      </c>
      <c r="BO290" s="108">
        <f t="shared" si="291"/>
        <v>0</v>
      </c>
      <c r="BP290" s="108">
        <f t="shared" si="292"/>
        <v>0</v>
      </c>
      <c r="BQ290" s="108">
        <f t="shared" si="293"/>
        <v>0</v>
      </c>
      <c r="BR290" s="108">
        <f t="shared" si="294"/>
        <v>0</v>
      </c>
      <c r="BS290" s="108">
        <f t="shared" si="295"/>
        <v>0</v>
      </c>
      <c r="BT290" s="108">
        <f t="shared" si="296"/>
        <v>0</v>
      </c>
      <c r="BU290" s="108">
        <f t="shared" si="297"/>
        <v>0</v>
      </c>
      <c r="BV290" s="108">
        <f t="shared" si="298"/>
        <v>0</v>
      </c>
      <c r="BW290" s="108">
        <f t="shared" si="299"/>
        <v>0</v>
      </c>
      <c r="BX290" s="108">
        <f t="shared" si="300"/>
        <v>0</v>
      </c>
      <c r="BY290" s="106">
        <f t="shared" si="301"/>
        <v>0</v>
      </c>
      <c r="BZ290" s="106">
        <f t="shared" si="302"/>
        <v>0</v>
      </c>
      <c r="CA290" s="106">
        <f t="shared" si="303"/>
        <v>0</v>
      </c>
      <c r="CB290" s="106">
        <f t="shared" si="304"/>
        <v>0</v>
      </c>
      <c r="CC290" s="106">
        <f>IFERROR(Table1[[#This Row],[Labor
Saving]]*Table1[[#This Row],[Annual Volume]],"")</f>
        <v>0</v>
      </c>
      <c r="CD290" s="106">
        <f>IFERROR(Table1[[#This Row],[Annual Volume]]*Table1[[#This Row],[Yield
Saving]],"")</f>
        <v>0</v>
      </c>
      <c r="CE290" s="106">
        <f>IFERROR(Table1[[#This Row],[Annual Volume]]*Table1[[#This Row],[Material
Saving]],"")</f>
        <v>0</v>
      </c>
      <c r="CF290" s="106">
        <f>IFERROR(Table1[[#This Row],[OH
Saving]]*Table1[[#This Row],[Annual Volume]],"")</f>
        <v>0</v>
      </c>
      <c r="CG290" s="106">
        <f>SUM(Table1[[#This Row],[Labor_ASV]:[OH_ASV]])</f>
        <v>0</v>
      </c>
    </row>
    <row r="291" spans="1:85" s="93" customFormat="1" x14ac:dyDescent="0.3">
      <c r="A291" s="93" t="str">
        <f>Table1[[#This Row],[Project Name]]&amp;Table1[[#This Row],[Part Number]]</f>
        <v>Auto Visual AdjustmentR37</v>
      </c>
      <c r="B291" s="93" t="str">
        <f>IFERROR(Table1[[#This Row],[Project Number]]&amp;Table1[[#This Row],[Part Number]],"")</f>
        <v>AME25-095R37</v>
      </c>
      <c r="C291" s="22" t="s">
        <v>205</v>
      </c>
      <c r="D291" s="24" t="s">
        <v>275</v>
      </c>
      <c r="E291" s="86" t="s">
        <v>58</v>
      </c>
      <c r="F291" s="102">
        <f>INDEX(Proj_Reg!G:G,MATCH($C291,Proj_Reg!$B:$B,0),1)</f>
        <v>46296</v>
      </c>
      <c r="G291" s="102">
        <f>INDEX(Proj_Reg!H:H,MATCH($C291,Proj_Reg!$B:$B,0),1)</f>
        <v>46631</v>
      </c>
      <c r="H291" s="102" t="str">
        <f>IF(INDEX(Proj_Reg!C:C,MATCH($C291,Proj_Reg!$B:$B,0),1)=0,"",INDEX(Proj_Reg!C:C,MATCH($C291,Proj_Reg!$B:$B,0),1))</f>
        <v>Visual Inspection</v>
      </c>
      <c r="I291" s="102" t="str">
        <f>IF(INDEX(Proj_Reg!D:D,MATCH($C291,Proj_Reg!$B:$B,0),1)=0,"",INDEX(Proj_Reg!D:D,MATCH($C291,Proj_Reg!$B:$B,0),1))</f>
        <v>XCI</v>
      </c>
      <c r="J291" s="102" t="str">
        <f>INDEX(Proj_Reg!E:E,MATCH($C291,Proj_Reg!$B:$B,0),1)</f>
        <v>Auto Visual Adjustment</v>
      </c>
      <c r="K291" s="21"/>
      <c r="L291" s="21"/>
      <c r="M291" s="21"/>
      <c r="N291" s="21"/>
      <c r="O291" s="103">
        <f>SUM(Table1[[#This Row],[Labor
Saving]:[OH
Saving]])</f>
        <v>0</v>
      </c>
      <c r="P291" s="88"/>
      <c r="Q291" s="40">
        <f t="shared" si="256"/>
        <v>0</v>
      </c>
      <c r="R291" s="40">
        <f t="shared" si="257"/>
        <v>0</v>
      </c>
      <c r="S291" s="40">
        <f t="shared" si="258"/>
        <v>0</v>
      </c>
      <c r="T291" s="40">
        <f t="shared" si="259"/>
        <v>0</v>
      </c>
      <c r="U291" s="40">
        <f t="shared" si="260"/>
        <v>0</v>
      </c>
      <c r="V291" s="40">
        <f t="shared" si="261"/>
        <v>0</v>
      </c>
      <c r="W291" s="40">
        <f t="shared" si="262"/>
        <v>0</v>
      </c>
      <c r="X291" s="40">
        <f t="shared" si="263"/>
        <v>0</v>
      </c>
      <c r="Y291" s="40">
        <f t="shared" si="210"/>
        <v>0</v>
      </c>
      <c r="Z291" s="40">
        <f t="shared" si="264"/>
        <v>4632</v>
      </c>
      <c r="AA291" s="40">
        <f t="shared" si="265"/>
        <v>13334</v>
      </c>
      <c r="AB291" s="40">
        <f t="shared" si="266"/>
        <v>11798</v>
      </c>
      <c r="AC291" s="104">
        <f>SUM(Table1[[#This Row],[Jan]:[Dec]])</f>
        <v>29764</v>
      </c>
      <c r="AD291" s="105">
        <f t="shared" si="267"/>
        <v>0</v>
      </c>
      <c r="AE291" s="105">
        <f t="shared" si="268"/>
        <v>0</v>
      </c>
      <c r="AF291" s="105">
        <f t="shared" si="269"/>
        <v>0</v>
      </c>
      <c r="AG291" s="105">
        <f t="shared" si="270"/>
        <v>0</v>
      </c>
      <c r="AH291" s="105">
        <f t="shared" si="271"/>
        <v>0</v>
      </c>
      <c r="AI291" s="105">
        <f t="shared" si="272"/>
        <v>0</v>
      </c>
      <c r="AJ291" s="105">
        <f t="shared" si="273"/>
        <v>0</v>
      </c>
      <c r="AK291" s="105">
        <f t="shared" si="274"/>
        <v>0</v>
      </c>
      <c r="AL291" s="105">
        <f t="shared" si="275"/>
        <v>0</v>
      </c>
      <c r="AM291" s="105">
        <f t="shared" si="276"/>
        <v>0</v>
      </c>
      <c r="AN291" s="105">
        <f t="shared" si="277"/>
        <v>0</v>
      </c>
      <c r="AO291" s="105">
        <f t="shared" si="278"/>
        <v>0</v>
      </c>
      <c r="AP291" s="106">
        <f t="shared" si="279"/>
        <v>0</v>
      </c>
      <c r="AQ291" s="106">
        <f t="shared" si="280"/>
        <v>0</v>
      </c>
      <c r="AR291" s="106">
        <f t="shared" si="281"/>
        <v>0</v>
      </c>
      <c r="AS291" s="106">
        <f t="shared" si="282"/>
        <v>0</v>
      </c>
      <c r="AT291" s="106" t="b">
        <f t="shared" si="283"/>
        <v>1</v>
      </c>
      <c r="AU291" s="106">
        <f t="shared" si="284"/>
        <v>0</v>
      </c>
      <c r="AV291" s="106">
        <f t="shared" si="285"/>
        <v>0</v>
      </c>
      <c r="AW291" s="106">
        <f t="shared" si="286"/>
        <v>0</v>
      </c>
      <c r="AX291" s="106">
        <f t="shared" si="287"/>
        <v>0</v>
      </c>
      <c r="AY291" s="106">
        <f t="shared" si="288"/>
        <v>0</v>
      </c>
      <c r="AZ291" s="107">
        <f>IFERROR(IF($E291="REC",INDEX(A_Type_Volume!$B:$B,MATCH($D291,A_Type_Volume!$A:$A,0),1),IF($E291="VAM",INDEX(C_Type_Volume!$B:$B,MATCH($D291,C_Type_Volume!$A:$A,0),1),"X")),"")</f>
        <v>20152</v>
      </c>
      <c r="BA291" s="107">
        <f>IFERROR(IF($E291="REC",INDEX(A_Type_Volume!$C:$C,MATCH($D291,A_Type_Volume!$A:$A,0),1),IF($E291="VAM",INDEX(C_Type_Volume!$C:$C,MATCH($D291,C_Type_Volume!$A:$A,0),1),"X")),"")</f>
        <v>20096</v>
      </c>
      <c r="BB291" s="107">
        <f>IFERROR(IF($E291="REC",INDEX(A_Type_Volume!$D:$D,MATCH($D291,A_Type_Volume!$A:$A,0),1),IF($E291="VAM",INDEX(C_Type_Volume!$D:$D,MATCH($D291,C_Type_Volume!$A:$A,0),1),"X")),"")</f>
        <v>27440</v>
      </c>
      <c r="BC291" s="107">
        <f>IFERROR(IF($E291="REC",INDEX(A_Type_Volume!$E:$E,MATCH($D291,A_Type_Volume!$A:$A,0),1),IF($E291="VAM",INDEX(C_Type_Volume!$E:$E,MATCH($D291,C_Type_Volume!$A:$A,0),1),"X")),"")</f>
        <v>16526</v>
      </c>
      <c r="BD291" s="107">
        <f>IFERROR(IF($E291="REC",INDEX(A_Type_Volume!$F:$F,MATCH($D291,A_Type_Volume!$A:$A,0),1),IF($E291="VAM",INDEX(C_Type_Volume!$F:$F,MATCH($D291,C_Type_Volume!$A:$A,0),1),"X")),"")</f>
        <v>16950</v>
      </c>
      <c r="BE291" s="107">
        <f>IFERROR(IF($E291="REC",INDEX(A_Type_Volume!$G:$G,MATCH($D291,A_Type_Volume!$A:$A,0),1),IF($E291="VAM",INDEX(C_Type_Volume!$G:$G,MATCH($D291,C_Type_Volume!$A:$A,0),1),"X")),"")</f>
        <v>16172</v>
      </c>
      <c r="BF291" s="107">
        <f>IFERROR(IF($E291="REC",INDEX(A_Type_Volume!$H:$H,MATCH($D291,A_Type_Volume!$A:$A,0),1),IF($E291="VAM",INDEX(C_Type_Volume!$H:$H,MATCH($D291,C_Type_Volume!$A:$A,0),1),"X")),"")</f>
        <v>18598</v>
      </c>
      <c r="BG291" s="107">
        <f>IFERROR(IF($E291="REC",INDEX(A_Type_Volume!$I:$I,MATCH($D291,A_Type_Volume!$A:$A,0),1),IF($E291="VAM",INDEX(C_Type_Volume!$I:$I,MATCH($D291,C_Type_Volume!$A:$A,0),1),"X")),"")</f>
        <v>14555</v>
      </c>
      <c r="BH291" s="107">
        <f>IFERROR(IF($E291="REC",INDEX(A_Type_Volume!$J:$J,MATCH($D291,A_Type_Volume!$A:$A,0),1),IF($E291="VAM",INDEX(C_Type_Volume!$J:$J,MATCH($D291,C_Type_Volume!$A:$A,0),1),"X")),"")</f>
        <v>14738</v>
      </c>
      <c r="BI291" s="107">
        <f>IFERROR(IF($E291="REC",INDEX(A_Type_Volume!$K:$K,MATCH($D291,A_Type_Volume!$A:$A,0),1),IF($E291="VAM",INDEX(C_Type_Volume!$K:$K,MATCH($D291,C_Type_Volume!$A:$A,0),1),"X")),"")</f>
        <v>15440</v>
      </c>
      <c r="BJ291" s="107">
        <f>IFERROR(IF($E291="REC",INDEX(A_Type_Volume!$L:$L,MATCH($D291,A_Type_Volume!$A:$A,0),1),IF($E291="VAM",INDEX(C_Type_Volume!$L:$L,MATCH($D291,C_Type_Volume!$A:$A,0),1),"X")),"")</f>
        <v>13334</v>
      </c>
      <c r="BK291" s="107">
        <f>IFERROR(IF($E291="REC",INDEX(A_Type_Volume!M:M,MATCH($D291,A_Type_Volume!$A:$A,0),1),IF($E291="VAM",INDEX(C_Type_Volume!M:M,MATCH($D291,C_Type_Volume!$A:$A,0),1),"X")),"")</f>
        <v>11798</v>
      </c>
      <c r="BL291" s="100">
        <f>SUM(Table1[[#This Row],[Jan_AVF]:[Dec_AVF]])</f>
        <v>205799</v>
      </c>
      <c r="BM291" s="108">
        <f t="shared" si="289"/>
        <v>0</v>
      </c>
      <c r="BN291" s="108">
        <f t="shared" si="290"/>
        <v>0</v>
      </c>
      <c r="BO291" s="108">
        <f t="shared" si="291"/>
        <v>0</v>
      </c>
      <c r="BP291" s="108">
        <f t="shared" si="292"/>
        <v>0</v>
      </c>
      <c r="BQ291" s="108">
        <f t="shared" si="293"/>
        <v>0</v>
      </c>
      <c r="BR291" s="108">
        <f t="shared" si="294"/>
        <v>0</v>
      </c>
      <c r="BS291" s="108">
        <f t="shared" si="295"/>
        <v>0</v>
      </c>
      <c r="BT291" s="108">
        <f t="shared" si="296"/>
        <v>0</v>
      </c>
      <c r="BU291" s="108">
        <f t="shared" si="297"/>
        <v>0</v>
      </c>
      <c r="BV291" s="108">
        <f t="shared" si="298"/>
        <v>0</v>
      </c>
      <c r="BW291" s="108">
        <f t="shared" si="299"/>
        <v>0</v>
      </c>
      <c r="BX291" s="108">
        <f t="shared" si="300"/>
        <v>0</v>
      </c>
      <c r="BY291" s="106">
        <f t="shared" si="301"/>
        <v>0</v>
      </c>
      <c r="BZ291" s="106">
        <f t="shared" si="302"/>
        <v>0</v>
      </c>
      <c r="CA291" s="106">
        <f t="shared" si="303"/>
        <v>0</v>
      </c>
      <c r="CB291" s="106">
        <f t="shared" si="304"/>
        <v>0</v>
      </c>
      <c r="CC291" s="106">
        <f>IFERROR(Table1[[#This Row],[Labor
Saving]]*Table1[[#This Row],[Annual Volume]],"")</f>
        <v>0</v>
      </c>
      <c r="CD291" s="106">
        <f>IFERROR(Table1[[#This Row],[Annual Volume]]*Table1[[#This Row],[Yield
Saving]],"")</f>
        <v>0</v>
      </c>
      <c r="CE291" s="106">
        <f>IFERROR(Table1[[#This Row],[Annual Volume]]*Table1[[#This Row],[Material
Saving]],"")</f>
        <v>0</v>
      </c>
      <c r="CF291" s="106">
        <f>IFERROR(Table1[[#This Row],[OH
Saving]]*Table1[[#This Row],[Annual Volume]],"")</f>
        <v>0</v>
      </c>
      <c r="CG291" s="106">
        <f>SUM(Table1[[#This Row],[Labor_ASV]:[OH_ASV]])</f>
        <v>0</v>
      </c>
    </row>
    <row r="292" spans="1:85" s="93" customFormat="1" x14ac:dyDescent="0.3">
      <c r="A292" s="93" t="str">
        <f>Table1[[#This Row],[Project Name]]&amp;Table1[[#This Row],[Part Number]]</f>
        <v>Auto Visual AdjustmentR38</v>
      </c>
      <c r="B292" s="93" t="str">
        <f>IFERROR(Table1[[#This Row],[Project Number]]&amp;Table1[[#This Row],[Part Number]],"")</f>
        <v>AME25-095R38</v>
      </c>
      <c r="C292" s="22" t="s">
        <v>205</v>
      </c>
      <c r="D292" s="24" t="s">
        <v>276</v>
      </c>
      <c r="E292" s="86" t="s">
        <v>58</v>
      </c>
      <c r="F292" s="102">
        <f>INDEX(Proj_Reg!G:G,MATCH($C292,Proj_Reg!$B:$B,0),1)</f>
        <v>46296</v>
      </c>
      <c r="G292" s="102">
        <f>INDEX(Proj_Reg!H:H,MATCH($C292,Proj_Reg!$B:$B,0),1)</f>
        <v>46631</v>
      </c>
      <c r="H292" s="102" t="str">
        <f>IF(INDEX(Proj_Reg!C:C,MATCH($C292,Proj_Reg!$B:$B,0),1)=0,"",INDEX(Proj_Reg!C:C,MATCH($C292,Proj_Reg!$B:$B,0),1))</f>
        <v>Visual Inspection</v>
      </c>
      <c r="I292" s="102" t="str">
        <f>IF(INDEX(Proj_Reg!D:D,MATCH($C292,Proj_Reg!$B:$B,0),1)=0,"",INDEX(Proj_Reg!D:D,MATCH($C292,Proj_Reg!$B:$B,0),1))</f>
        <v>XCI</v>
      </c>
      <c r="J292" s="102" t="str">
        <f>INDEX(Proj_Reg!E:E,MATCH($C292,Proj_Reg!$B:$B,0),1)</f>
        <v>Auto Visual Adjustment</v>
      </c>
      <c r="K292" s="21"/>
      <c r="L292" s="21"/>
      <c r="M292" s="21"/>
      <c r="N292" s="21"/>
      <c r="O292" s="103">
        <f>SUM(Table1[[#This Row],[Labor
Saving]:[OH
Saving]])</f>
        <v>0</v>
      </c>
      <c r="P292" s="88"/>
      <c r="Q292" s="40">
        <f t="shared" si="256"/>
        <v>0</v>
      </c>
      <c r="R292" s="40">
        <f t="shared" si="257"/>
        <v>0</v>
      </c>
      <c r="S292" s="40">
        <f t="shared" si="258"/>
        <v>0</v>
      </c>
      <c r="T292" s="40">
        <f t="shared" si="259"/>
        <v>0</v>
      </c>
      <c r="U292" s="40">
        <f t="shared" si="260"/>
        <v>0</v>
      </c>
      <c r="V292" s="40">
        <f t="shared" si="261"/>
        <v>0</v>
      </c>
      <c r="W292" s="40">
        <f t="shared" si="262"/>
        <v>0</v>
      </c>
      <c r="X292" s="40">
        <f t="shared" si="263"/>
        <v>0</v>
      </c>
      <c r="Y292" s="40">
        <f t="shared" si="210"/>
        <v>0</v>
      </c>
      <c r="Z292" s="40">
        <f t="shared" si="264"/>
        <v>17374.2</v>
      </c>
      <c r="AA292" s="40">
        <f t="shared" si="265"/>
        <v>50017</v>
      </c>
      <c r="AB292" s="40">
        <f t="shared" si="266"/>
        <v>44255</v>
      </c>
      <c r="AC292" s="104">
        <f>SUM(Table1[[#This Row],[Jan]:[Dec]])</f>
        <v>111646.2</v>
      </c>
      <c r="AD292" s="105">
        <f t="shared" si="267"/>
        <v>0</v>
      </c>
      <c r="AE292" s="105">
        <f t="shared" si="268"/>
        <v>0</v>
      </c>
      <c r="AF292" s="105">
        <f t="shared" si="269"/>
        <v>0</v>
      </c>
      <c r="AG292" s="105">
        <f t="shared" si="270"/>
        <v>0</v>
      </c>
      <c r="AH292" s="105">
        <f t="shared" si="271"/>
        <v>0</v>
      </c>
      <c r="AI292" s="105">
        <f t="shared" si="272"/>
        <v>0</v>
      </c>
      <c r="AJ292" s="105">
        <f t="shared" si="273"/>
        <v>0</v>
      </c>
      <c r="AK292" s="105">
        <f t="shared" si="274"/>
        <v>0</v>
      </c>
      <c r="AL292" s="105">
        <f t="shared" si="275"/>
        <v>0</v>
      </c>
      <c r="AM292" s="105">
        <f t="shared" si="276"/>
        <v>0</v>
      </c>
      <c r="AN292" s="105">
        <f t="shared" si="277"/>
        <v>0</v>
      </c>
      <c r="AO292" s="105">
        <f t="shared" si="278"/>
        <v>0</v>
      </c>
      <c r="AP292" s="106">
        <f t="shared" si="279"/>
        <v>0</v>
      </c>
      <c r="AQ292" s="106">
        <f t="shared" si="280"/>
        <v>0</v>
      </c>
      <c r="AR292" s="106">
        <f t="shared" si="281"/>
        <v>0</v>
      </c>
      <c r="AS292" s="106">
        <f t="shared" si="282"/>
        <v>0</v>
      </c>
      <c r="AT292" s="106" t="b">
        <f t="shared" si="283"/>
        <v>1</v>
      </c>
      <c r="AU292" s="106">
        <f t="shared" si="284"/>
        <v>0</v>
      </c>
      <c r="AV292" s="106">
        <f t="shared" si="285"/>
        <v>0</v>
      </c>
      <c r="AW292" s="106">
        <f t="shared" si="286"/>
        <v>0</v>
      </c>
      <c r="AX292" s="106">
        <f t="shared" si="287"/>
        <v>0</v>
      </c>
      <c r="AY292" s="106">
        <f t="shared" si="288"/>
        <v>0</v>
      </c>
      <c r="AZ292" s="107">
        <f>IFERROR(IF($E292="REC",INDEX(A_Type_Volume!$B:$B,MATCH($D292,A_Type_Volume!$A:$A,0),1),IF($E292="VAM",INDEX(C_Type_Volume!$B:$B,MATCH($D292,C_Type_Volume!$A:$A,0),1),"X")),"")</f>
        <v>60412</v>
      </c>
      <c r="BA292" s="107">
        <f>IFERROR(IF($E292="REC",INDEX(A_Type_Volume!$C:$C,MATCH($D292,A_Type_Volume!$A:$A,0),1),IF($E292="VAM",INDEX(C_Type_Volume!$C:$C,MATCH($D292,C_Type_Volume!$A:$A,0),1),"X")),"")</f>
        <v>58681</v>
      </c>
      <c r="BB292" s="107">
        <f>IFERROR(IF($E292="REC",INDEX(A_Type_Volume!$D:$D,MATCH($D292,A_Type_Volume!$A:$A,0),1),IF($E292="VAM",INDEX(C_Type_Volume!$D:$D,MATCH($D292,C_Type_Volume!$A:$A,0),1),"X")),"")</f>
        <v>86632</v>
      </c>
      <c r="BC292" s="107">
        <f>IFERROR(IF($E292="REC",INDEX(A_Type_Volume!$E:$E,MATCH($D292,A_Type_Volume!$A:$A,0),1),IF($E292="VAM",INDEX(C_Type_Volume!$E:$E,MATCH($D292,C_Type_Volume!$A:$A,0),1),"X")),"")</f>
        <v>61311</v>
      </c>
      <c r="BD292" s="107">
        <f>IFERROR(IF($E292="REC",INDEX(A_Type_Volume!$F:$F,MATCH($D292,A_Type_Volume!$A:$A,0),1),IF($E292="VAM",INDEX(C_Type_Volume!$F:$F,MATCH($D292,C_Type_Volume!$A:$A,0),1),"X")),"")</f>
        <v>61868</v>
      </c>
      <c r="BE292" s="107">
        <f>IFERROR(IF($E292="REC",INDEX(A_Type_Volume!$G:$G,MATCH($D292,A_Type_Volume!$A:$A,0),1),IF($E292="VAM",INDEX(C_Type_Volume!$G:$G,MATCH($D292,C_Type_Volume!$A:$A,0),1),"X")),"")</f>
        <v>60661</v>
      </c>
      <c r="BF292" s="107">
        <f>IFERROR(IF($E292="REC",INDEX(A_Type_Volume!$H:$H,MATCH($D292,A_Type_Volume!$A:$A,0),1),IF($E292="VAM",INDEX(C_Type_Volume!$H:$H,MATCH($D292,C_Type_Volume!$A:$A,0),1),"X")),"")</f>
        <v>69761</v>
      </c>
      <c r="BG292" s="107">
        <f>IFERROR(IF($E292="REC",INDEX(A_Type_Volume!$I:$I,MATCH($D292,A_Type_Volume!$A:$A,0),1),IF($E292="VAM",INDEX(C_Type_Volume!$I:$I,MATCH($D292,C_Type_Volume!$A:$A,0),1),"X")),"")</f>
        <v>54595</v>
      </c>
      <c r="BH292" s="107">
        <f>IFERROR(IF($E292="REC",INDEX(A_Type_Volume!$J:$J,MATCH($D292,A_Type_Volume!$A:$A,0),1),IF($E292="VAM",INDEX(C_Type_Volume!$J:$J,MATCH($D292,C_Type_Volume!$A:$A,0),1),"X")),"")</f>
        <v>55282</v>
      </c>
      <c r="BI292" s="107">
        <f>IFERROR(IF($E292="REC",INDEX(A_Type_Volume!$K:$K,MATCH($D292,A_Type_Volume!$A:$A,0),1),IF($E292="VAM",INDEX(C_Type_Volume!$K:$K,MATCH($D292,C_Type_Volume!$A:$A,0),1),"X")),"")</f>
        <v>57914</v>
      </c>
      <c r="BJ292" s="107">
        <f>IFERROR(IF($E292="REC",INDEX(A_Type_Volume!$L:$L,MATCH($D292,A_Type_Volume!$A:$A,0),1),IF($E292="VAM",INDEX(C_Type_Volume!$L:$L,MATCH($D292,C_Type_Volume!$A:$A,0),1),"X")),"")</f>
        <v>50017</v>
      </c>
      <c r="BK292" s="107">
        <f>IFERROR(IF($E292="REC",INDEX(A_Type_Volume!M:M,MATCH($D292,A_Type_Volume!$A:$A,0),1),IF($E292="VAM",INDEX(C_Type_Volume!M:M,MATCH($D292,C_Type_Volume!$A:$A,0),1),"X")),"")</f>
        <v>44255</v>
      </c>
      <c r="BL292" s="100">
        <f>SUM(Table1[[#This Row],[Jan_AVF]:[Dec_AVF]])</f>
        <v>721389</v>
      </c>
      <c r="BM292" s="108">
        <f t="shared" si="289"/>
        <v>0</v>
      </c>
      <c r="BN292" s="108">
        <f t="shared" si="290"/>
        <v>0</v>
      </c>
      <c r="BO292" s="108">
        <f t="shared" si="291"/>
        <v>0</v>
      </c>
      <c r="BP292" s="108">
        <f t="shared" si="292"/>
        <v>0</v>
      </c>
      <c r="BQ292" s="108">
        <f t="shared" si="293"/>
        <v>0</v>
      </c>
      <c r="BR292" s="108">
        <f t="shared" si="294"/>
        <v>0</v>
      </c>
      <c r="BS292" s="108">
        <f t="shared" si="295"/>
        <v>0</v>
      </c>
      <c r="BT292" s="108">
        <f t="shared" si="296"/>
        <v>0</v>
      </c>
      <c r="BU292" s="108">
        <f t="shared" si="297"/>
        <v>0</v>
      </c>
      <c r="BV292" s="108">
        <f t="shared" si="298"/>
        <v>0</v>
      </c>
      <c r="BW292" s="108">
        <f t="shared" si="299"/>
        <v>0</v>
      </c>
      <c r="BX292" s="108">
        <f t="shared" si="300"/>
        <v>0</v>
      </c>
      <c r="BY292" s="106">
        <f t="shared" si="301"/>
        <v>0</v>
      </c>
      <c r="BZ292" s="106">
        <f t="shared" si="302"/>
        <v>0</v>
      </c>
      <c r="CA292" s="106">
        <f t="shared" si="303"/>
        <v>0</v>
      </c>
      <c r="CB292" s="106">
        <f t="shared" si="304"/>
        <v>0</v>
      </c>
      <c r="CC292" s="106">
        <f>IFERROR(Table1[[#This Row],[Labor
Saving]]*Table1[[#This Row],[Annual Volume]],"")</f>
        <v>0</v>
      </c>
      <c r="CD292" s="106">
        <f>IFERROR(Table1[[#This Row],[Annual Volume]]*Table1[[#This Row],[Yield
Saving]],"")</f>
        <v>0</v>
      </c>
      <c r="CE292" s="106">
        <f>IFERROR(Table1[[#This Row],[Annual Volume]]*Table1[[#This Row],[Material
Saving]],"")</f>
        <v>0</v>
      </c>
      <c r="CF292" s="106">
        <f>IFERROR(Table1[[#This Row],[OH
Saving]]*Table1[[#This Row],[Annual Volume]],"")</f>
        <v>0</v>
      </c>
      <c r="CG292" s="106">
        <f>SUM(Table1[[#This Row],[Labor_ASV]:[OH_ASV]])</f>
        <v>0</v>
      </c>
    </row>
    <row r="293" spans="1:85" s="93" customFormat="1" x14ac:dyDescent="0.3">
      <c r="A293" s="93" t="str">
        <f>Table1[[#This Row],[Project Name]]&amp;Table1[[#This Row],[Part Number]]</f>
        <v>Auto Visual AdjustmentR39</v>
      </c>
      <c r="B293" s="93" t="str">
        <f>IFERROR(Table1[[#This Row],[Project Number]]&amp;Table1[[#This Row],[Part Number]],"")</f>
        <v>AME25-095R39</v>
      </c>
      <c r="C293" s="22" t="s">
        <v>205</v>
      </c>
      <c r="D293" s="24" t="s">
        <v>277</v>
      </c>
      <c r="E293" s="86" t="s">
        <v>58</v>
      </c>
      <c r="F293" s="102">
        <f>INDEX(Proj_Reg!G:G,MATCH($C293,Proj_Reg!$B:$B,0),1)</f>
        <v>46296</v>
      </c>
      <c r="G293" s="102">
        <f>INDEX(Proj_Reg!H:H,MATCH($C293,Proj_Reg!$B:$B,0),1)</f>
        <v>46631</v>
      </c>
      <c r="H293" s="102" t="str">
        <f>IF(INDEX(Proj_Reg!C:C,MATCH($C293,Proj_Reg!$B:$B,0),1)=0,"",INDEX(Proj_Reg!C:C,MATCH($C293,Proj_Reg!$B:$B,0),1))</f>
        <v>Visual Inspection</v>
      </c>
      <c r="I293" s="102" t="str">
        <f>IF(INDEX(Proj_Reg!D:D,MATCH($C293,Proj_Reg!$B:$B,0),1)=0,"",INDEX(Proj_Reg!D:D,MATCH($C293,Proj_Reg!$B:$B,0),1))</f>
        <v>XCI</v>
      </c>
      <c r="J293" s="102" t="str">
        <f>INDEX(Proj_Reg!E:E,MATCH($C293,Proj_Reg!$B:$B,0),1)</f>
        <v>Auto Visual Adjustment</v>
      </c>
      <c r="K293" s="21"/>
      <c r="L293" s="21"/>
      <c r="M293" s="21"/>
      <c r="N293" s="21"/>
      <c r="O293" s="103">
        <f>SUM(Table1[[#This Row],[Labor
Saving]:[OH
Saving]])</f>
        <v>0</v>
      </c>
      <c r="P293" s="88"/>
      <c r="Q293" s="40">
        <f t="shared" ref="Q293:Q296" si="305">IFERROR(IF($F293=Q$1,0.3,IF(AND(Q$1&gt;$F293,Q$1&lt;=$G293),100%,0))*AZ293,"")</f>
        <v>0</v>
      </c>
      <c r="R293" s="40">
        <f t="shared" ref="R293:R296" si="306">IFERROR(IF($F293=R$1,0.3,IF(AND(R$1&gt;$F293,R$1&lt;=$G293),100%,0))*BA293,"")</f>
        <v>0</v>
      </c>
      <c r="S293" s="40">
        <f t="shared" ref="S293:S296" si="307">IFERROR(IF($F293=S$1,0.3,IF(AND(S$1&gt;$F293,S$1&lt;=$G293),100%,0))*BB293,"")</f>
        <v>0</v>
      </c>
      <c r="T293" s="40">
        <f t="shared" ref="T293:T296" si="308">IFERROR(IF($F293=T$1,0.3,IF(AND(T$1&gt;$F293,T$1&lt;=$G293),100%,0))*BC293,"")</f>
        <v>0</v>
      </c>
      <c r="U293" s="40">
        <f t="shared" ref="U293:U296" si="309">IFERROR(IF($F293=U$1,0.3,IF(AND(U$1&gt;$F293,U$1&lt;=$G293),100%,0))*BD293,"")</f>
        <v>0</v>
      </c>
      <c r="V293" s="40">
        <f t="shared" ref="V293:V296" si="310">IFERROR(IF($F293=V$1,0.3,IF(AND(V$1&gt;$F293,V$1&lt;=$G293),100%,0))*BE293,"")</f>
        <v>0</v>
      </c>
      <c r="W293" s="40">
        <f t="shared" ref="W293:W296" si="311">IFERROR(IF($F293=W$1,0.3,IF(AND(W$1&gt;$F293,W$1&lt;=$G293),100%,0))*BF293,"")</f>
        <v>0</v>
      </c>
      <c r="X293" s="40">
        <f t="shared" ref="X293:X296" si="312">IFERROR(IF($F293=X$1,0.3,IF(AND(X$1&gt;$F293,X$1&lt;=$G293),100%,0))*BG293,"")</f>
        <v>0</v>
      </c>
      <c r="Y293" s="40">
        <f t="shared" si="210"/>
        <v>0</v>
      </c>
      <c r="Z293" s="40">
        <f t="shared" ref="Z293:Z296" si="313">IFERROR(IF($F293=Z$1,0.3,IF(AND(Z$1&gt;$F293,Z$1&lt;=$G293),100%,0))*BI293,"")</f>
        <v>17323.8</v>
      </c>
      <c r="AA293" s="40">
        <f t="shared" ref="AA293:AA296" si="314">IFERROR(IF($F293=AA$1,0.3,IF(AND(AA$1&gt;$F293,AA$1&lt;=$G293),100%,0))*BJ293,"")</f>
        <v>49872</v>
      </c>
      <c r="AB293" s="40">
        <f t="shared" ref="AB293:AB296" si="315">IFERROR(IF($F293=AB$1,0.3,IF(AND(AB$1&gt;$F293,AB$1&lt;=$G293),100%,0))*BK293,"")</f>
        <v>44127</v>
      </c>
      <c r="AC293" s="104">
        <f>SUM(Table1[[#This Row],[Jan]:[Dec]])</f>
        <v>111322.8</v>
      </c>
      <c r="AD293" s="105">
        <f t="shared" ref="AD293:AD296" si="316">IFERROR($O293*Q293,"")</f>
        <v>0</v>
      </c>
      <c r="AE293" s="105">
        <f t="shared" ref="AE293:AE296" si="317">IFERROR($O293*R293,"")</f>
        <v>0</v>
      </c>
      <c r="AF293" s="105">
        <f t="shared" ref="AF293:AF296" si="318">IFERROR($O293*S293,"")</f>
        <v>0</v>
      </c>
      <c r="AG293" s="105">
        <f t="shared" ref="AG293:AG296" si="319">IFERROR($O293*T293,"")</f>
        <v>0</v>
      </c>
      <c r="AH293" s="105">
        <f t="shared" ref="AH293:AH296" si="320">IFERROR($O293*U293,"")</f>
        <v>0</v>
      </c>
      <c r="AI293" s="105">
        <f t="shared" ref="AI293:AI296" si="321">IFERROR($O293*V293,"")</f>
        <v>0</v>
      </c>
      <c r="AJ293" s="105">
        <f t="shared" ref="AJ293:AJ296" si="322">IFERROR($O293*W293,"")</f>
        <v>0</v>
      </c>
      <c r="AK293" s="105">
        <f t="shared" ref="AK293:AK296" si="323">IFERROR($O293*X293,"")</f>
        <v>0</v>
      </c>
      <c r="AL293" s="105">
        <f t="shared" ref="AL293:AL296" si="324">IFERROR($O293*Y293,"")</f>
        <v>0</v>
      </c>
      <c r="AM293" s="105">
        <f t="shared" ref="AM293:AM296" si="325">IFERROR($O293*Z293,"")</f>
        <v>0</v>
      </c>
      <c r="AN293" s="105">
        <f t="shared" ref="AN293:AN296" si="326">IFERROR($O293*AA293,"")</f>
        <v>0</v>
      </c>
      <c r="AO293" s="105">
        <f t="shared" ref="AO293:AO296" si="327">IFERROR($O293*AB293,"")</f>
        <v>0</v>
      </c>
      <c r="AP293" s="106">
        <f t="shared" ref="AP293:AP296" si="328">SUM(AD293:AF293)</f>
        <v>0</v>
      </c>
      <c r="AQ293" s="106">
        <f t="shared" ref="AQ293:AQ296" si="329">SUM(AG293:AI293)</f>
        <v>0</v>
      </c>
      <c r="AR293" s="106">
        <f t="shared" ref="AR293:AR296" si="330">SUM(AJ293:AL293)</f>
        <v>0</v>
      </c>
      <c r="AS293" s="106">
        <f t="shared" ref="AS293:AS296" si="331">SUM(AM293:AO293)</f>
        <v>0</v>
      </c>
      <c r="AT293" s="106" t="b">
        <f t="shared" ref="AT293:AT296" si="332">SUM(AD293:AO293)=SUM(AP293:AS293)</f>
        <v>1</v>
      </c>
      <c r="AU293" s="106">
        <f t="shared" ref="AU293:AU296" si="333">IFERROR(K293*SUM($Q293:$AB293),"")</f>
        <v>0</v>
      </c>
      <c r="AV293" s="106">
        <f t="shared" ref="AV293:AV296" si="334">IFERROR(L293*SUM($Q293:$AB293),"")</f>
        <v>0</v>
      </c>
      <c r="AW293" s="106">
        <f t="shared" ref="AW293:AW296" si="335">IFERROR(M293*SUM($Q293:$AB293),"")</f>
        <v>0</v>
      </c>
      <c r="AX293" s="106">
        <f t="shared" ref="AX293:AX296" si="336">IFERROR(N293*SUM($Q293:$AB293),"")</f>
        <v>0</v>
      </c>
      <c r="AY293" s="106">
        <f t="shared" ref="AY293:AY296" si="337">SUM(AU293:AX293)</f>
        <v>0</v>
      </c>
      <c r="AZ293" s="107">
        <f>IFERROR(IF($E293="REC",INDEX(A_Type_Volume!$B:$B,MATCH($D293,A_Type_Volume!$A:$A,0),1),IF($E293="VAM",INDEX(C_Type_Volume!$B:$B,MATCH($D293,C_Type_Volume!$A:$A,0),1),"X")),"")</f>
        <v>64118</v>
      </c>
      <c r="BA293" s="107">
        <f>IFERROR(IF($E293="REC",INDEX(A_Type_Volume!$C:$C,MATCH($D293,A_Type_Volume!$A:$A,0),1),IF($E293="VAM",INDEX(C_Type_Volume!$C:$C,MATCH($D293,C_Type_Volume!$A:$A,0),1),"X")),"")</f>
        <v>64254</v>
      </c>
      <c r="BB293" s="107">
        <f>IFERROR(IF($E293="REC",INDEX(A_Type_Volume!$D:$D,MATCH($D293,A_Type_Volume!$A:$A,0),1),IF($E293="VAM",INDEX(C_Type_Volume!$D:$D,MATCH($D293,C_Type_Volume!$A:$A,0),1),"X")),"")</f>
        <v>88181</v>
      </c>
      <c r="BC293" s="107">
        <f>IFERROR(IF($E293="REC",INDEX(A_Type_Volume!$E:$E,MATCH($D293,A_Type_Volume!$A:$A,0),1),IF($E293="VAM",INDEX(C_Type_Volume!$E:$E,MATCH($D293,C_Type_Volume!$A:$A,0),1),"X")),"")</f>
        <v>62134</v>
      </c>
      <c r="BD293" s="107">
        <f>IFERROR(IF($E293="REC",INDEX(A_Type_Volume!$F:$F,MATCH($D293,A_Type_Volume!$A:$A,0),1),IF($E293="VAM",INDEX(C_Type_Volume!$F:$F,MATCH($D293,C_Type_Volume!$A:$A,0),1),"X")),"")</f>
        <v>64164</v>
      </c>
      <c r="BE293" s="107">
        <f>IFERROR(IF($E293="REC",INDEX(A_Type_Volume!$G:$G,MATCH($D293,A_Type_Volume!$A:$A,0),1),IF($E293="VAM",INDEX(C_Type_Volume!$G:$G,MATCH($D293,C_Type_Volume!$A:$A,0),1),"X")),"")</f>
        <v>60485</v>
      </c>
      <c r="BF293" s="107">
        <f>IFERROR(IF($E293="REC",INDEX(A_Type_Volume!$H:$H,MATCH($D293,A_Type_Volume!$A:$A,0),1),IF($E293="VAM",INDEX(C_Type_Volume!$H:$H,MATCH($D293,C_Type_Volume!$A:$A,0),1),"X")),"")</f>
        <v>69558</v>
      </c>
      <c r="BG293" s="107">
        <f>IFERROR(IF($E293="REC",INDEX(A_Type_Volume!$I:$I,MATCH($D293,A_Type_Volume!$A:$A,0),1),IF($E293="VAM",INDEX(C_Type_Volume!$I:$I,MATCH($D293,C_Type_Volume!$A:$A,0),1),"X")),"")</f>
        <v>54436</v>
      </c>
      <c r="BH293" s="107">
        <f>IFERROR(IF($E293="REC",INDEX(A_Type_Volume!$J:$J,MATCH($D293,A_Type_Volume!$A:$A,0),1),IF($E293="VAM",INDEX(C_Type_Volume!$J:$J,MATCH($D293,C_Type_Volume!$A:$A,0),1),"X")),"")</f>
        <v>55121</v>
      </c>
      <c r="BI293" s="107">
        <f>IFERROR(IF($E293="REC",INDEX(A_Type_Volume!$K:$K,MATCH($D293,A_Type_Volume!$A:$A,0),1),IF($E293="VAM",INDEX(C_Type_Volume!$K:$K,MATCH($D293,C_Type_Volume!$A:$A,0),1),"X")),"")</f>
        <v>57746</v>
      </c>
      <c r="BJ293" s="107">
        <f>IFERROR(IF($E293="REC",INDEX(A_Type_Volume!$L:$L,MATCH($D293,A_Type_Volume!$A:$A,0),1),IF($E293="VAM",INDEX(C_Type_Volume!$L:$L,MATCH($D293,C_Type_Volume!$A:$A,0),1),"X")),"")</f>
        <v>49872</v>
      </c>
      <c r="BK293" s="107">
        <f>IFERROR(IF($E293="REC",INDEX(A_Type_Volume!M:M,MATCH($D293,A_Type_Volume!$A:$A,0),1),IF($E293="VAM",INDEX(C_Type_Volume!M:M,MATCH($D293,C_Type_Volume!$A:$A,0),1),"X")),"")</f>
        <v>44127</v>
      </c>
      <c r="BL293" s="100">
        <f>SUM(Table1[[#This Row],[Jan_AVF]:[Dec_AVF]])</f>
        <v>734196</v>
      </c>
      <c r="BM293" s="108">
        <f t="shared" ref="BM293:BM296" si="338">AZ293*$O293</f>
        <v>0</v>
      </c>
      <c r="BN293" s="108">
        <f t="shared" ref="BN293:BN296" si="339">BA293*$O293</f>
        <v>0</v>
      </c>
      <c r="BO293" s="108">
        <f t="shared" ref="BO293:BO296" si="340">BB293*$O293</f>
        <v>0</v>
      </c>
      <c r="BP293" s="108">
        <f t="shared" ref="BP293:BP296" si="341">BC293*$O293</f>
        <v>0</v>
      </c>
      <c r="BQ293" s="108">
        <f t="shared" ref="BQ293:BQ296" si="342">BD293*$O293</f>
        <v>0</v>
      </c>
      <c r="BR293" s="108">
        <f t="shared" ref="BR293:BR296" si="343">BE293*$O293</f>
        <v>0</v>
      </c>
      <c r="BS293" s="108">
        <f t="shared" ref="BS293:BS296" si="344">BF293*$O293</f>
        <v>0</v>
      </c>
      <c r="BT293" s="108">
        <f t="shared" ref="BT293:BT296" si="345">BG293*$O293</f>
        <v>0</v>
      </c>
      <c r="BU293" s="108">
        <f t="shared" ref="BU293:BU296" si="346">BH293*$O293</f>
        <v>0</v>
      </c>
      <c r="BV293" s="108">
        <f t="shared" ref="BV293:BV296" si="347">BI293*$O293</f>
        <v>0</v>
      </c>
      <c r="BW293" s="108">
        <f t="shared" ref="BW293:BW296" si="348">BJ293*$O293</f>
        <v>0</v>
      </c>
      <c r="BX293" s="108">
        <f t="shared" ref="BX293:BX296" si="349">BK293*$O293</f>
        <v>0</v>
      </c>
      <c r="BY293" s="106">
        <f t="shared" ref="BY293:BY296" si="350">IFERROR(SUM(BM293:BO293),"")</f>
        <v>0</v>
      </c>
      <c r="BZ293" s="106">
        <f t="shared" ref="BZ293:BZ296" si="351">IFERROR(SUM(BP293:BR293),"")</f>
        <v>0</v>
      </c>
      <c r="CA293" s="106">
        <f t="shared" ref="CA293:CA296" si="352">IFERROR(SUM(BS293:BU293),"")</f>
        <v>0</v>
      </c>
      <c r="CB293" s="106">
        <f t="shared" ref="CB293:CB296" si="353">IFERROR(SUM(BV293:BX293),"")</f>
        <v>0</v>
      </c>
      <c r="CC293" s="106">
        <f>IFERROR(Table1[[#This Row],[Labor
Saving]]*Table1[[#This Row],[Annual Volume]],"")</f>
        <v>0</v>
      </c>
      <c r="CD293" s="106">
        <f>IFERROR(Table1[[#This Row],[Annual Volume]]*Table1[[#This Row],[Yield
Saving]],"")</f>
        <v>0</v>
      </c>
      <c r="CE293" s="106">
        <f>IFERROR(Table1[[#This Row],[Annual Volume]]*Table1[[#This Row],[Material
Saving]],"")</f>
        <v>0</v>
      </c>
      <c r="CF293" s="106">
        <f>IFERROR(Table1[[#This Row],[OH
Saving]]*Table1[[#This Row],[Annual Volume]],"")</f>
        <v>0</v>
      </c>
      <c r="CG293" s="106">
        <f>SUM(Table1[[#This Row],[Labor_ASV]:[OH_ASV]])</f>
        <v>0</v>
      </c>
    </row>
    <row r="294" spans="1:85" s="93" customFormat="1" x14ac:dyDescent="0.3">
      <c r="A294" s="93" t="str">
        <f>Table1[[#This Row],[Project Name]]&amp;Table1[[#This Row],[Part Number]]</f>
        <v>Auto Visual AdjustmentR40</v>
      </c>
      <c r="B294" s="93" t="str">
        <f>IFERROR(Table1[[#This Row],[Project Number]]&amp;Table1[[#This Row],[Part Number]],"")</f>
        <v>AME25-095R40</v>
      </c>
      <c r="C294" s="22" t="s">
        <v>205</v>
      </c>
      <c r="D294" s="24" t="s">
        <v>278</v>
      </c>
      <c r="E294" s="86" t="s">
        <v>58</v>
      </c>
      <c r="F294" s="102">
        <f>INDEX(Proj_Reg!G:G,MATCH($C294,Proj_Reg!$B:$B,0),1)</f>
        <v>46296</v>
      </c>
      <c r="G294" s="102">
        <f>INDEX(Proj_Reg!H:H,MATCH($C294,Proj_Reg!$B:$B,0),1)</f>
        <v>46631</v>
      </c>
      <c r="H294" s="102" t="str">
        <f>IF(INDEX(Proj_Reg!C:C,MATCH($C294,Proj_Reg!$B:$B,0),1)=0,"",INDEX(Proj_Reg!C:C,MATCH($C294,Proj_Reg!$B:$B,0),1))</f>
        <v>Visual Inspection</v>
      </c>
      <c r="I294" s="102" t="str">
        <f>IF(INDEX(Proj_Reg!D:D,MATCH($C294,Proj_Reg!$B:$B,0),1)=0,"",INDEX(Proj_Reg!D:D,MATCH($C294,Proj_Reg!$B:$B,0),1))</f>
        <v>XCI</v>
      </c>
      <c r="J294" s="102" t="str">
        <f>INDEX(Proj_Reg!E:E,MATCH($C294,Proj_Reg!$B:$B,0),1)</f>
        <v>Auto Visual Adjustment</v>
      </c>
      <c r="K294" s="21"/>
      <c r="L294" s="21"/>
      <c r="M294" s="21"/>
      <c r="N294" s="21"/>
      <c r="O294" s="103">
        <f>SUM(Table1[[#This Row],[Labor
Saving]:[OH
Saving]])</f>
        <v>0</v>
      </c>
      <c r="P294" s="88"/>
      <c r="Q294" s="40">
        <f t="shared" si="305"/>
        <v>0</v>
      </c>
      <c r="R294" s="40">
        <f t="shared" si="306"/>
        <v>0</v>
      </c>
      <c r="S294" s="40">
        <f t="shared" si="307"/>
        <v>0</v>
      </c>
      <c r="T294" s="40">
        <f t="shared" si="308"/>
        <v>0</v>
      </c>
      <c r="U294" s="40">
        <f t="shared" si="309"/>
        <v>0</v>
      </c>
      <c r="V294" s="40">
        <f t="shared" si="310"/>
        <v>0</v>
      </c>
      <c r="W294" s="40">
        <f t="shared" si="311"/>
        <v>0</v>
      </c>
      <c r="X294" s="40">
        <f t="shared" si="312"/>
        <v>0</v>
      </c>
      <c r="Y294" s="40">
        <f t="shared" si="210"/>
        <v>0</v>
      </c>
      <c r="Z294" s="40">
        <f t="shared" si="313"/>
        <v>9438.6</v>
      </c>
      <c r="AA294" s="40">
        <f t="shared" si="314"/>
        <v>27171</v>
      </c>
      <c r="AB294" s="40">
        <f t="shared" si="315"/>
        <v>24041</v>
      </c>
      <c r="AC294" s="104">
        <f>SUM(Table1[[#This Row],[Jan]:[Dec]])</f>
        <v>60650.6</v>
      </c>
      <c r="AD294" s="105">
        <f t="shared" si="316"/>
        <v>0</v>
      </c>
      <c r="AE294" s="105">
        <f t="shared" si="317"/>
        <v>0</v>
      </c>
      <c r="AF294" s="105">
        <f t="shared" si="318"/>
        <v>0</v>
      </c>
      <c r="AG294" s="105">
        <f t="shared" si="319"/>
        <v>0</v>
      </c>
      <c r="AH294" s="105">
        <f t="shared" si="320"/>
        <v>0</v>
      </c>
      <c r="AI294" s="105">
        <f t="shared" si="321"/>
        <v>0</v>
      </c>
      <c r="AJ294" s="105">
        <f t="shared" si="322"/>
        <v>0</v>
      </c>
      <c r="AK294" s="105">
        <f t="shared" si="323"/>
        <v>0</v>
      </c>
      <c r="AL294" s="105">
        <f t="shared" si="324"/>
        <v>0</v>
      </c>
      <c r="AM294" s="105">
        <f t="shared" si="325"/>
        <v>0</v>
      </c>
      <c r="AN294" s="105">
        <f t="shared" si="326"/>
        <v>0</v>
      </c>
      <c r="AO294" s="105">
        <f t="shared" si="327"/>
        <v>0</v>
      </c>
      <c r="AP294" s="106">
        <f t="shared" si="328"/>
        <v>0</v>
      </c>
      <c r="AQ294" s="106">
        <f t="shared" si="329"/>
        <v>0</v>
      </c>
      <c r="AR294" s="106">
        <f t="shared" si="330"/>
        <v>0</v>
      </c>
      <c r="AS294" s="106">
        <f t="shared" si="331"/>
        <v>0</v>
      </c>
      <c r="AT294" s="106" t="b">
        <f t="shared" si="332"/>
        <v>1</v>
      </c>
      <c r="AU294" s="106">
        <f t="shared" si="333"/>
        <v>0</v>
      </c>
      <c r="AV294" s="106">
        <f t="shared" si="334"/>
        <v>0</v>
      </c>
      <c r="AW294" s="106">
        <f t="shared" si="335"/>
        <v>0</v>
      </c>
      <c r="AX294" s="106">
        <f t="shared" si="336"/>
        <v>0</v>
      </c>
      <c r="AY294" s="106">
        <f t="shared" si="337"/>
        <v>0</v>
      </c>
      <c r="AZ294" s="107">
        <f>IFERROR(IF($E294="REC",INDEX(A_Type_Volume!$B:$B,MATCH($D294,A_Type_Volume!$A:$A,0),1),IF($E294="VAM",INDEX(C_Type_Volume!$B:$B,MATCH($D294,C_Type_Volume!$A:$A,0),1),"X")),"")</f>
        <v>29933</v>
      </c>
      <c r="BA294" s="107">
        <f>IFERROR(IF($E294="REC",INDEX(A_Type_Volume!$C:$C,MATCH($D294,A_Type_Volume!$A:$A,0),1),IF($E294="VAM",INDEX(C_Type_Volume!$C:$C,MATCH($D294,C_Type_Volume!$A:$A,0),1),"X")),"")</f>
        <v>31405</v>
      </c>
      <c r="BB294" s="107">
        <f>IFERROR(IF($E294="REC",INDEX(A_Type_Volume!$D:$D,MATCH($D294,A_Type_Volume!$A:$A,0),1),IF($E294="VAM",INDEX(C_Type_Volume!$D:$D,MATCH($D294,C_Type_Volume!$A:$A,0),1),"X")),"")</f>
        <v>49794</v>
      </c>
      <c r="BC294" s="107">
        <f>IFERROR(IF($E294="REC",INDEX(A_Type_Volume!$E:$E,MATCH($D294,A_Type_Volume!$A:$A,0),1),IF($E294="VAM",INDEX(C_Type_Volume!$E:$E,MATCH($D294,C_Type_Volume!$A:$A,0),1),"X")),"")</f>
        <v>33463</v>
      </c>
      <c r="BD294" s="107">
        <f>IFERROR(IF($E294="REC",INDEX(A_Type_Volume!$F:$F,MATCH($D294,A_Type_Volume!$A:$A,0),1),IF($E294="VAM",INDEX(C_Type_Volume!$F:$F,MATCH($D294,C_Type_Volume!$A:$A,0),1),"X")),"")</f>
        <v>33715</v>
      </c>
      <c r="BE294" s="107">
        <f>IFERROR(IF($E294="REC",INDEX(A_Type_Volume!$G:$G,MATCH($D294,A_Type_Volume!$A:$A,0),1),IF($E294="VAM",INDEX(C_Type_Volume!$G:$G,MATCH($D294,C_Type_Volume!$A:$A,0),1),"X")),"")</f>
        <v>32954</v>
      </c>
      <c r="BF294" s="107">
        <f>IFERROR(IF($E294="REC",INDEX(A_Type_Volume!$H:$H,MATCH($D294,A_Type_Volume!$A:$A,0),1),IF($E294="VAM",INDEX(C_Type_Volume!$H:$H,MATCH($D294,C_Type_Volume!$A:$A,0),1),"X")),"")</f>
        <v>37897</v>
      </c>
      <c r="BG294" s="107">
        <f>IFERROR(IF($E294="REC",INDEX(A_Type_Volume!$I:$I,MATCH($D294,A_Type_Volume!$A:$A,0),1),IF($E294="VAM",INDEX(C_Type_Volume!$I:$I,MATCH($D294,C_Type_Volume!$A:$A,0),1),"X")),"")</f>
        <v>29658</v>
      </c>
      <c r="BH294" s="107">
        <f>IFERROR(IF($E294="REC",INDEX(A_Type_Volume!$J:$J,MATCH($D294,A_Type_Volume!$A:$A,0),1),IF($E294="VAM",INDEX(C_Type_Volume!$J:$J,MATCH($D294,C_Type_Volume!$A:$A,0),1),"X")),"")</f>
        <v>30032</v>
      </c>
      <c r="BI294" s="107">
        <f>IFERROR(IF($E294="REC",INDEX(A_Type_Volume!$K:$K,MATCH($D294,A_Type_Volume!$A:$A,0),1),IF($E294="VAM",INDEX(C_Type_Volume!$K:$K,MATCH($D294,C_Type_Volume!$A:$A,0),1),"X")),"")</f>
        <v>31462</v>
      </c>
      <c r="BJ294" s="107">
        <f>IFERROR(IF($E294="REC",INDEX(A_Type_Volume!$L:$L,MATCH($D294,A_Type_Volume!$A:$A,0),1),IF($E294="VAM",INDEX(C_Type_Volume!$L:$L,MATCH($D294,C_Type_Volume!$A:$A,0),1),"X")),"")</f>
        <v>27171</v>
      </c>
      <c r="BK294" s="107">
        <f>IFERROR(IF($E294="REC",INDEX(A_Type_Volume!M:M,MATCH($D294,A_Type_Volume!$A:$A,0),1),IF($E294="VAM",INDEX(C_Type_Volume!M:M,MATCH($D294,C_Type_Volume!$A:$A,0),1),"X")),"")</f>
        <v>24041</v>
      </c>
      <c r="BL294" s="100">
        <f>SUM(Table1[[#This Row],[Jan_AVF]:[Dec_AVF]])</f>
        <v>391525</v>
      </c>
      <c r="BM294" s="108">
        <f t="shared" si="338"/>
        <v>0</v>
      </c>
      <c r="BN294" s="108">
        <f t="shared" si="339"/>
        <v>0</v>
      </c>
      <c r="BO294" s="108">
        <f t="shared" si="340"/>
        <v>0</v>
      </c>
      <c r="BP294" s="108">
        <f t="shared" si="341"/>
        <v>0</v>
      </c>
      <c r="BQ294" s="108">
        <f t="shared" si="342"/>
        <v>0</v>
      </c>
      <c r="BR294" s="108">
        <f t="shared" si="343"/>
        <v>0</v>
      </c>
      <c r="BS294" s="108">
        <f t="shared" si="344"/>
        <v>0</v>
      </c>
      <c r="BT294" s="108">
        <f t="shared" si="345"/>
        <v>0</v>
      </c>
      <c r="BU294" s="108">
        <f t="shared" si="346"/>
        <v>0</v>
      </c>
      <c r="BV294" s="108">
        <f t="shared" si="347"/>
        <v>0</v>
      </c>
      <c r="BW294" s="108">
        <f t="shared" si="348"/>
        <v>0</v>
      </c>
      <c r="BX294" s="108">
        <f t="shared" si="349"/>
        <v>0</v>
      </c>
      <c r="BY294" s="106">
        <f t="shared" si="350"/>
        <v>0</v>
      </c>
      <c r="BZ294" s="106">
        <f t="shared" si="351"/>
        <v>0</v>
      </c>
      <c r="CA294" s="106">
        <f t="shared" si="352"/>
        <v>0</v>
      </c>
      <c r="CB294" s="106">
        <f t="shared" si="353"/>
        <v>0</v>
      </c>
      <c r="CC294" s="106">
        <f>IFERROR(Table1[[#This Row],[Labor
Saving]]*Table1[[#This Row],[Annual Volume]],"")</f>
        <v>0</v>
      </c>
      <c r="CD294" s="106">
        <f>IFERROR(Table1[[#This Row],[Annual Volume]]*Table1[[#This Row],[Yield
Saving]],"")</f>
        <v>0</v>
      </c>
      <c r="CE294" s="106">
        <f>IFERROR(Table1[[#This Row],[Annual Volume]]*Table1[[#This Row],[Material
Saving]],"")</f>
        <v>0</v>
      </c>
      <c r="CF294" s="106">
        <f>IFERROR(Table1[[#This Row],[OH
Saving]]*Table1[[#This Row],[Annual Volume]],"")</f>
        <v>0</v>
      </c>
      <c r="CG294" s="106">
        <f>SUM(Table1[[#This Row],[Labor_ASV]:[OH_ASV]])</f>
        <v>0</v>
      </c>
    </row>
    <row r="295" spans="1:85" s="93" customFormat="1" x14ac:dyDescent="0.3">
      <c r="A295" s="93" t="str">
        <f>Table1[[#This Row],[Project Name]]&amp;Table1[[#This Row],[Part Number]]</f>
        <v>Auto Visual AdjustmentR41</v>
      </c>
      <c r="B295" s="93" t="str">
        <f>IFERROR(Table1[[#This Row],[Project Number]]&amp;Table1[[#This Row],[Part Number]],"")</f>
        <v>AME25-095R41</v>
      </c>
      <c r="C295" s="22" t="s">
        <v>205</v>
      </c>
      <c r="D295" s="24" t="s">
        <v>279</v>
      </c>
      <c r="E295" s="86" t="s">
        <v>58</v>
      </c>
      <c r="F295" s="102">
        <f>INDEX(Proj_Reg!G:G,MATCH($C295,Proj_Reg!$B:$B,0),1)</f>
        <v>46296</v>
      </c>
      <c r="G295" s="102">
        <f>INDEX(Proj_Reg!H:H,MATCH($C295,Proj_Reg!$B:$B,0),1)</f>
        <v>46631</v>
      </c>
      <c r="H295" s="102" t="str">
        <f>IF(INDEX(Proj_Reg!C:C,MATCH($C295,Proj_Reg!$B:$B,0),1)=0,"",INDEX(Proj_Reg!C:C,MATCH($C295,Proj_Reg!$B:$B,0),1))</f>
        <v>Visual Inspection</v>
      </c>
      <c r="I295" s="102" t="str">
        <f>IF(INDEX(Proj_Reg!D:D,MATCH($C295,Proj_Reg!$B:$B,0),1)=0,"",INDEX(Proj_Reg!D:D,MATCH($C295,Proj_Reg!$B:$B,0),1))</f>
        <v>XCI</v>
      </c>
      <c r="J295" s="102" t="str">
        <f>INDEX(Proj_Reg!E:E,MATCH($C295,Proj_Reg!$B:$B,0),1)</f>
        <v>Auto Visual Adjustment</v>
      </c>
      <c r="K295" s="21"/>
      <c r="L295" s="21"/>
      <c r="M295" s="21"/>
      <c r="N295" s="21"/>
      <c r="O295" s="103">
        <f>SUM(Table1[[#This Row],[Labor
Saving]:[OH
Saving]])</f>
        <v>0</v>
      </c>
      <c r="P295" s="88"/>
      <c r="Q295" s="40">
        <f t="shared" si="305"/>
        <v>0</v>
      </c>
      <c r="R295" s="40">
        <f t="shared" si="306"/>
        <v>0</v>
      </c>
      <c r="S295" s="40">
        <f t="shared" si="307"/>
        <v>0</v>
      </c>
      <c r="T295" s="40">
        <f t="shared" si="308"/>
        <v>0</v>
      </c>
      <c r="U295" s="40">
        <f t="shared" si="309"/>
        <v>0</v>
      </c>
      <c r="V295" s="40">
        <f t="shared" si="310"/>
        <v>0</v>
      </c>
      <c r="W295" s="40">
        <f t="shared" si="311"/>
        <v>0</v>
      </c>
      <c r="X295" s="40">
        <f t="shared" si="312"/>
        <v>0</v>
      </c>
      <c r="Y295" s="40">
        <f t="shared" si="210"/>
        <v>0</v>
      </c>
      <c r="Z295" s="40">
        <f t="shared" si="313"/>
        <v>9663.6</v>
      </c>
      <c r="AA295" s="40">
        <f t="shared" si="314"/>
        <v>27820</v>
      </c>
      <c r="AB295" s="40">
        <f t="shared" si="315"/>
        <v>24615</v>
      </c>
      <c r="AC295" s="104">
        <f>SUM(Table1[[#This Row],[Jan]:[Dec]])</f>
        <v>62098.6</v>
      </c>
      <c r="AD295" s="105">
        <f t="shared" si="316"/>
        <v>0</v>
      </c>
      <c r="AE295" s="105">
        <f t="shared" si="317"/>
        <v>0</v>
      </c>
      <c r="AF295" s="105">
        <f t="shared" si="318"/>
        <v>0</v>
      </c>
      <c r="AG295" s="105">
        <f t="shared" si="319"/>
        <v>0</v>
      </c>
      <c r="AH295" s="105">
        <f t="shared" si="320"/>
        <v>0</v>
      </c>
      <c r="AI295" s="105">
        <f t="shared" si="321"/>
        <v>0</v>
      </c>
      <c r="AJ295" s="105">
        <f t="shared" si="322"/>
        <v>0</v>
      </c>
      <c r="AK295" s="105">
        <f t="shared" si="323"/>
        <v>0</v>
      </c>
      <c r="AL295" s="105">
        <f t="shared" si="324"/>
        <v>0</v>
      </c>
      <c r="AM295" s="105">
        <f t="shared" si="325"/>
        <v>0</v>
      </c>
      <c r="AN295" s="105">
        <f t="shared" si="326"/>
        <v>0</v>
      </c>
      <c r="AO295" s="105">
        <f t="shared" si="327"/>
        <v>0</v>
      </c>
      <c r="AP295" s="106">
        <f t="shared" si="328"/>
        <v>0</v>
      </c>
      <c r="AQ295" s="106">
        <f t="shared" si="329"/>
        <v>0</v>
      </c>
      <c r="AR295" s="106">
        <f t="shared" si="330"/>
        <v>0</v>
      </c>
      <c r="AS295" s="106">
        <f t="shared" si="331"/>
        <v>0</v>
      </c>
      <c r="AT295" s="106" t="b">
        <f t="shared" si="332"/>
        <v>1</v>
      </c>
      <c r="AU295" s="106">
        <f t="shared" si="333"/>
        <v>0</v>
      </c>
      <c r="AV295" s="106">
        <f t="shared" si="334"/>
        <v>0</v>
      </c>
      <c r="AW295" s="106">
        <f t="shared" si="335"/>
        <v>0</v>
      </c>
      <c r="AX295" s="106">
        <f t="shared" si="336"/>
        <v>0</v>
      </c>
      <c r="AY295" s="106">
        <f t="shared" si="337"/>
        <v>0</v>
      </c>
      <c r="AZ295" s="107">
        <f>IFERROR(IF($E295="REC",INDEX(A_Type_Volume!$B:$B,MATCH($D295,A_Type_Volume!$A:$A,0),1),IF($E295="VAM",INDEX(C_Type_Volume!$B:$B,MATCH($D295,C_Type_Volume!$A:$A,0),1),"X")),"")</f>
        <v>31025</v>
      </c>
      <c r="BA295" s="107">
        <f>IFERROR(IF($E295="REC",INDEX(A_Type_Volume!$C:$C,MATCH($D295,A_Type_Volume!$A:$A,0),1),IF($E295="VAM",INDEX(C_Type_Volume!$C:$C,MATCH($D295,C_Type_Volume!$A:$A,0),1),"X")),"")</f>
        <v>31405</v>
      </c>
      <c r="BB295" s="107">
        <f>IFERROR(IF($E295="REC",INDEX(A_Type_Volume!$D:$D,MATCH($D295,A_Type_Volume!$A:$A,0),1),IF($E295="VAM",INDEX(C_Type_Volume!$D:$D,MATCH($D295,C_Type_Volume!$A:$A,0),1),"X")),"")</f>
        <v>47952</v>
      </c>
      <c r="BC295" s="107">
        <f>IFERROR(IF($E295="REC",INDEX(A_Type_Volume!$E:$E,MATCH($D295,A_Type_Volume!$A:$A,0),1),IF($E295="VAM",INDEX(C_Type_Volume!$E:$E,MATCH($D295,C_Type_Volume!$A:$A,0),1),"X")),"")</f>
        <v>33874</v>
      </c>
      <c r="BD295" s="107">
        <f>IFERROR(IF($E295="REC",INDEX(A_Type_Volume!$F:$F,MATCH($D295,A_Type_Volume!$A:$A,0),1),IF($E295="VAM",INDEX(C_Type_Volume!$F:$F,MATCH($D295,C_Type_Volume!$A:$A,0),1),"X")),"")</f>
        <v>34331</v>
      </c>
      <c r="BE295" s="107">
        <f>IFERROR(IF($E295="REC",INDEX(A_Type_Volume!$G:$G,MATCH($D295,A_Type_Volume!$A:$A,0),1),IF($E295="VAM",INDEX(C_Type_Volume!$G:$G,MATCH($D295,C_Type_Volume!$A:$A,0),1),"X")),"")</f>
        <v>33740</v>
      </c>
      <c r="BF295" s="107">
        <f>IFERROR(IF($E295="REC",INDEX(A_Type_Volume!$H:$H,MATCH($D295,A_Type_Volume!$A:$A,0),1),IF($E295="VAM",INDEX(C_Type_Volume!$H:$H,MATCH($D295,C_Type_Volume!$A:$A,0),1),"X")),"")</f>
        <v>38801</v>
      </c>
      <c r="BG295" s="107">
        <f>IFERROR(IF($E295="REC",INDEX(A_Type_Volume!$I:$I,MATCH($D295,A_Type_Volume!$A:$A,0),1),IF($E295="VAM",INDEX(C_Type_Volume!$I:$I,MATCH($D295,C_Type_Volume!$A:$A,0),1),"X")),"")</f>
        <v>30366</v>
      </c>
      <c r="BH295" s="107">
        <f>IFERROR(IF($E295="REC",INDEX(A_Type_Volume!$J:$J,MATCH($D295,A_Type_Volume!$A:$A,0),1),IF($E295="VAM",INDEX(C_Type_Volume!$J:$J,MATCH($D295,C_Type_Volume!$A:$A,0),1),"X")),"")</f>
        <v>30748</v>
      </c>
      <c r="BI295" s="107">
        <f>IFERROR(IF($E295="REC",INDEX(A_Type_Volume!$K:$K,MATCH($D295,A_Type_Volume!$A:$A,0),1),IF($E295="VAM",INDEX(C_Type_Volume!$K:$K,MATCH($D295,C_Type_Volume!$A:$A,0),1),"X")),"")</f>
        <v>32212</v>
      </c>
      <c r="BJ295" s="107">
        <f>IFERROR(IF($E295="REC",INDEX(A_Type_Volume!$L:$L,MATCH($D295,A_Type_Volume!$A:$A,0),1),IF($E295="VAM",INDEX(C_Type_Volume!$L:$L,MATCH($D295,C_Type_Volume!$A:$A,0),1),"X")),"")</f>
        <v>27820</v>
      </c>
      <c r="BK295" s="107">
        <f>IFERROR(IF($E295="REC",INDEX(A_Type_Volume!M:M,MATCH($D295,A_Type_Volume!$A:$A,0),1),IF($E295="VAM",INDEX(C_Type_Volume!M:M,MATCH($D295,C_Type_Volume!$A:$A,0),1),"X")),"")</f>
        <v>24615</v>
      </c>
      <c r="BL295" s="100">
        <f>SUM(Table1[[#This Row],[Jan_AVF]:[Dec_AVF]])</f>
        <v>396889</v>
      </c>
      <c r="BM295" s="108">
        <f t="shared" si="338"/>
        <v>0</v>
      </c>
      <c r="BN295" s="108">
        <f t="shared" si="339"/>
        <v>0</v>
      </c>
      <c r="BO295" s="108">
        <f t="shared" si="340"/>
        <v>0</v>
      </c>
      <c r="BP295" s="108">
        <f t="shared" si="341"/>
        <v>0</v>
      </c>
      <c r="BQ295" s="108">
        <f t="shared" si="342"/>
        <v>0</v>
      </c>
      <c r="BR295" s="108">
        <f t="shared" si="343"/>
        <v>0</v>
      </c>
      <c r="BS295" s="108">
        <f t="shared" si="344"/>
        <v>0</v>
      </c>
      <c r="BT295" s="108">
        <f t="shared" si="345"/>
        <v>0</v>
      </c>
      <c r="BU295" s="108">
        <f t="shared" si="346"/>
        <v>0</v>
      </c>
      <c r="BV295" s="108">
        <f t="shared" si="347"/>
        <v>0</v>
      </c>
      <c r="BW295" s="108">
        <f t="shared" si="348"/>
        <v>0</v>
      </c>
      <c r="BX295" s="108">
        <f t="shared" si="349"/>
        <v>0</v>
      </c>
      <c r="BY295" s="106">
        <f t="shared" si="350"/>
        <v>0</v>
      </c>
      <c r="BZ295" s="106">
        <f t="shared" si="351"/>
        <v>0</v>
      </c>
      <c r="CA295" s="106">
        <f t="shared" si="352"/>
        <v>0</v>
      </c>
      <c r="CB295" s="106">
        <f t="shared" si="353"/>
        <v>0</v>
      </c>
      <c r="CC295" s="106">
        <f>IFERROR(Table1[[#This Row],[Labor
Saving]]*Table1[[#This Row],[Annual Volume]],"")</f>
        <v>0</v>
      </c>
      <c r="CD295" s="106">
        <f>IFERROR(Table1[[#This Row],[Annual Volume]]*Table1[[#This Row],[Yield
Saving]],"")</f>
        <v>0</v>
      </c>
      <c r="CE295" s="106">
        <f>IFERROR(Table1[[#This Row],[Annual Volume]]*Table1[[#This Row],[Material
Saving]],"")</f>
        <v>0</v>
      </c>
      <c r="CF295" s="106">
        <f>IFERROR(Table1[[#This Row],[OH
Saving]]*Table1[[#This Row],[Annual Volume]],"")</f>
        <v>0</v>
      </c>
      <c r="CG295" s="106">
        <f>SUM(Table1[[#This Row],[Labor_ASV]:[OH_ASV]])</f>
        <v>0</v>
      </c>
    </row>
    <row r="296" spans="1:85" s="93" customFormat="1" x14ac:dyDescent="0.3">
      <c r="A296" s="93" t="str">
        <f>Table1[[#This Row],[Project Name]]&amp;Table1[[#This Row],[Part Number]]</f>
        <v>Auto Visual AdjustmentR42</v>
      </c>
      <c r="B296" s="93" t="str">
        <f>IFERROR(Table1[[#This Row],[Project Number]]&amp;Table1[[#This Row],[Part Number]],"")</f>
        <v>AME25-095R42</v>
      </c>
      <c r="C296" s="22" t="s">
        <v>205</v>
      </c>
      <c r="D296" s="24" t="s">
        <v>280</v>
      </c>
      <c r="E296" s="86" t="s">
        <v>58</v>
      </c>
      <c r="F296" s="102">
        <f>INDEX(Proj_Reg!G:G,MATCH($C296,Proj_Reg!$B:$B,0),1)</f>
        <v>46296</v>
      </c>
      <c r="G296" s="102">
        <f>INDEX(Proj_Reg!H:H,MATCH($C296,Proj_Reg!$B:$B,0),1)</f>
        <v>46631</v>
      </c>
      <c r="H296" s="102" t="str">
        <f>IF(INDEX(Proj_Reg!C:C,MATCH($C296,Proj_Reg!$B:$B,0),1)=0,"",INDEX(Proj_Reg!C:C,MATCH($C296,Proj_Reg!$B:$B,0),1))</f>
        <v>Visual Inspection</v>
      </c>
      <c r="I296" s="102" t="str">
        <f>IF(INDEX(Proj_Reg!D:D,MATCH($C296,Proj_Reg!$B:$B,0),1)=0,"",INDEX(Proj_Reg!D:D,MATCH($C296,Proj_Reg!$B:$B,0),1))</f>
        <v>XCI</v>
      </c>
      <c r="J296" s="102" t="str">
        <f>INDEX(Proj_Reg!E:E,MATCH($C296,Proj_Reg!$B:$B,0),1)</f>
        <v>Auto Visual Adjustment</v>
      </c>
      <c r="K296" s="21"/>
      <c r="L296" s="21"/>
      <c r="M296" s="21"/>
      <c r="N296" s="21"/>
      <c r="O296" s="103">
        <f>SUM(Table1[[#This Row],[Labor
Saving]:[OH
Saving]])</f>
        <v>0</v>
      </c>
      <c r="P296" s="88"/>
      <c r="Q296" s="40">
        <f t="shared" si="305"/>
        <v>0</v>
      </c>
      <c r="R296" s="40">
        <f t="shared" si="306"/>
        <v>0</v>
      </c>
      <c r="S296" s="40">
        <f t="shared" si="307"/>
        <v>0</v>
      </c>
      <c r="T296" s="40">
        <f t="shared" si="308"/>
        <v>0</v>
      </c>
      <c r="U296" s="40">
        <f t="shared" si="309"/>
        <v>0</v>
      </c>
      <c r="V296" s="40">
        <f t="shared" si="310"/>
        <v>0</v>
      </c>
      <c r="W296" s="40">
        <f t="shared" si="311"/>
        <v>0</v>
      </c>
      <c r="X296" s="40">
        <f t="shared" si="312"/>
        <v>0</v>
      </c>
      <c r="Y296" s="40">
        <f t="shared" si="210"/>
        <v>0</v>
      </c>
      <c r="Z296" s="40">
        <f t="shared" si="313"/>
        <v>2302.1999999999998</v>
      </c>
      <c r="AA296" s="40">
        <f t="shared" si="314"/>
        <v>6627</v>
      </c>
      <c r="AB296" s="40">
        <f t="shared" si="315"/>
        <v>5864</v>
      </c>
      <c r="AC296" s="104">
        <f>SUM(Table1[[#This Row],[Jan]:[Dec]])</f>
        <v>14793.2</v>
      </c>
      <c r="AD296" s="105">
        <f t="shared" si="316"/>
        <v>0</v>
      </c>
      <c r="AE296" s="105">
        <f t="shared" si="317"/>
        <v>0</v>
      </c>
      <c r="AF296" s="105">
        <f t="shared" si="318"/>
        <v>0</v>
      </c>
      <c r="AG296" s="105">
        <f t="shared" si="319"/>
        <v>0</v>
      </c>
      <c r="AH296" s="105">
        <f t="shared" si="320"/>
        <v>0</v>
      </c>
      <c r="AI296" s="105">
        <f t="shared" si="321"/>
        <v>0</v>
      </c>
      <c r="AJ296" s="105">
        <f t="shared" si="322"/>
        <v>0</v>
      </c>
      <c r="AK296" s="105">
        <f t="shared" si="323"/>
        <v>0</v>
      </c>
      <c r="AL296" s="105">
        <f t="shared" si="324"/>
        <v>0</v>
      </c>
      <c r="AM296" s="105">
        <f t="shared" si="325"/>
        <v>0</v>
      </c>
      <c r="AN296" s="105">
        <f t="shared" si="326"/>
        <v>0</v>
      </c>
      <c r="AO296" s="105">
        <f t="shared" si="327"/>
        <v>0</v>
      </c>
      <c r="AP296" s="106">
        <f t="shared" si="328"/>
        <v>0</v>
      </c>
      <c r="AQ296" s="106">
        <f t="shared" si="329"/>
        <v>0</v>
      </c>
      <c r="AR296" s="106">
        <f t="shared" si="330"/>
        <v>0</v>
      </c>
      <c r="AS296" s="106">
        <f t="shared" si="331"/>
        <v>0</v>
      </c>
      <c r="AT296" s="106" t="b">
        <f t="shared" si="332"/>
        <v>1</v>
      </c>
      <c r="AU296" s="106">
        <f t="shared" si="333"/>
        <v>0</v>
      </c>
      <c r="AV296" s="106">
        <f t="shared" si="334"/>
        <v>0</v>
      </c>
      <c r="AW296" s="106">
        <f t="shared" si="335"/>
        <v>0</v>
      </c>
      <c r="AX296" s="106">
        <f t="shared" si="336"/>
        <v>0</v>
      </c>
      <c r="AY296" s="106">
        <f t="shared" si="337"/>
        <v>0</v>
      </c>
      <c r="AZ296" s="107">
        <f>IFERROR(IF($E296="REC",INDEX(A_Type_Volume!$B:$B,MATCH($D296,A_Type_Volume!$A:$A,0),1),IF($E296="VAM",INDEX(C_Type_Volume!$B:$B,MATCH($D296,C_Type_Volume!$A:$A,0),1),"X")),"")</f>
        <v>8187</v>
      </c>
      <c r="BA296" s="107">
        <f>IFERROR(IF($E296="REC",INDEX(A_Type_Volume!$C:$C,MATCH($D296,A_Type_Volume!$A:$A,0),1),IF($E296="VAM",INDEX(C_Type_Volume!$C:$C,MATCH($D296,C_Type_Volume!$A:$A,0),1),"X")),"")</f>
        <v>9088</v>
      </c>
      <c r="BB296" s="107">
        <f>IFERROR(IF($E296="REC",INDEX(A_Type_Volume!$D:$D,MATCH($D296,A_Type_Volume!$A:$A,0),1),IF($E296="VAM",INDEX(C_Type_Volume!$D:$D,MATCH($D296,C_Type_Volume!$A:$A,0),1),"X")),"")</f>
        <v>15175</v>
      </c>
      <c r="BC296" s="107">
        <f>IFERROR(IF($E296="REC",INDEX(A_Type_Volume!$E:$E,MATCH($D296,A_Type_Volume!$A:$A,0),1),IF($E296="VAM",INDEX(C_Type_Volume!$E:$E,MATCH($D296,C_Type_Volume!$A:$A,0),1),"X")),"")</f>
        <v>10374</v>
      </c>
      <c r="BD296" s="107">
        <f>IFERROR(IF($E296="REC",INDEX(A_Type_Volume!$F:$F,MATCH($D296,A_Type_Volume!$A:$A,0),1),IF($E296="VAM",INDEX(C_Type_Volume!$F:$F,MATCH($D296,C_Type_Volume!$A:$A,0),1),"X")),"")</f>
        <v>9677</v>
      </c>
      <c r="BE296" s="107">
        <f>IFERROR(IF($E296="REC",INDEX(A_Type_Volume!$G:$G,MATCH($D296,A_Type_Volume!$A:$A,0),1),IF($E296="VAM",INDEX(C_Type_Volume!$G:$G,MATCH($D296,C_Type_Volume!$A:$A,0),1),"X")),"")</f>
        <v>8038</v>
      </c>
      <c r="BF296" s="107">
        <f>IFERROR(IF($E296="REC",INDEX(A_Type_Volume!$H:$H,MATCH($D296,A_Type_Volume!$A:$A,0),1),IF($E296="VAM",INDEX(C_Type_Volume!$H:$H,MATCH($D296,C_Type_Volume!$A:$A,0),1),"X")),"")</f>
        <v>9244</v>
      </c>
      <c r="BG296" s="107">
        <f>IFERROR(IF($E296="REC",INDEX(A_Type_Volume!$I:$I,MATCH($D296,A_Type_Volume!$A:$A,0),1),IF($E296="VAM",INDEX(C_Type_Volume!$I:$I,MATCH($D296,C_Type_Volume!$A:$A,0),1),"X")),"")</f>
        <v>7234</v>
      </c>
      <c r="BH296" s="107">
        <f>IFERROR(IF($E296="REC",INDEX(A_Type_Volume!$J:$J,MATCH($D296,A_Type_Volume!$A:$A,0),1),IF($E296="VAM",INDEX(C_Type_Volume!$J:$J,MATCH($D296,C_Type_Volume!$A:$A,0),1),"X")),"")</f>
        <v>7325</v>
      </c>
      <c r="BI296" s="107">
        <f>IFERROR(IF($E296="REC",INDEX(A_Type_Volume!$K:$K,MATCH($D296,A_Type_Volume!$A:$A,0),1),IF($E296="VAM",INDEX(C_Type_Volume!$K:$K,MATCH($D296,C_Type_Volume!$A:$A,0),1),"X")),"")</f>
        <v>7674</v>
      </c>
      <c r="BJ296" s="107">
        <f>IFERROR(IF($E296="REC",INDEX(A_Type_Volume!$L:$L,MATCH($D296,A_Type_Volume!$A:$A,0),1),IF($E296="VAM",INDEX(C_Type_Volume!$L:$L,MATCH($D296,C_Type_Volume!$A:$A,0),1),"X")),"")</f>
        <v>6627</v>
      </c>
      <c r="BK296" s="107">
        <f>IFERROR(IF($E296="REC",INDEX(A_Type_Volume!M:M,MATCH($D296,A_Type_Volume!$A:$A,0),1),IF($E296="VAM",INDEX(C_Type_Volume!M:M,MATCH($D296,C_Type_Volume!$A:$A,0),1),"X")),"")</f>
        <v>5864</v>
      </c>
      <c r="BL296" s="100">
        <f>SUM(Table1[[#This Row],[Jan_AVF]:[Dec_AVF]])</f>
        <v>104507</v>
      </c>
      <c r="BM296" s="108">
        <f t="shared" si="338"/>
        <v>0</v>
      </c>
      <c r="BN296" s="108">
        <f t="shared" si="339"/>
        <v>0</v>
      </c>
      <c r="BO296" s="108">
        <f t="shared" si="340"/>
        <v>0</v>
      </c>
      <c r="BP296" s="108">
        <f t="shared" si="341"/>
        <v>0</v>
      </c>
      <c r="BQ296" s="108">
        <f t="shared" si="342"/>
        <v>0</v>
      </c>
      <c r="BR296" s="108">
        <f t="shared" si="343"/>
        <v>0</v>
      </c>
      <c r="BS296" s="108">
        <f t="shared" si="344"/>
        <v>0</v>
      </c>
      <c r="BT296" s="108">
        <f t="shared" si="345"/>
        <v>0</v>
      </c>
      <c r="BU296" s="108">
        <f t="shared" si="346"/>
        <v>0</v>
      </c>
      <c r="BV296" s="108">
        <f t="shared" si="347"/>
        <v>0</v>
      </c>
      <c r="BW296" s="108">
        <f t="shared" si="348"/>
        <v>0</v>
      </c>
      <c r="BX296" s="108">
        <f t="shared" si="349"/>
        <v>0</v>
      </c>
      <c r="BY296" s="106">
        <f t="shared" si="350"/>
        <v>0</v>
      </c>
      <c r="BZ296" s="106">
        <f t="shared" si="351"/>
        <v>0</v>
      </c>
      <c r="CA296" s="106">
        <f t="shared" si="352"/>
        <v>0</v>
      </c>
      <c r="CB296" s="106">
        <f t="shared" si="353"/>
        <v>0</v>
      </c>
      <c r="CC296" s="106">
        <f>IFERROR(Table1[[#This Row],[Labor
Saving]]*Table1[[#This Row],[Annual Volume]],"")</f>
        <v>0</v>
      </c>
      <c r="CD296" s="106">
        <f>IFERROR(Table1[[#This Row],[Annual Volume]]*Table1[[#This Row],[Yield
Saving]],"")</f>
        <v>0</v>
      </c>
      <c r="CE296" s="106">
        <f>IFERROR(Table1[[#This Row],[Annual Volume]]*Table1[[#This Row],[Material
Saving]],"")</f>
        <v>0</v>
      </c>
      <c r="CF296" s="106">
        <f>IFERROR(Table1[[#This Row],[OH
Saving]]*Table1[[#This Row],[Annual Volume]],"")</f>
        <v>0</v>
      </c>
      <c r="CG296" s="106">
        <f>SUM(Table1[[#This Row],[Labor_ASV]:[OH_ASV]])</f>
        <v>0</v>
      </c>
    </row>
    <row r="297" spans="1:85" s="93" customFormat="1" x14ac:dyDescent="0.3">
      <c r="A297" s="93" t="str">
        <f>Table1[[#This Row],[Project Name]]&amp;Table1[[#This Row],[Part Number]]</f>
        <v>Auto Visual AdjustmentR43</v>
      </c>
      <c r="B297" s="93" t="str">
        <f>IFERROR(Table1[[#This Row],[Project Number]]&amp;Table1[[#This Row],[Part Number]],"")</f>
        <v>AME25-095R43</v>
      </c>
      <c r="C297" s="22" t="s">
        <v>205</v>
      </c>
      <c r="D297" s="24" t="s">
        <v>281</v>
      </c>
      <c r="E297" s="86" t="s">
        <v>58</v>
      </c>
      <c r="F297" s="102">
        <f>INDEX(Proj_Reg!G:G,MATCH($C297,Proj_Reg!$B:$B,0),1)</f>
        <v>46296</v>
      </c>
      <c r="G297" s="102">
        <f>INDEX(Proj_Reg!H:H,MATCH($C297,Proj_Reg!$B:$B,0),1)</f>
        <v>46631</v>
      </c>
      <c r="H297" s="102" t="str">
        <f>IF(INDEX(Proj_Reg!C:C,MATCH($C297,Proj_Reg!$B:$B,0),1)=0,"",INDEX(Proj_Reg!C:C,MATCH($C297,Proj_Reg!$B:$B,0),1))</f>
        <v>Visual Inspection</v>
      </c>
      <c r="I297" s="102" t="str">
        <f>IF(INDEX(Proj_Reg!D:D,MATCH($C297,Proj_Reg!$B:$B,0),1)=0,"",INDEX(Proj_Reg!D:D,MATCH($C297,Proj_Reg!$B:$B,0),1))</f>
        <v>XCI</v>
      </c>
      <c r="J297" s="102" t="str">
        <f>INDEX(Proj_Reg!E:E,MATCH($C297,Proj_Reg!$B:$B,0),1)</f>
        <v>Auto Visual Adjustment</v>
      </c>
      <c r="K297" s="21"/>
      <c r="L297" s="21"/>
      <c r="M297" s="21"/>
      <c r="N297" s="21"/>
      <c r="O297" s="103">
        <f>SUM(Table1[[#This Row],[Labor
Saving]:[OH
Saving]])</f>
        <v>0</v>
      </c>
      <c r="P297" s="88"/>
      <c r="Q297" s="40">
        <f t="shared" ref="Q297:AB297" si="354">IFERROR(IF($F297=Q$1,0.3,IF(AND(Q$1&gt;$F297,Q$1&lt;=$G297),100%,0))*AZ297,"")</f>
        <v>0</v>
      </c>
      <c r="R297" s="40">
        <f t="shared" si="354"/>
        <v>0</v>
      </c>
      <c r="S297" s="40">
        <f t="shared" si="354"/>
        <v>0</v>
      </c>
      <c r="T297" s="40">
        <f t="shared" si="354"/>
        <v>0</v>
      </c>
      <c r="U297" s="40">
        <f t="shared" si="354"/>
        <v>0</v>
      </c>
      <c r="V297" s="40">
        <f t="shared" si="354"/>
        <v>0</v>
      </c>
      <c r="W297" s="40">
        <f t="shared" si="354"/>
        <v>0</v>
      </c>
      <c r="X297" s="40">
        <f t="shared" si="354"/>
        <v>0</v>
      </c>
      <c r="Y297" s="40">
        <f t="shared" si="210"/>
        <v>0</v>
      </c>
      <c r="Z297" s="40">
        <f t="shared" si="354"/>
        <v>2720.4</v>
      </c>
      <c r="AA297" s="40">
        <f t="shared" si="354"/>
        <v>7831</v>
      </c>
      <c r="AB297" s="40">
        <f t="shared" si="354"/>
        <v>6929</v>
      </c>
      <c r="AC297" s="104">
        <f>SUM(Table1[[#This Row],[Jan]:[Dec]])</f>
        <v>17480.400000000001</v>
      </c>
      <c r="AD297" s="105">
        <f t="shared" ref="AD297:AO297" si="355">IFERROR($O297*Q297,"")</f>
        <v>0</v>
      </c>
      <c r="AE297" s="105">
        <f t="shared" si="355"/>
        <v>0</v>
      </c>
      <c r="AF297" s="105">
        <f t="shared" si="355"/>
        <v>0</v>
      </c>
      <c r="AG297" s="105">
        <f t="shared" si="355"/>
        <v>0</v>
      </c>
      <c r="AH297" s="105">
        <f t="shared" si="355"/>
        <v>0</v>
      </c>
      <c r="AI297" s="105">
        <f t="shared" si="355"/>
        <v>0</v>
      </c>
      <c r="AJ297" s="105">
        <f t="shared" si="355"/>
        <v>0</v>
      </c>
      <c r="AK297" s="105">
        <f t="shared" si="355"/>
        <v>0</v>
      </c>
      <c r="AL297" s="105">
        <f t="shared" si="355"/>
        <v>0</v>
      </c>
      <c r="AM297" s="105">
        <f t="shared" si="355"/>
        <v>0</v>
      </c>
      <c r="AN297" s="105">
        <f t="shared" si="355"/>
        <v>0</v>
      </c>
      <c r="AO297" s="105">
        <f t="shared" si="355"/>
        <v>0</v>
      </c>
      <c r="AP297" s="106">
        <f>SUM(AD297:AF297)</f>
        <v>0</v>
      </c>
      <c r="AQ297" s="106">
        <f>SUM(AG297:AI297)</f>
        <v>0</v>
      </c>
      <c r="AR297" s="106">
        <f>SUM(AJ297:AL297)</f>
        <v>0</v>
      </c>
      <c r="AS297" s="106">
        <f>SUM(AM297:AO297)</f>
        <v>0</v>
      </c>
      <c r="AT297" s="106" t="b">
        <f>SUM(AD297:AO297)=SUM(AP297:AS297)</f>
        <v>1</v>
      </c>
      <c r="AU297" s="106">
        <f t="shared" ref="AU297:AX299" si="356">IFERROR(K297*SUM($Q297:$AB297),"")</f>
        <v>0</v>
      </c>
      <c r="AV297" s="106">
        <f t="shared" si="356"/>
        <v>0</v>
      </c>
      <c r="AW297" s="106">
        <f t="shared" si="356"/>
        <v>0</v>
      </c>
      <c r="AX297" s="106">
        <f t="shared" si="356"/>
        <v>0</v>
      </c>
      <c r="AY297" s="106">
        <f>SUM(AU297:AX297)</f>
        <v>0</v>
      </c>
      <c r="AZ297" s="107">
        <f>IFERROR(IF($E297="REC",INDEX(A_Type_Volume!$B:$B,MATCH($D297,A_Type_Volume!$A:$A,0),1),IF($E297="VAM",INDEX(C_Type_Volume!$B:$B,MATCH($D297,C_Type_Volume!$A:$A,0),1),"X")),"")</f>
        <v>12022</v>
      </c>
      <c r="BA297" s="107">
        <f>IFERROR(IF($E297="REC",INDEX(A_Type_Volume!$C:$C,MATCH($D297,A_Type_Volume!$A:$A,0),1),IF($E297="VAM",INDEX(C_Type_Volume!$C:$C,MATCH($D297,C_Type_Volume!$A:$A,0),1),"X")),"")</f>
        <v>10436</v>
      </c>
      <c r="BB297" s="107">
        <f>IFERROR(IF($E297="REC",INDEX(A_Type_Volume!$D:$D,MATCH($D297,A_Type_Volume!$A:$A,0),1),IF($E297="VAM",INDEX(C_Type_Volume!$D:$D,MATCH($D297,C_Type_Volume!$A:$A,0),1),"X")),"")</f>
        <v>15238</v>
      </c>
      <c r="BC297" s="107">
        <f>IFERROR(IF($E297="REC",INDEX(A_Type_Volume!$E:$E,MATCH($D297,A_Type_Volume!$A:$A,0),1),IF($E297="VAM",INDEX(C_Type_Volume!$E:$E,MATCH($D297,C_Type_Volume!$A:$A,0),1),"X")),"")</f>
        <v>10690</v>
      </c>
      <c r="BD297" s="107">
        <f>IFERROR(IF($E297="REC",INDEX(A_Type_Volume!$F:$F,MATCH($D297,A_Type_Volume!$A:$A,0),1),IF($E297="VAM",INDEX(C_Type_Volume!$F:$F,MATCH($D297,C_Type_Volume!$A:$A,0),1),"X")),"")</f>
        <v>10139</v>
      </c>
      <c r="BE297" s="107">
        <f>IFERROR(IF($E297="REC",INDEX(A_Type_Volume!$G:$G,MATCH($D297,A_Type_Volume!$A:$A,0),1),IF($E297="VAM",INDEX(C_Type_Volume!$G:$G,MATCH($D297,C_Type_Volume!$A:$A,0),1),"X")),"")</f>
        <v>9498</v>
      </c>
      <c r="BF297" s="107">
        <f>IFERROR(IF($E297="REC",INDEX(A_Type_Volume!$H:$H,MATCH($D297,A_Type_Volume!$A:$A,0),1),IF($E297="VAM",INDEX(C_Type_Volume!$H:$H,MATCH($D297,C_Type_Volume!$A:$A,0),1),"X")),"")</f>
        <v>10923</v>
      </c>
      <c r="BG297" s="107">
        <f>IFERROR(IF($E297="REC",INDEX(A_Type_Volume!$I:$I,MATCH($D297,A_Type_Volume!$A:$A,0),1),IF($E297="VAM",INDEX(C_Type_Volume!$I:$I,MATCH($D297,C_Type_Volume!$A:$A,0),1),"X")),"")</f>
        <v>8548</v>
      </c>
      <c r="BH297" s="107">
        <f>IFERROR(IF($E297="REC",INDEX(A_Type_Volume!$J:$J,MATCH($D297,A_Type_Volume!$A:$A,0),1),IF($E297="VAM",INDEX(C_Type_Volume!$J:$J,MATCH($D297,C_Type_Volume!$A:$A,0),1),"X")),"")</f>
        <v>8656</v>
      </c>
      <c r="BI297" s="107">
        <f>IFERROR(IF($E297="REC",INDEX(A_Type_Volume!$K:$K,MATCH($D297,A_Type_Volume!$A:$A,0),1),IF($E297="VAM",INDEX(C_Type_Volume!$K:$K,MATCH($D297,C_Type_Volume!$A:$A,0),1),"X")),"")</f>
        <v>9068</v>
      </c>
      <c r="BJ297" s="107">
        <f>IFERROR(IF($E297="REC",INDEX(A_Type_Volume!$L:$L,MATCH($D297,A_Type_Volume!$A:$A,0),1),IF($E297="VAM",INDEX(C_Type_Volume!$L:$L,MATCH($D297,C_Type_Volume!$A:$A,0),1),"X")),"")</f>
        <v>7831</v>
      </c>
      <c r="BK297" s="107">
        <f>IFERROR(IF($E297="REC",INDEX(A_Type_Volume!M:M,MATCH($D297,A_Type_Volume!$A:$A,0),1),IF($E297="VAM",INDEX(C_Type_Volume!M:M,MATCH($D297,C_Type_Volume!$A:$A,0),1),"X")),"")</f>
        <v>6929</v>
      </c>
      <c r="BL297" s="100">
        <f>SUM(Table1[[#This Row],[Jan_AVF]:[Dec_AVF]])</f>
        <v>119978</v>
      </c>
      <c r="BM297" s="108">
        <f t="shared" ref="BM297:BX297" si="357">AZ297*$O297</f>
        <v>0</v>
      </c>
      <c r="BN297" s="108">
        <f t="shared" si="357"/>
        <v>0</v>
      </c>
      <c r="BO297" s="108">
        <f t="shared" si="357"/>
        <v>0</v>
      </c>
      <c r="BP297" s="108">
        <f t="shared" si="357"/>
        <v>0</v>
      </c>
      <c r="BQ297" s="108">
        <f t="shared" si="357"/>
        <v>0</v>
      </c>
      <c r="BR297" s="108">
        <f t="shared" si="357"/>
        <v>0</v>
      </c>
      <c r="BS297" s="108">
        <f t="shared" si="357"/>
        <v>0</v>
      </c>
      <c r="BT297" s="108">
        <f t="shared" si="357"/>
        <v>0</v>
      </c>
      <c r="BU297" s="108">
        <f t="shared" si="357"/>
        <v>0</v>
      </c>
      <c r="BV297" s="108">
        <f t="shared" si="357"/>
        <v>0</v>
      </c>
      <c r="BW297" s="108">
        <f t="shared" si="357"/>
        <v>0</v>
      </c>
      <c r="BX297" s="108">
        <f t="shared" si="357"/>
        <v>0</v>
      </c>
      <c r="BY297" s="106">
        <f>IFERROR(SUM(BM297:BO297),"")</f>
        <v>0</v>
      </c>
      <c r="BZ297" s="106">
        <f>IFERROR(SUM(BP297:BR297),"")</f>
        <v>0</v>
      </c>
      <c r="CA297" s="106">
        <f>IFERROR(SUM(BS297:BU297),"")</f>
        <v>0</v>
      </c>
      <c r="CB297" s="106">
        <f>IFERROR(SUM(BV297:BX297),"")</f>
        <v>0</v>
      </c>
      <c r="CC297" s="106">
        <f>IFERROR(Table1[[#This Row],[Labor
Saving]]*Table1[[#This Row],[Annual Volume]],"")</f>
        <v>0</v>
      </c>
      <c r="CD297" s="106">
        <f>IFERROR(Table1[[#This Row],[Annual Volume]]*Table1[[#This Row],[Yield
Saving]],"")</f>
        <v>0</v>
      </c>
      <c r="CE297" s="106">
        <f>IFERROR(Table1[[#This Row],[Annual Volume]]*Table1[[#This Row],[Material
Saving]],"")</f>
        <v>0</v>
      </c>
      <c r="CF297" s="106">
        <f>IFERROR(Table1[[#This Row],[OH
Saving]]*Table1[[#This Row],[Annual Volume]],"")</f>
        <v>0</v>
      </c>
      <c r="CG297" s="106">
        <f>SUM(Table1[[#This Row],[Labor_ASV]:[OH_ASV]])</f>
        <v>0</v>
      </c>
    </row>
    <row r="298" spans="1:85" x14ac:dyDescent="0.3">
      <c r="A298" t="str">
        <f>Table1[[#This Row],[Project Name]]&amp;Table1[[#This Row],[Part Number]]</f>
        <v>New Etching Chemical Hydroflauric AcidV7</v>
      </c>
      <c r="B298" t="str">
        <f>IFERROR(Table1[[#This Row],[Project Number]]&amp;Table1[[#This Row],[Part Number]],"")</f>
        <v>AME25-068V7</v>
      </c>
      <c r="C298" s="47" t="s">
        <v>115</v>
      </c>
      <c r="D298" s="75" t="s">
        <v>219</v>
      </c>
      <c r="E298" s="76" t="s">
        <v>60</v>
      </c>
      <c r="F298" s="77">
        <f>INDEX(Proj_Reg!G:G,MATCH($C298,Proj_Reg!$B:$B,0),1)</f>
        <v>46266</v>
      </c>
      <c r="G298" s="77">
        <f>INDEX(Proj_Reg!H:H,MATCH($C298,Proj_Reg!$B:$B,0),1)</f>
        <v>46600</v>
      </c>
      <c r="H298" s="77" t="str">
        <f>IF(INDEX(Proj_Reg!C:C,MATCH($C298,Proj_Reg!$B:$B,0),1)=0,"",INDEX(Proj_Reg!C:C,MATCH($C298,Proj_Reg!$B:$B,0),1))</f>
        <v>Wet Etching</v>
      </c>
      <c r="I298" s="77" t="str">
        <f>IF(INDEX(Proj_Reg!D:D,MATCH($C298,Proj_Reg!$B:$B,0),1)=0,"",INDEX(Proj_Reg!D:D,MATCH($C298,Proj_Reg!$B:$B,0),1))</f>
        <v>XWP</v>
      </c>
      <c r="J298" s="77" t="str">
        <f>INDEX(Proj_Reg!E:E,MATCH($C298,Proj_Reg!$B:$B,0),1)</f>
        <v>New Etching Chemical Hydroflauric Acid</v>
      </c>
      <c r="K298" s="21"/>
      <c r="L298" s="21"/>
      <c r="M298" s="21"/>
      <c r="N298" s="21"/>
      <c r="O298" s="79">
        <f>SUM(Table1[[#This Row],[Labor
Saving]:[OH
Saving]])</f>
        <v>0</v>
      </c>
      <c r="P298" s="42"/>
      <c r="Q298" s="80">
        <f t="shared" ref="Q298:X299" si="358">IFERROR(IF($F298=Q$1,0.3,IF(AND(Q$1&gt;$F298,Q$1&lt;=$G298),100%,0))*AZ298,"")</f>
        <v>0</v>
      </c>
      <c r="R298" s="80">
        <f t="shared" si="358"/>
        <v>0</v>
      </c>
      <c r="S298" s="80">
        <f t="shared" si="358"/>
        <v>0</v>
      </c>
      <c r="T298" s="80">
        <f t="shared" si="358"/>
        <v>0</v>
      </c>
      <c r="U298" s="80">
        <f t="shared" si="358"/>
        <v>0</v>
      </c>
      <c r="V298" s="80">
        <f t="shared" si="358"/>
        <v>0</v>
      </c>
      <c r="W298" s="80">
        <f t="shared" si="358"/>
        <v>0</v>
      </c>
      <c r="X298" s="80">
        <f t="shared" si="358"/>
        <v>0</v>
      </c>
      <c r="Y298" s="80">
        <f t="shared" si="210"/>
        <v>16608.2</v>
      </c>
      <c r="Z298" s="80">
        <f t="shared" ref="Z298:AB299" si="359">IFERROR(IF($F298=Z$1,0.3,IF(AND(Z$1&gt;$F298,Z$1&lt;=$G298),100%,0))*BI298,"")</f>
        <v>24983</v>
      </c>
      <c r="AA298" s="80">
        <f t="shared" si="359"/>
        <v>22565</v>
      </c>
      <c r="AB298" s="80">
        <f t="shared" si="359"/>
        <v>20148</v>
      </c>
      <c r="AC298" s="81">
        <f>SUM(Table1[[#This Row],[Jan]:[Dec]])</f>
        <v>84304.2</v>
      </c>
      <c r="AD298" s="82">
        <f t="shared" ref="AD298:AO299" si="360">IFERROR($O298*Q298,"")</f>
        <v>0</v>
      </c>
      <c r="AE298" s="82">
        <f t="shared" si="360"/>
        <v>0</v>
      </c>
      <c r="AF298" s="82">
        <f t="shared" si="360"/>
        <v>0</v>
      </c>
      <c r="AG298" s="82">
        <f t="shared" si="360"/>
        <v>0</v>
      </c>
      <c r="AH298" s="82">
        <f t="shared" si="360"/>
        <v>0</v>
      </c>
      <c r="AI298" s="82">
        <f t="shared" si="360"/>
        <v>0</v>
      </c>
      <c r="AJ298" s="82">
        <f t="shared" si="360"/>
        <v>0</v>
      </c>
      <c r="AK298" s="82">
        <f t="shared" si="360"/>
        <v>0</v>
      </c>
      <c r="AL298" s="82">
        <f t="shared" si="360"/>
        <v>0</v>
      </c>
      <c r="AM298" s="82">
        <f t="shared" si="360"/>
        <v>0</v>
      </c>
      <c r="AN298" s="82">
        <f t="shared" si="360"/>
        <v>0</v>
      </c>
      <c r="AO298" s="82">
        <f t="shared" si="360"/>
        <v>0</v>
      </c>
      <c r="AP298" s="83">
        <f>SUM(AD298:AF298)</f>
        <v>0</v>
      </c>
      <c r="AQ298" s="83">
        <f>SUM(AG298:AI298)</f>
        <v>0</v>
      </c>
      <c r="AR298" s="83">
        <f>SUM(AJ298:AL298)</f>
        <v>0</v>
      </c>
      <c r="AS298" s="83">
        <f>SUM(AM298:AO298)</f>
        <v>0</v>
      </c>
      <c r="AT298" s="83" t="b">
        <f>SUM(AD298:AO298)=SUM(AP298:AS298)</f>
        <v>1</v>
      </c>
      <c r="AU298" s="83">
        <f t="shared" si="356"/>
        <v>0</v>
      </c>
      <c r="AV298" s="83">
        <f t="shared" si="356"/>
        <v>0</v>
      </c>
      <c r="AW298" s="83">
        <f t="shared" si="356"/>
        <v>0</v>
      </c>
      <c r="AX298" s="83">
        <f t="shared" si="356"/>
        <v>0</v>
      </c>
      <c r="AY298" s="83">
        <f>SUM(AU298:AX298)</f>
        <v>0</v>
      </c>
      <c r="AZ298" s="84">
        <f>IFERROR(IF($E298="REC",INDEX(A_Type_Volume!$B:$B,MATCH($D298,A_Type_Volume!$A:$A,0),1),IF($E298="VAM",INDEX(C_Type_Volume!$B:$B,MATCH($D298,C_Type_Volume!$A:$A,0),1),"X")),"")</f>
        <v>0</v>
      </c>
      <c r="BA298" s="84">
        <f>IFERROR(IF($E298="REC",INDEX(A_Type_Volume!$C:$C,MATCH($D298,A_Type_Volume!$A:$A,0),1),IF($E298="VAM",INDEX(C_Type_Volume!$C:$C,MATCH($D298,C_Type_Volume!$A:$A,0),1),"X")),"")</f>
        <v>33412</v>
      </c>
      <c r="BB298" s="84">
        <f>IFERROR(IF($E298="REC",INDEX(A_Type_Volume!$D:$D,MATCH($D298,A_Type_Volume!$A:$A,0),1),IF($E298="VAM",INDEX(C_Type_Volume!$D:$D,MATCH($D298,C_Type_Volume!$A:$A,0),1),"X")),"")</f>
        <v>0</v>
      </c>
      <c r="BC298" s="84">
        <f>IFERROR(IF($E298="REC",INDEX(A_Type_Volume!$E:$E,MATCH($D298,A_Type_Volume!$A:$A,0),1),IF($E298="VAM",INDEX(C_Type_Volume!$E:$E,MATCH($D298,C_Type_Volume!$A:$A,0),1),"X")),"")</f>
        <v>15689</v>
      </c>
      <c r="BD298" s="84">
        <f>IFERROR(IF($E298="REC",INDEX(A_Type_Volume!$F:$F,MATCH($D298,A_Type_Volume!$A:$A,0),1),IF($E298="VAM",INDEX(C_Type_Volume!$F:$F,MATCH($D298,C_Type_Volume!$A:$A,0),1),"X")),"")</f>
        <v>18199</v>
      </c>
      <c r="BE298" s="84">
        <f>IFERROR(IF($E298="REC",INDEX(A_Type_Volume!$G:$G,MATCH($D298,A_Type_Volume!$A:$A,0),1),IF($E298="VAM",INDEX(C_Type_Volume!$G:$G,MATCH($D298,C_Type_Volume!$A:$A,0),1),"X")),"")</f>
        <v>17572</v>
      </c>
      <c r="BF298" s="84">
        <f>IFERROR(IF($E298="REC",INDEX(A_Type_Volume!$H:$H,MATCH($D298,A_Type_Volume!$A:$A,0),1),IF($E298="VAM",INDEX(C_Type_Volume!$H:$H,MATCH($D298,C_Type_Volume!$A:$A,0),1),"X")),"")</f>
        <v>23726</v>
      </c>
      <c r="BG298" s="84">
        <f>IFERROR(IF($E298="REC",INDEX(A_Type_Volume!$I:$I,MATCH($D298,A_Type_Volume!$A:$A,0),1),IF($E298="VAM",INDEX(C_Type_Volume!$I:$I,MATCH($D298,C_Type_Volume!$A:$A,0),1),"X")),"")</f>
        <v>22908</v>
      </c>
      <c r="BH298" s="84">
        <f>IFERROR(IF($E298="REC",INDEX(A_Type_Volume!$J:$J,MATCH($D298,A_Type_Volume!$A:$A,0),1),IF($E298="VAM",INDEX(C_Type_Volume!$J:$J,MATCH($D298,C_Type_Volume!$A:$A,0),1),"X")),"")</f>
        <v>23726</v>
      </c>
      <c r="BI298" s="84">
        <f>IFERROR(IF($E298="REC",INDEX(A_Type_Volume!$K:$K,MATCH($D298,A_Type_Volume!$A:$A,0),1),IF($E298="VAM",INDEX(C_Type_Volume!$K:$K,MATCH($D298,C_Type_Volume!$A:$A,0),1),"X")),"")</f>
        <v>24983</v>
      </c>
      <c r="BJ298" s="84">
        <f>IFERROR(IF($E298="REC",INDEX(A_Type_Volume!$L:$L,MATCH($D298,A_Type_Volume!$A:$A,0),1),IF($E298="VAM",INDEX(C_Type_Volume!$L:$L,MATCH($D298,C_Type_Volume!$A:$A,0),1),"X")),"")</f>
        <v>22565</v>
      </c>
      <c r="BK298" s="84">
        <f>IFERROR(IF($E298="REC",INDEX(A_Type_Volume!M:M,MATCH($D298,A_Type_Volume!$A:$A,0),1),IF($E298="VAM",INDEX(C_Type_Volume!M:M,MATCH($D298,C_Type_Volume!$A:$A,0),1),"X")),"")</f>
        <v>20148</v>
      </c>
      <c r="BL298" s="38">
        <f>SUM(Table1[[#This Row],[Jan_AVF]:[Dec_AVF]])</f>
        <v>222928</v>
      </c>
      <c r="BM298" s="85">
        <f t="shared" ref="BM298:BX299" si="361">AZ298*$O298</f>
        <v>0</v>
      </c>
      <c r="BN298" s="85">
        <f t="shared" si="361"/>
        <v>0</v>
      </c>
      <c r="BO298" s="85">
        <f t="shared" si="361"/>
        <v>0</v>
      </c>
      <c r="BP298" s="85">
        <f t="shared" si="361"/>
        <v>0</v>
      </c>
      <c r="BQ298" s="85">
        <f t="shared" si="361"/>
        <v>0</v>
      </c>
      <c r="BR298" s="85">
        <f t="shared" si="361"/>
        <v>0</v>
      </c>
      <c r="BS298" s="85">
        <f t="shared" si="361"/>
        <v>0</v>
      </c>
      <c r="BT298" s="85">
        <f t="shared" si="361"/>
        <v>0</v>
      </c>
      <c r="BU298" s="85">
        <f t="shared" si="361"/>
        <v>0</v>
      </c>
      <c r="BV298" s="85">
        <f t="shared" si="361"/>
        <v>0</v>
      </c>
      <c r="BW298" s="85">
        <f t="shared" si="361"/>
        <v>0</v>
      </c>
      <c r="BX298" s="85">
        <f t="shared" si="361"/>
        <v>0</v>
      </c>
      <c r="BY298" s="83">
        <f>IFERROR(SUM(BM298:BO298),"")</f>
        <v>0</v>
      </c>
      <c r="BZ298" s="83">
        <f>IFERROR(SUM(BP298:BR298),"")</f>
        <v>0</v>
      </c>
      <c r="CA298" s="83">
        <f>IFERROR(SUM(BS298:BU298),"")</f>
        <v>0</v>
      </c>
      <c r="CB298" s="83">
        <f>IFERROR(SUM(BV298:BX298),"")</f>
        <v>0</v>
      </c>
      <c r="CC298" s="83">
        <f>IFERROR(Table1[[#This Row],[Labor
Saving]]*Table1[[#This Row],[Annual Volume]],"")</f>
        <v>0</v>
      </c>
      <c r="CD298" s="83">
        <f>IFERROR(Table1[[#This Row],[Annual Volume]]*Table1[[#This Row],[Yield
Saving]],"")</f>
        <v>0</v>
      </c>
      <c r="CE298" s="83">
        <f>IFERROR(Table1[[#This Row],[Annual Volume]]*Table1[[#This Row],[Material
Saving]],"")</f>
        <v>0</v>
      </c>
      <c r="CF298" s="83">
        <f>IFERROR(Table1[[#This Row],[OH
Saving]]*Table1[[#This Row],[Annual Volume]],"")</f>
        <v>0</v>
      </c>
      <c r="CG298" s="83">
        <f>SUM(Table1[[#This Row],[Labor_ASV]:[OH_ASV]])</f>
        <v>0</v>
      </c>
    </row>
    <row r="299" spans="1:85" x14ac:dyDescent="0.3">
      <c r="A299" t="str">
        <f>Table1[[#This Row],[Project Name]]&amp;Table1[[#This Row],[Part Number]]</f>
        <v>New Etching Chemical Hydroflauric AcidV8</v>
      </c>
      <c r="B299" t="str">
        <f>IFERROR(Table1[[#This Row],[Project Number]]&amp;Table1[[#This Row],[Part Number]],"")</f>
        <v>AME25-068V8</v>
      </c>
      <c r="C299" s="47" t="s">
        <v>115</v>
      </c>
      <c r="D299" s="75" t="s">
        <v>220</v>
      </c>
      <c r="E299" s="76" t="s">
        <v>60</v>
      </c>
      <c r="F299" s="77">
        <f>INDEX(Proj_Reg!G:G,MATCH($C299,Proj_Reg!$B:$B,0),1)</f>
        <v>46266</v>
      </c>
      <c r="G299" s="77">
        <f>INDEX(Proj_Reg!H:H,MATCH($C299,Proj_Reg!$B:$B,0),1)</f>
        <v>46600</v>
      </c>
      <c r="H299" s="77" t="str">
        <f>IF(INDEX(Proj_Reg!C:C,MATCH($C299,Proj_Reg!$B:$B,0),1)=0,"",INDEX(Proj_Reg!C:C,MATCH($C299,Proj_Reg!$B:$B,0),1))</f>
        <v>Wet Etching</v>
      </c>
      <c r="I299" s="77" t="str">
        <f>IF(INDEX(Proj_Reg!D:D,MATCH($C299,Proj_Reg!$B:$B,0),1)=0,"",INDEX(Proj_Reg!D:D,MATCH($C299,Proj_Reg!$B:$B,0),1))</f>
        <v>XWP</v>
      </c>
      <c r="J299" s="77" t="str">
        <f>INDEX(Proj_Reg!E:E,MATCH($C299,Proj_Reg!$B:$B,0),1)</f>
        <v>New Etching Chemical Hydroflauric Acid</v>
      </c>
      <c r="K299" s="78"/>
      <c r="L299" s="21"/>
      <c r="M299" s="21"/>
      <c r="N299" s="21"/>
      <c r="O299" s="79">
        <f>SUM(Table1[[#This Row],[Labor
Saving]:[OH
Saving]])</f>
        <v>0</v>
      </c>
      <c r="P299" s="42"/>
      <c r="Q299" s="40">
        <f t="shared" si="358"/>
        <v>0</v>
      </c>
      <c r="R299" s="40">
        <f t="shared" si="358"/>
        <v>0</v>
      </c>
      <c r="S299" s="40">
        <f t="shared" si="358"/>
        <v>0</v>
      </c>
      <c r="T299" s="40">
        <f t="shared" si="358"/>
        <v>0</v>
      </c>
      <c r="U299" s="40">
        <f t="shared" si="358"/>
        <v>0</v>
      </c>
      <c r="V299" s="40">
        <f t="shared" si="358"/>
        <v>0</v>
      </c>
      <c r="W299" s="40">
        <f t="shared" si="358"/>
        <v>0</v>
      </c>
      <c r="X299" s="40">
        <f t="shared" si="358"/>
        <v>0</v>
      </c>
      <c r="Y299" s="40">
        <f t="shared" si="210"/>
        <v>12516</v>
      </c>
      <c r="Z299" s="40">
        <f t="shared" si="359"/>
        <v>8739</v>
      </c>
      <c r="AA299" s="40">
        <f t="shared" si="359"/>
        <v>7893</v>
      </c>
      <c r="AB299" s="40">
        <f t="shared" si="359"/>
        <v>7047</v>
      </c>
      <c r="AC299" s="81">
        <f>SUM(Table1[[#This Row],[Jan]:[Dec]])</f>
        <v>36195</v>
      </c>
      <c r="AD299" s="82">
        <f t="shared" si="360"/>
        <v>0</v>
      </c>
      <c r="AE299" s="82">
        <f t="shared" si="360"/>
        <v>0</v>
      </c>
      <c r="AF299" s="82">
        <f t="shared" si="360"/>
        <v>0</v>
      </c>
      <c r="AG299" s="82">
        <f t="shared" si="360"/>
        <v>0</v>
      </c>
      <c r="AH299" s="82">
        <f t="shared" si="360"/>
        <v>0</v>
      </c>
      <c r="AI299" s="82">
        <f t="shared" si="360"/>
        <v>0</v>
      </c>
      <c r="AJ299" s="82">
        <f t="shared" si="360"/>
        <v>0</v>
      </c>
      <c r="AK299" s="82">
        <f t="shared" si="360"/>
        <v>0</v>
      </c>
      <c r="AL299" s="82">
        <f t="shared" si="360"/>
        <v>0</v>
      </c>
      <c r="AM299" s="82">
        <f t="shared" si="360"/>
        <v>0</v>
      </c>
      <c r="AN299" s="82">
        <f t="shared" si="360"/>
        <v>0</v>
      </c>
      <c r="AO299" s="82">
        <f t="shared" si="360"/>
        <v>0</v>
      </c>
      <c r="AP299" s="83">
        <f>SUM(AD299:AF299)</f>
        <v>0</v>
      </c>
      <c r="AQ299" s="83">
        <f>SUM(AG299:AI299)</f>
        <v>0</v>
      </c>
      <c r="AR299" s="83">
        <f>SUM(AJ299:AL299)</f>
        <v>0</v>
      </c>
      <c r="AS299" s="83">
        <f>SUM(AM299:AO299)</f>
        <v>0</v>
      </c>
      <c r="AT299" s="83" t="b">
        <f>SUM(AD299:AO299)=SUM(AP299:AS299)</f>
        <v>1</v>
      </c>
      <c r="AU299" s="83">
        <f t="shared" si="356"/>
        <v>0</v>
      </c>
      <c r="AV299" s="83">
        <f t="shared" si="356"/>
        <v>0</v>
      </c>
      <c r="AW299" s="83">
        <f t="shared" si="356"/>
        <v>0</v>
      </c>
      <c r="AX299" s="83">
        <f t="shared" si="356"/>
        <v>0</v>
      </c>
      <c r="AY299" s="83">
        <f>SUM(AU299:AX299)</f>
        <v>0</v>
      </c>
      <c r="AZ299" s="84">
        <f>IFERROR(IF($E299="REC",INDEX(A_Type_Volume!$B:$B,MATCH($D299,A_Type_Volume!$A:$A,0),1),IF($E299="VAM",INDEX(C_Type_Volume!$B:$B,MATCH($D299,C_Type_Volume!$A:$A,0),1),"X")),"")</f>
        <v>0</v>
      </c>
      <c r="BA299" s="84">
        <f>IFERROR(IF($E299="REC",INDEX(A_Type_Volume!$C:$C,MATCH($D299,A_Type_Volume!$A:$A,0),1),IF($E299="VAM",INDEX(C_Type_Volume!$C:$C,MATCH($D299,C_Type_Volume!$A:$A,0),1),"X")),"")</f>
        <v>8127</v>
      </c>
      <c r="BB299" s="84">
        <f>IFERROR(IF($E299="REC",INDEX(A_Type_Volume!$D:$D,MATCH($D299,A_Type_Volume!$A:$A,0),1),IF($E299="VAM",INDEX(C_Type_Volume!$D:$D,MATCH($D299,C_Type_Volume!$A:$A,0),1),"X")),"")</f>
        <v>0</v>
      </c>
      <c r="BC299" s="84">
        <f>IFERROR(IF($E299="REC",INDEX(A_Type_Volume!$E:$E,MATCH($D299,A_Type_Volume!$A:$A,0),1),IF($E299="VAM",INDEX(C_Type_Volume!$E:$E,MATCH($D299,C_Type_Volume!$A:$A,0),1),"X")),"")</f>
        <v>13412</v>
      </c>
      <c r="BD299" s="84">
        <f>IFERROR(IF($E299="REC",INDEX(A_Type_Volume!$F:$F,MATCH($D299,A_Type_Volume!$A:$A,0),1),IF($E299="VAM",INDEX(C_Type_Volume!$F:$F,MATCH($D299,C_Type_Volume!$A:$A,0),1),"X")),"")</f>
        <v>15558</v>
      </c>
      <c r="BE299" s="84">
        <f>IFERROR(IF($E299="REC",INDEX(A_Type_Volume!$G:$G,MATCH($D299,A_Type_Volume!$A:$A,0),1),IF($E299="VAM",INDEX(C_Type_Volume!$G:$G,MATCH($D299,C_Type_Volume!$A:$A,0),1),"X")),"")</f>
        <v>15022</v>
      </c>
      <c r="BF299" s="84">
        <f>IFERROR(IF($E299="REC",INDEX(A_Type_Volume!$H:$H,MATCH($D299,A_Type_Volume!$A:$A,0),1),IF($E299="VAM",INDEX(C_Type_Volume!$H:$H,MATCH($D299,C_Type_Volume!$A:$A,0),1),"X")),"")</f>
        <v>17880</v>
      </c>
      <c r="BG299" s="84">
        <f>IFERROR(IF($E299="REC",INDEX(A_Type_Volume!$I:$I,MATCH($D299,A_Type_Volume!$A:$A,0),1),IF($E299="VAM",INDEX(C_Type_Volume!$I:$I,MATCH($D299,C_Type_Volume!$A:$A,0),1),"X")),"")</f>
        <v>17263</v>
      </c>
      <c r="BH299" s="84">
        <f>IFERROR(IF($E299="REC",INDEX(A_Type_Volume!$J:$J,MATCH($D299,A_Type_Volume!$A:$A,0),1),IF($E299="VAM",INDEX(C_Type_Volume!$J:$J,MATCH($D299,C_Type_Volume!$A:$A,0),1),"X")),"")</f>
        <v>17880</v>
      </c>
      <c r="BI299" s="84">
        <f>IFERROR(IF($E299="REC",INDEX(A_Type_Volume!$K:$K,MATCH($D299,A_Type_Volume!$A:$A,0),1),IF($E299="VAM",INDEX(C_Type_Volume!$K:$K,MATCH($D299,C_Type_Volume!$A:$A,0),1),"X")),"")</f>
        <v>8739</v>
      </c>
      <c r="BJ299" s="84">
        <f>IFERROR(IF($E299="REC",INDEX(A_Type_Volume!$L:$L,MATCH($D299,A_Type_Volume!$A:$A,0),1),IF($E299="VAM",INDEX(C_Type_Volume!$L:$L,MATCH($D299,C_Type_Volume!$A:$A,0),1),"X")),"")</f>
        <v>7893</v>
      </c>
      <c r="BK299" s="84">
        <f>IFERROR(IF($E299="REC",INDEX(A_Type_Volume!M:M,MATCH($D299,A_Type_Volume!$A:$A,0),1),IF($E299="VAM",INDEX(C_Type_Volume!M:M,MATCH($D299,C_Type_Volume!$A:$A,0),1),"X")),"")</f>
        <v>7047</v>
      </c>
      <c r="BL299" s="38">
        <f>SUM(Table1[[#This Row],[Jan_AVF]:[Dec_AVF]])</f>
        <v>128821</v>
      </c>
      <c r="BM299" s="85">
        <f t="shared" si="361"/>
        <v>0</v>
      </c>
      <c r="BN299" s="85">
        <f t="shared" si="361"/>
        <v>0</v>
      </c>
      <c r="BO299" s="85">
        <f t="shared" si="361"/>
        <v>0</v>
      </c>
      <c r="BP299" s="85">
        <f t="shared" si="361"/>
        <v>0</v>
      </c>
      <c r="BQ299" s="85">
        <f t="shared" si="361"/>
        <v>0</v>
      </c>
      <c r="BR299" s="85">
        <f t="shared" si="361"/>
        <v>0</v>
      </c>
      <c r="BS299" s="85">
        <f t="shared" si="361"/>
        <v>0</v>
      </c>
      <c r="BT299" s="85">
        <f t="shared" si="361"/>
        <v>0</v>
      </c>
      <c r="BU299" s="85">
        <f t="shared" si="361"/>
        <v>0</v>
      </c>
      <c r="BV299" s="85">
        <f t="shared" si="361"/>
        <v>0</v>
      </c>
      <c r="BW299" s="85">
        <f t="shared" si="361"/>
        <v>0</v>
      </c>
      <c r="BX299" s="85">
        <f t="shared" si="361"/>
        <v>0</v>
      </c>
      <c r="BY299" s="83">
        <f>IFERROR(SUM(BM299:BO299),"")</f>
        <v>0</v>
      </c>
      <c r="BZ299" s="83">
        <f>IFERROR(SUM(BP299:BR299),"")</f>
        <v>0</v>
      </c>
      <c r="CA299" s="83">
        <f>IFERROR(SUM(BS299:BU299),"")</f>
        <v>0</v>
      </c>
      <c r="CB299" s="83">
        <f>IFERROR(SUM(BV299:BX299),"")</f>
        <v>0</v>
      </c>
      <c r="CC299" s="83">
        <f>IFERROR(Table1[[#This Row],[Labor
Saving]]*Table1[[#This Row],[Annual Volume]],"")</f>
        <v>0</v>
      </c>
      <c r="CD299" s="83">
        <f>IFERROR(Table1[[#This Row],[Annual Volume]]*Table1[[#This Row],[Yield
Saving]],"")</f>
        <v>0</v>
      </c>
      <c r="CE299" s="83">
        <f>IFERROR(Table1[[#This Row],[Annual Volume]]*Table1[[#This Row],[Material
Saving]],"")</f>
        <v>0</v>
      </c>
      <c r="CF299" s="83">
        <f>IFERROR(Table1[[#This Row],[OH
Saving]]*Table1[[#This Row],[Annual Volume]],"")</f>
        <v>0</v>
      </c>
      <c r="CG299" s="83">
        <f>SUM(Table1[[#This Row],[Labor_ASV]:[OH_ASV]])</f>
        <v>0</v>
      </c>
    </row>
    <row r="300" spans="1:85" x14ac:dyDescent="0.3">
      <c r="A300" t="str">
        <f>Table1[[#This Row],[Project Name]]&amp;Table1[[#This Row],[Part Number]]</f>
        <v>New Etching Chemical Hydroflauric AcidV9</v>
      </c>
      <c r="B300" t="str">
        <f>IFERROR(Table1[[#This Row],[Project Number]]&amp;Table1[[#This Row],[Part Number]],"")</f>
        <v>AME25-068V9</v>
      </c>
      <c r="C300" s="47" t="s">
        <v>115</v>
      </c>
      <c r="D300" s="75" t="s">
        <v>221</v>
      </c>
      <c r="E300" s="76" t="s">
        <v>60</v>
      </c>
      <c r="F300" s="77">
        <f>INDEX(Proj_Reg!G:G,MATCH($C300,Proj_Reg!$B:$B,0),1)</f>
        <v>46266</v>
      </c>
      <c r="G300" s="77">
        <f>INDEX(Proj_Reg!H:H,MATCH($C300,Proj_Reg!$B:$B,0),1)</f>
        <v>46600</v>
      </c>
      <c r="H300" s="77" t="str">
        <f>IF(INDEX(Proj_Reg!C:C,MATCH($C300,Proj_Reg!$B:$B,0),1)=0,"",INDEX(Proj_Reg!C:C,MATCH($C300,Proj_Reg!$B:$B,0),1))</f>
        <v>Wet Etching</v>
      </c>
      <c r="I300" s="77" t="str">
        <f>IF(INDEX(Proj_Reg!D:D,MATCH($C300,Proj_Reg!$B:$B,0),1)=0,"",INDEX(Proj_Reg!D:D,MATCH($C300,Proj_Reg!$B:$B,0),1))</f>
        <v>XWP</v>
      </c>
      <c r="J300" s="77" t="str">
        <f>INDEX(Proj_Reg!E:E,MATCH($C300,Proj_Reg!$B:$B,0),1)</f>
        <v>New Etching Chemical Hydroflauric Acid</v>
      </c>
      <c r="K300" s="78"/>
      <c r="L300" s="21"/>
      <c r="M300" s="21"/>
      <c r="N300" s="21"/>
      <c r="O300" s="79">
        <f>SUM(Table1[[#This Row],[Labor
Saving]:[OH
Saving]])</f>
        <v>0</v>
      </c>
      <c r="P300" s="42"/>
      <c r="Q300" s="40">
        <f t="shared" ref="Q300:Q319" si="362">IFERROR(IF($F300=Q$1,0.3,IF(AND(Q$1&gt;$F300,Q$1&lt;=$G300),100%,0))*AZ300,"")</f>
        <v>0</v>
      </c>
      <c r="R300" s="40">
        <f t="shared" ref="R300:R319" si="363">IFERROR(IF($F300=R$1,0.3,IF(AND(R$1&gt;$F300,R$1&lt;=$G300),100%,0))*BA300,"")</f>
        <v>0</v>
      </c>
      <c r="S300" s="40">
        <f t="shared" ref="S300:S319" si="364">IFERROR(IF($F300=S$1,0.3,IF(AND(S$1&gt;$F300,S$1&lt;=$G300),100%,0))*BB300,"")</f>
        <v>0</v>
      </c>
      <c r="T300" s="40">
        <f t="shared" ref="T300:T319" si="365">IFERROR(IF($F300=T$1,0.3,IF(AND(T$1&gt;$F300,T$1&lt;=$G300),100%,0))*BC300,"")</f>
        <v>0</v>
      </c>
      <c r="U300" s="40">
        <f t="shared" ref="U300:U319" si="366">IFERROR(IF($F300=U$1,0.3,IF(AND(U$1&gt;$F300,U$1&lt;=$G300),100%,0))*BD300,"")</f>
        <v>0</v>
      </c>
      <c r="V300" s="40">
        <f t="shared" ref="V300:V319" si="367">IFERROR(IF($F300=V$1,0.3,IF(AND(V$1&gt;$F300,V$1&lt;=$G300),100%,0))*BE300,"")</f>
        <v>0</v>
      </c>
      <c r="W300" s="40">
        <f t="shared" ref="W300:W319" si="368">IFERROR(IF($F300=W$1,0.3,IF(AND(W$1&gt;$F300,W$1&lt;=$G300),100%,0))*BF300,"")</f>
        <v>0</v>
      </c>
      <c r="X300" s="40">
        <f t="shared" ref="X300:X319" si="369">IFERROR(IF($F300=X$1,0.3,IF(AND(X$1&gt;$F300,X$1&lt;=$G300),100%,0))*BG300,"")</f>
        <v>0</v>
      </c>
      <c r="Y300" s="40">
        <f t="shared" si="210"/>
        <v>57994.999999999993</v>
      </c>
      <c r="Z300" s="40">
        <f t="shared" ref="Z300:Z319" si="370">IFERROR(IF($F300=Z$1,0.3,IF(AND(Z$1&gt;$F300,Z$1&lt;=$G300),100%,0))*BI300,"")</f>
        <v>89636</v>
      </c>
      <c r="AA300" s="40">
        <f t="shared" ref="AA300:AA319" si="371">IFERROR(IF($F300=AA$1,0.3,IF(AND(AA$1&gt;$F300,AA$1&lt;=$G300),100%,0))*BJ300,"")</f>
        <v>80962</v>
      </c>
      <c r="AB300" s="40">
        <f t="shared" ref="AB300:AB319" si="372">IFERROR(IF($F300=AB$1,0.3,IF(AND(AB$1&gt;$F300,AB$1&lt;=$G300),100%,0))*BK300,"")</f>
        <v>72287</v>
      </c>
      <c r="AC300" s="81">
        <f>SUM(Table1[[#This Row],[Jan]:[Dec]])</f>
        <v>300880</v>
      </c>
      <c r="AD300" s="82">
        <f t="shared" ref="AD300:AD319" si="373">IFERROR($O300*Q300,"")</f>
        <v>0</v>
      </c>
      <c r="AE300" s="82">
        <f t="shared" ref="AE300:AE319" si="374">IFERROR($O300*R300,"")</f>
        <v>0</v>
      </c>
      <c r="AF300" s="82">
        <f t="shared" ref="AF300:AF319" si="375">IFERROR($O300*S300,"")</f>
        <v>0</v>
      </c>
      <c r="AG300" s="82">
        <f t="shared" ref="AG300:AG319" si="376">IFERROR($O300*T300,"")</f>
        <v>0</v>
      </c>
      <c r="AH300" s="82">
        <f t="shared" ref="AH300:AH319" si="377">IFERROR($O300*U300,"")</f>
        <v>0</v>
      </c>
      <c r="AI300" s="82">
        <f t="shared" ref="AI300:AI319" si="378">IFERROR($O300*V300,"")</f>
        <v>0</v>
      </c>
      <c r="AJ300" s="82">
        <f t="shared" ref="AJ300:AJ319" si="379">IFERROR($O300*W300,"")</f>
        <v>0</v>
      </c>
      <c r="AK300" s="82">
        <f t="shared" ref="AK300:AK319" si="380">IFERROR($O300*X300,"")</f>
        <v>0</v>
      </c>
      <c r="AL300" s="82">
        <f t="shared" ref="AL300:AL319" si="381">IFERROR($O300*Y300,"")</f>
        <v>0</v>
      </c>
      <c r="AM300" s="82">
        <f t="shared" ref="AM300:AM319" si="382">IFERROR($O300*Z300,"")</f>
        <v>0</v>
      </c>
      <c r="AN300" s="82">
        <f t="shared" ref="AN300:AN319" si="383">IFERROR($O300*AA300,"")</f>
        <v>0</v>
      </c>
      <c r="AO300" s="82">
        <f t="shared" ref="AO300:AO319" si="384">IFERROR($O300*AB300,"")</f>
        <v>0</v>
      </c>
      <c r="AP300" s="83">
        <f t="shared" ref="AP300:AP319" si="385">SUM(AD300:AF300)</f>
        <v>0</v>
      </c>
      <c r="AQ300" s="83">
        <f t="shared" ref="AQ300:AQ319" si="386">SUM(AG300:AI300)</f>
        <v>0</v>
      </c>
      <c r="AR300" s="83">
        <f t="shared" ref="AR300:AR319" si="387">SUM(AJ300:AL300)</f>
        <v>0</v>
      </c>
      <c r="AS300" s="83">
        <f t="shared" ref="AS300:AS319" si="388">SUM(AM300:AO300)</f>
        <v>0</v>
      </c>
      <c r="AT300" s="83" t="b">
        <f t="shared" ref="AT300:AT319" si="389">SUM(AD300:AO300)=SUM(AP300:AS300)</f>
        <v>1</v>
      </c>
      <c r="AU300" s="83">
        <f t="shared" ref="AU300:AU319" si="390">IFERROR(K300*SUM($Q300:$AB300),"")</f>
        <v>0</v>
      </c>
      <c r="AV300" s="83">
        <f t="shared" ref="AV300:AV319" si="391">IFERROR(L300*SUM($Q300:$AB300),"")</f>
        <v>0</v>
      </c>
      <c r="AW300" s="83">
        <f t="shared" ref="AW300:AW319" si="392">IFERROR(M300*SUM($Q300:$AB300),"")</f>
        <v>0</v>
      </c>
      <c r="AX300" s="83">
        <f t="shared" ref="AX300:AX319" si="393">IFERROR(N300*SUM($Q300:$AB300),"")</f>
        <v>0</v>
      </c>
      <c r="AY300" s="83">
        <f t="shared" ref="AY300:AY319" si="394">SUM(AU300:AX300)</f>
        <v>0</v>
      </c>
      <c r="AZ300" s="84">
        <f>IFERROR(IF($E300="REC",INDEX(A_Type_Volume!$B:$B,MATCH($D300,A_Type_Volume!$A:$A,0),1),IF($E300="VAM",INDEX(C_Type_Volume!$B:$B,MATCH($D300,C_Type_Volume!$A:$A,0),1),"X")),"")</f>
        <v>92359</v>
      </c>
      <c r="BA300" s="84">
        <f>IFERROR(IF($E300="REC",INDEX(A_Type_Volume!$C:$C,MATCH($D300,A_Type_Volume!$A:$A,0),1),IF($E300="VAM",INDEX(C_Type_Volume!$C:$C,MATCH($D300,C_Type_Volume!$A:$A,0),1),"X")),"")</f>
        <v>73146</v>
      </c>
      <c r="BB300" s="84">
        <f>IFERROR(IF($E300="REC",INDEX(A_Type_Volume!$D:$D,MATCH($D300,A_Type_Volume!$A:$A,0),1),IF($E300="VAM",INDEX(C_Type_Volume!$D:$D,MATCH($D300,C_Type_Volume!$A:$A,0),1),"X")),"")</f>
        <v>33673</v>
      </c>
      <c r="BC300" s="84">
        <f>IFERROR(IF($E300="REC",INDEX(A_Type_Volume!$E:$E,MATCH($D300,A_Type_Volume!$A:$A,0),1),IF($E300="VAM",INDEX(C_Type_Volume!$E:$E,MATCH($D300,C_Type_Volume!$A:$A,0),1),"X")),"")</f>
        <v>69903</v>
      </c>
      <c r="BD300" s="84">
        <f>IFERROR(IF($E300="REC",INDEX(A_Type_Volume!$F:$F,MATCH($D300,A_Type_Volume!$A:$A,0),1),IF($E300="VAM",INDEX(C_Type_Volume!$F:$F,MATCH($D300,C_Type_Volume!$A:$A,0),1),"X")),"")</f>
        <v>81087</v>
      </c>
      <c r="BE300" s="84">
        <f>IFERROR(IF($E300="REC",INDEX(A_Type_Volume!$G:$G,MATCH($D300,A_Type_Volume!$A:$A,0),1),IF($E300="VAM",INDEX(C_Type_Volume!$G:$G,MATCH($D300,C_Type_Volume!$A:$A,0),1),"X")),"")</f>
        <v>78291</v>
      </c>
      <c r="BF300" s="84">
        <f>IFERROR(IF($E300="REC",INDEX(A_Type_Volume!$H:$H,MATCH($D300,A_Type_Volume!$A:$A,0),1),IF($E300="VAM",INDEX(C_Type_Volume!$H:$H,MATCH($D300,C_Type_Volume!$A:$A,0),1),"X")),"")</f>
        <v>82850</v>
      </c>
      <c r="BG300" s="84">
        <f>IFERROR(IF($E300="REC",INDEX(A_Type_Volume!$I:$I,MATCH($D300,A_Type_Volume!$A:$A,0),1),IF($E300="VAM",INDEX(C_Type_Volume!$I:$I,MATCH($D300,C_Type_Volume!$A:$A,0),1),"X")),"")</f>
        <v>79993</v>
      </c>
      <c r="BH300" s="84">
        <f>IFERROR(IF($E300="REC",INDEX(A_Type_Volume!$J:$J,MATCH($D300,A_Type_Volume!$A:$A,0),1),IF($E300="VAM",INDEX(C_Type_Volume!$J:$J,MATCH($D300,C_Type_Volume!$A:$A,0),1),"X")),"")</f>
        <v>82850</v>
      </c>
      <c r="BI300" s="84">
        <f>IFERROR(IF($E300="REC",INDEX(A_Type_Volume!$K:$K,MATCH($D300,A_Type_Volume!$A:$A,0),1),IF($E300="VAM",INDEX(C_Type_Volume!$K:$K,MATCH($D300,C_Type_Volume!$A:$A,0),1),"X")),"")</f>
        <v>89636</v>
      </c>
      <c r="BJ300" s="84">
        <f>IFERROR(IF($E300="REC",INDEX(A_Type_Volume!$L:$L,MATCH($D300,A_Type_Volume!$A:$A,0),1),IF($E300="VAM",INDEX(C_Type_Volume!$L:$L,MATCH($D300,C_Type_Volume!$A:$A,0),1),"X")),"")</f>
        <v>80962</v>
      </c>
      <c r="BK300" s="84">
        <f>IFERROR(IF($E300="REC",INDEX(A_Type_Volume!M:M,MATCH($D300,A_Type_Volume!$A:$A,0),1),IF($E300="VAM",INDEX(C_Type_Volume!M:M,MATCH($D300,C_Type_Volume!$A:$A,0),1),"X")),"")</f>
        <v>72287</v>
      </c>
      <c r="BL300" s="38">
        <f>SUM(Table1[[#This Row],[Jan_AVF]:[Dec_AVF]])</f>
        <v>917037</v>
      </c>
      <c r="BM300" s="85">
        <f t="shared" ref="BM300:BM319" si="395">AZ300*$O300</f>
        <v>0</v>
      </c>
      <c r="BN300" s="85">
        <f t="shared" ref="BN300:BN319" si="396">BA300*$O300</f>
        <v>0</v>
      </c>
      <c r="BO300" s="85">
        <f t="shared" ref="BO300:BO319" si="397">BB300*$O300</f>
        <v>0</v>
      </c>
      <c r="BP300" s="85">
        <f t="shared" ref="BP300:BP319" si="398">BC300*$O300</f>
        <v>0</v>
      </c>
      <c r="BQ300" s="85">
        <f t="shared" ref="BQ300:BQ319" si="399">BD300*$O300</f>
        <v>0</v>
      </c>
      <c r="BR300" s="85">
        <f t="shared" ref="BR300:BR319" si="400">BE300*$O300</f>
        <v>0</v>
      </c>
      <c r="BS300" s="85">
        <f t="shared" ref="BS300:BS319" si="401">BF300*$O300</f>
        <v>0</v>
      </c>
      <c r="BT300" s="85">
        <f t="shared" ref="BT300:BT319" si="402">BG300*$O300</f>
        <v>0</v>
      </c>
      <c r="BU300" s="85">
        <f t="shared" ref="BU300:BU319" si="403">BH300*$O300</f>
        <v>0</v>
      </c>
      <c r="BV300" s="85">
        <f t="shared" ref="BV300:BV319" si="404">BI300*$O300</f>
        <v>0</v>
      </c>
      <c r="BW300" s="85">
        <f t="shared" ref="BW300:BW319" si="405">BJ300*$O300</f>
        <v>0</v>
      </c>
      <c r="BX300" s="85">
        <f t="shared" ref="BX300:BX319" si="406">BK300*$O300</f>
        <v>0</v>
      </c>
      <c r="BY300" s="83">
        <f t="shared" ref="BY300:BY319" si="407">IFERROR(SUM(BM300:BO300),"")</f>
        <v>0</v>
      </c>
      <c r="BZ300" s="83">
        <f t="shared" ref="BZ300:BZ319" si="408">IFERROR(SUM(BP300:BR300),"")</f>
        <v>0</v>
      </c>
      <c r="CA300" s="83">
        <f t="shared" ref="CA300:CA319" si="409">IFERROR(SUM(BS300:BU300),"")</f>
        <v>0</v>
      </c>
      <c r="CB300" s="83">
        <f t="shared" ref="CB300:CB319" si="410">IFERROR(SUM(BV300:BX300),"")</f>
        <v>0</v>
      </c>
      <c r="CC300" s="83">
        <f>IFERROR(Table1[[#This Row],[Labor
Saving]]*Table1[[#This Row],[Annual Volume]],"")</f>
        <v>0</v>
      </c>
      <c r="CD300" s="83">
        <f>IFERROR(Table1[[#This Row],[Annual Volume]]*Table1[[#This Row],[Yield
Saving]],"")</f>
        <v>0</v>
      </c>
      <c r="CE300" s="83">
        <f>IFERROR(Table1[[#This Row],[Annual Volume]]*Table1[[#This Row],[Material
Saving]],"")</f>
        <v>0</v>
      </c>
      <c r="CF300" s="83">
        <f>IFERROR(Table1[[#This Row],[OH
Saving]]*Table1[[#This Row],[Annual Volume]],"")</f>
        <v>0</v>
      </c>
      <c r="CG300" s="83">
        <f>SUM(Table1[[#This Row],[Labor_ASV]:[OH_ASV]])</f>
        <v>0</v>
      </c>
    </row>
    <row r="301" spans="1:85" x14ac:dyDescent="0.3">
      <c r="A301" t="str">
        <f>Table1[[#This Row],[Project Name]]&amp;Table1[[#This Row],[Part Number]]</f>
        <v>New Etching Chemical Hydroflauric AcidV10</v>
      </c>
      <c r="B301" t="str">
        <f>IFERROR(Table1[[#This Row],[Project Number]]&amp;Table1[[#This Row],[Part Number]],"")</f>
        <v>AME25-068V10</v>
      </c>
      <c r="C301" s="47" t="s">
        <v>115</v>
      </c>
      <c r="D301" s="75" t="s">
        <v>222</v>
      </c>
      <c r="E301" s="76" t="s">
        <v>60</v>
      </c>
      <c r="F301" s="77">
        <f>INDEX(Proj_Reg!G:G,MATCH($C301,Proj_Reg!$B:$B,0),1)</f>
        <v>46266</v>
      </c>
      <c r="G301" s="77">
        <f>INDEX(Proj_Reg!H:H,MATCH($C301,Proj_Reg!$B:$B,0),1)</f>
        <v>46600</v>
      </c>
      <c r="H301" s="77" t="str">
        <f>IF(INDEX(Proj_Reg!C:C,MATCH($C301,Proj_Reg!$B:$B,0),1)=0,"",INDEX(Proj_Reg!C:C,MATCH($C301,Proj_Reg!$B:$B,0),1))</f>
        <v>Wet Etching</v>
      </c>
      <c r="I301" s="77" t="str">
        <f>IF(INDEX(Proj_Reg!D:D,MATCH($C301,Proj_Reg!$B:$B,0),1)=0,"",INDEX(Proj_Reg!D:D,MATCH($C301,Proj_Reg!$B:$B,0),1))</f>
        <v>XWP</v>
      </c>
      <c r="J301" s="77" t="str">
        <f>INDEX(Proj_Reg!E:E,MATCH($C301,Proj_Reg!$B:$B,0),1)</f>
        <v>New Etching Chemical Hydroflauric Acid</v>
      </c>
      <c r="K301" s="78"/>
      <c r="L301" s="21"/>
      <c r="M301" s="21"/>
      <c r="N301" s="21"/>
      <c r="O301" s="79">
        <f>SUM(Table1[[#This Row],[Labor
Saving]:[OH
Saving]])</f>
        <v>0</v>
      </c>
      <c r="P301" s="42"/>
      <c r="Q301" s="40">
        <f t="shared" si="362"/>
        <v>0</v>
      </c>
      <c r="R301" s="40">
        <f t="shared" si="363"/>
        <v>0</v>
      </c>
      <c r="S301" s="40">
        <f t="shared" si="364"/>
        <v>0</v>
      </c>
      <c r="T301" s="40">
        <f t="shared" si="365"/>
        <v>0</v>
      </c>
      <c r="U301" s="40">
        <f t="shared" si="366"/>
        <v>0</v>
      </c>
      <c r="V301" s="40">
        <f t="shared" si="367"/>
        <v>0</v>
      </c>
      <c r="W301" s="40">
        <f t="shared" si="368"/>
        <v>0</v>
      </c>
      <c r="X301" s="40">
        <f t="shared" si="369"/>
        <v>0</v>
      </c>
      <c r="Y301" s="40">
        <f t="shared" si="210"/>
        <v>54929.7</v>
      </c>
      <c r="Z301" s="40">
        <f t="shared" si="370"/>
        <v>84644</v>
      </c>
      <c r="AA301" s="40">
        <f t="shared" si="371"/>
        <v>76453</v>
      </c>
      <c r="AB301" s="40">
        <f t="shared" si="372"/>
        <v>68262</v>
      </c>
      <c r="AC301" s="81">
        <f>SUM(Table1[[#This Row],[Jan]:[Dec]])</f>
        <v>284288.7</v>
      </c>
      <c r="AD301" s="82">
        <f t="shared" si="373"/>
        <v>0</v>
      </c>
      <c r="AE301" s="82">
        <f t="shared" si="374"/>
        <v>0</v>
      </c>
      <c r="AF301" s="82">
        <f t="shared" si="375"/>
        <v>0</v>
      </c>
      <c r="AG301" s="82">
        <f t="shared" si="376"/>
        <v>0</v>
      </c>
      <c r="AH301" s="82">
        <f t="shared" si="377"/>
        <v>0</v>
      </c>
      <c r="AI301" s="82">
        <f t="shared" si="378"/>
        <v>0</v>
      </c>
      <c r="AJ301" s="82">
        <f t="shared" si="379"/>
        <v>0</v>
      </c>
      <c r="AK301" s="82">
        <f t="shared" si="380"/>
        <v>0</v>
      </c>
      <c r="AL301" s="82">
        <f t="shared" si="381"/>
        <v>0</v>
      </c>
      <c r="AM301" s="82">
        <f t="shared" si="382"/>
        <v>0</v>
      </c>
      <c r="AN301" s="82">
        <f t="shared" si="383"/>
        <v>0</v>
      </c>
      <c r="AO301" s="82">
        <f t="shared" si="384"/>
        <v>0</v>
      </c>
      <c r="AP301" s="83">
        <f t="shared" si="385"/>
        <v>0</v>
      </c>
      <c r="AQ301" s="83">
        <f t="shared" si="386"/>
        <v>0</v>
      </c>
      <c r="AR301" s="83">
        <f t="shared" si="387"/>
        <v>0</v>
      </c>
      <c r="AS301" s="83">
        <f t="shared" si="388"/>
        <v>0</v>
      </c>
      <c r="AT301" s="83" t="b">
        <f t="shared" si="389"/>
        <v>1</v>
      </c>
      <c r="AU301" s="83">
        <f t="shared" si="390"/>
        <v>0</v>
      </c>
      <c r="AV301" s="83">
        <f t="shared" si="391"/>
        <v>0</v>
      </c>
      <c r="AW301" s="83">
        <f t="shared" si="392"/>
        <v>0</v>
      </c>
      <c r="AX301" s="83">
        <f t="shared" si="393"/>
        <v>0</v>
      </c>
      <c r="AY301" s="83">
        <f t="shared" si="394"/>
        <v>0</v>
      </c>
      <c r="AZ301" s="84">
        <f>IFERROR(IF($E301="REC",INDEX(A_Type_Volume!$B:$B,MATCH($D301,A_Type_Volume!$A:$A,0),1),IF($E301="VAM",INDEX(C_Type_Volume!$B:$B,MATCH($D301,C_Type_Volume!$A:$A,0),1),"X")),"")</f>
        <v>52278</v>
      </c>
      <c r="BA301" s="84">
        <f>IFERROR(IF($E301="REC",INDEX(A_Type_Volume!$C:$C,MATCH($D301,A_Type_Volume!$A:$A,0),1),IF($E301="VAM",INDEX(C_Type_Volume!$C:$C,MATCH($D301,C_Type_Volume!$A:$A,0),1),"X")),"")</f>
        <v>65922</v>
      </c>
      <c r="BB301" s="84">
        <f>IFERROR(IF($E301="REC",INDEX(A_Type_Volume!$D:$D,MATCH($D301,A_Type_Volume!$A:$A,0),1),IF($E301="VAM",INDEX(C_Type_Volume!$D:$D,MATCH($D301,C_Type_Volume!$A:$A,0),1),"X")),"")</f>
        <v>150797</v>
      </c>
      <c r="BC301" s="84">
        <f>IFERROR(IF($E301="REC",INDEX(A_Type_Volume!$E:$E,MATCH($D301,A_Type_Volume!$A:$A,0),1),IF($E301="VAM",INDEX(C_Type_Volume!$E:$E,MATCH($D301,C_Type_Volume!$A:$A,0),1),"X")),"")</f>
        <v>67044</v>
      </c>
      <c r="BD301" s="84">
        <f>IFERROR(IF($E301="REC",INDEX(A_Type_Volume!$F:$F,MATCH($D301,A_Type_Volume!$A:$A,0),1),IF($E301="VAM",INDEX(C_Type_Volume!$F:$F,MATCH($D301,C_Type_Volume!$A:$A,0),1),"X")),"")</f>
        <v>77771</v>
      </c>
      <c r="BE301" s="84">
        <f>IFERROR(IF($E301="REC",INDEX(A_Type_Volume!$G:$G,MATCH($D301,A_Type_Volume!$A:$A,0),1),IF($E301="VAM",INDEX(C_Type_Volume!$G:$G,MATCH($D301,C_Type_Volume!$A:$A,0),1),"X")),"")</f>
        <v>75090</v>
      </c>
      <c r="BF301" s="84">
        <f>IFERROR(IF($E301="REC",INDEX(A_Type_Volume!$H:$H,MATCH($D301,A_Type_Volume!$A:$A,0),1),IF($E301="VAM",INDEX(C_Type_Volume!$H:$H,MATCH($D301,C_Type_Volume!$A:$A,0),1),"X")),"")</f>
        <v>78471</v>
      </c>
      <c r="BG301" s="84">
        <f>IFERROR(IF($E301="REC",INDEX(A_Type_Volume!$I:$I,MATCH($D301,A_Type_Volume!$A:$A,0),1),IF($E301="VAM",INDEX(C_Type_Volume!$I:$I,MATCH($D301,C_Type_Volume!$A:$A,0),1),"X")),"")</f>
        <v>75765</v>
      </c>
      <c r="BH301" s="84">
        <f>IFERROR(IF($E301="REC",INDEX(A_Type_Volume!$J:$J,MATCH($D301,A_Type_Volume!$A:$A,0),1),IF($E301="VAM",INDEX(C_Type_Volume!$J:$J,MATCH($D301,C_Type_Volume!$A:$A,0),1),"X")),"")</f>
        <v>78471</v>
      </c>
      <c r="BI301" s="84">
        <f>IFERROR(IF($E301="REC",INDEX(A_Type_Volume!$K:$K,MATCH($D301,A_Type_Volume!$A:$A,0),1),IF($E301="VAM",INDEX(C_Type_Volume!$K:$K,MATCH($D301,C_Type_Volume!$A:$A,0),1),"X")),"")</f>
        <v>84644</v>
      </c>
      <c r="BJ301" s="84">
        <f>IFERROR(IF($E301="REC",INDEX(A_Type_Volume!$L:$L,MATCH($D301,A_Type_Volume!$A:$A,0),1),IF($E301="VAM",INDEX(C_Type_Volume!$L:$L,MATCH($D301,C_Type_Volume!$A:$A,0),1),"X")),"")</f>
        <v>76453</v>
      </c>
      <c r="BK301" s="84">
        <f>IFERROR(IF($E301="REC",INDEX(A_Type_Volume!M:M,MATCH($D301,A_Type_Volume!$A:$A,0),1),IF($E301="VAM",INDEX(C_Type_Volume!M:M,MATCH($D301,C_Type_Volume!$A:$A,0),1),"X")),"")</f>
        <v>68262</v>
      </c>
      <c r="BL301" s="38">
        <f>SUM(Table1[[#This Row],[Jan_AVF]:[Dec_AVF]])</f>
        <v>950968</v>
      </c>
      <c r="BM301" s="85">
        <f t="shared" si="395"/>
        <v>0</v>
      </c>
      <c r="BN301" s="85">
        <f t="shared" si="396"/>
        <v>0</v>
      </c>
      <c r="BO301" s="85">
        <f t="shared" si="397"/>
        <v>0</v>
      </c>
      <c r="BP301" s="85">
        <f t="shared" si="398"/>
        <v>0</v>
      </c>
      <c r="BQ301" s="85">
        <f t="shared" si="399"/>
        <v>0</v>
      </c>
      <c r="BR301" s="85">
        <f t="shared" si="400"/>
        <v>0</v>
      </c>
      <c r="BS301" s="85">
        <f t="shared" si="401"/>
        <v>0</v>
      </c>
      <c r="BT301" s="85">
        <f t="shared" si="402"/>
        <v>0</v>
      </c>
      <c r="BU301" s="85">
        <f t="shared" si="403"/>
        <v>0</v>
      </c>
      <c r="BV301" s="85">
        <f t="shared" si="404"/>
        <v>0</v>
      </c>
      <c r="BW301" s="85">
        <f t="shared" si="405"/>
        <v>0</v>
      </c>
      <c r="BX301" s="85">
        <f t="shared" si="406"/>
        <v>0</v>
      </c>
      <c r="BY301" s="83">
        <f t="shared" si="407"/>
        <v>0</v>
      </c>
      <c r="BZ301" s="83">
        <f t="shared" si="408"/>
        <v>0</v>
      </c>
      <c r="CA301" s="83">
        <f t="shared" si="409"/>
        <v>0</v>
      </c>
      <c r="CB301" s="83">
        <f t="shared" si="410"/>
        <v>0</v>
      </c>
      <c r="CC301" s="83">
        <f>IFERROR(Table1[[#This Row],[Labor
Saving]]*Table1[[#This Row],[Annual Volume]],"")</f>
        <v>0</v>
      </c>
      <c r="CD301" s="83">
        <f>IFERROR(Table1[[#This Row],[Annual Volume]]*Table1[[#This Row],[Yield
Saving]],"")</f>
        <v>0</v>
      </c>
      <c r="CE301" s="83">
        <f>IFERROR(Table1[[#This Row],[Annual Volume]]*Table1[[#This Row],[Material
Saving]],"")</f>
        <v>0</v>
      </c>
      <c r="CF301" s="83">
        <f>IFERROR(Table1[[#This Row],[OH
Saving]]*Table1[[#This Row],[Annual Volume]],"")</f>
        <v>0</v>
      </c>
      <c r="CG301" s="83">
        <f>SUM(Table1[[#This Row],[Labor_ASV]:[OH_ASV]])</f>
        <v>0</v>
      </c>
    </row>
    <row r="302" spans="1:85" x14ac:dyDescent="0.3">
      <c r="A302" t="str">
        <f>Table1[[#This Row],[Project Name]]&amp;Table1[[#This Row],[Part Number]]</f>
        <v>New Etching Chemical Hydroflauric AcidV11</v>
      </c>
      <c r="B302" t="str">
        <f>IFERROR(Table1[[#This Row],[Project Number]]&amp;Table1[[#This Row],[Part Number]],"")</f>
        <v>AME25-068V11</v>
      </c>
      <c r="C302" s="47" t="s">
        <v>115</v>
      </c>
      <c r="D302" s="75" t="s">
        <v>223</v>
      </c>
      <c r="E302" s="76" t="s">
        <v>60</v>
      </c>
      <c r="F302" s="77">
        <f>INDEX(Proj_Reg!G:G,MATCH($C302,Proj_Reg!$B:$B,0),1)</f>
        <v>46266</v>
      </c>
      <c r="G302" s="77">
        <f>INDEX(Proj_Reg!H:H,MATCH($C302,Proj_Reg!$B:$B,0),1)</f>
        <v>46600</v>
      </c>
      <c r="H302" s="77" t="str">
        <f>IF(INDEX(Proj_Reg!C:C,MATCH($C302,Proj_Reg!$B:$B,0),1)=0,"",INDEX(Proj_Reg!C:C,MATCH($C302,Proj_Reg!$B:$B,0),1))</f>
        <v>Wet Etching</v>
      </c>
      <c r="I302" s="77" t="str">
        <f>IF(INDEX(Proj_Reg!D:D,MATCH($C302,Proj_Reg!$B:$B,0),1)=0,"",INDEX(Proj_Reg!D:D,MATCH($C302,Proj_Reg!$B:$B,0),1))</f>
        <v>XWP</v>
      </c>
      <c r="J302" s="77" t="str">
        <f>INDEX(Proj_Reg!E:E,MATCH($C302,Proj_Reg!$B:$B,0),1)</f>
        <v>New Etching Chemical Hydroflauric Acid</v>
      </c>
      <c r="K302" s="78"/>
      <c r="L302" s="21"/>
      <c r="M302" s="21"/>
      <c r="N302" s="21"/>
      <c r="O302" s="79">
        <f>SUM(Table1[[#This Row],[Labor
Saving]:[OH
Saving]])</f>
        <v>0</v>
      </c>
      <c r="P302" s="42"/>
      <c r="Q302" s="40">
        <f t="shared" si="362"/>
        <v>0</v>
      </c>
      <c r="R302" s="40">
        <f t="shared" si="363"/>
        <v>0</v>
      </c>
      <c r="S302" s="40">
        <f t="shared" si="364"/>
        <v>0</v>
      </c>
      <c r="T302" s="40">
        <f t="shared" si="365"/>
        <v>0</v>
      </c>
      <c r="U302" s="40">
        <f t="shared" si="366"/>
        <v>0</v>
      </c>
      <c r="V302" s="40">
        <f t="shared" si="367"/>
        <v>0</v>
      </c>
      <c r="W302" s="40">
        <f t="shared" si="368"/>
        <v>0</v>
      </c>
      <c r="X302" s="40">
        <f t="shared" si="369"/>
        <v>0</v>
      </c>
      <c r="Y302" s="40">
        <f t="shared" si="210"/>
        <v>105000</v>
      </c>
      <c r="Z302" s="40">
        <f t="shared" si="370"/>
        <v>160250</v>
      </c>
      <c r="AA302" s="40">
        <f t="shared" si="371"/>
        <v>144742</v>
      </c>
      <c r="AB302" s="40">
        <f t="shared" si="372"/>
        <v>129234</v>
      </c>
      <c r="AC302" s="81">
        <f>SUM(Table1[[#This Row],[Jan]:[Dec]])</f>
        <v>539226</v>
      </c>
      <c r="AD302" s="82">
        <f t="shared" si="373"/>
        <v>0</v>
      </c>
      <c r="AE302" s="82">
        <f t="shared" si="374"/>
        <v>0</v>
      </c>
      <c r="AF302" s="82">
        <f t="shared" si="375"/>
        <v>0</v>
      </c>
      <c r="AG302" s="82">
        <f t="shared" si="376"/>
        <v>0</v>
      </c>
      <c r="AH302" s="82">
        <f t="shared" si="377"/>
        <v>0</v>
      </c>
      <c r="AI302" s="82">
        <f t="shared" si="378"/>
        <v>0</v>
      </c>
      <c r="AJ302" s="82">
        <f t="shared" si="379"/>
        <v>0</v>
      </c>
      <c r="AK302" s="82">
        <f t="shared" si="380"/>
        <v>0</v>
      </c>
      <c r="AL302" s="82">
        <f t="shared" si="381"/>
        <v>0</v>
      </c>
      <c r="AM302" s="82">
        <f t="shared" si="382"/>
        <v>0</v>
      </c>
      <c r="AN302" s="82">
        <f t="shared" si="383"/>
        <v>0</v>
      </c>
      <c r="AO302" s="82">
        <f t="shared" si="384"/>
        <v>0</v>
      </c>
      <c r="AP302" s="83">
        <f t="shared" si="385"/>
        <v>0</v>
      </c>
      <c r="AQ302" s="83">
        <f t="shared" si="386"/>
        <v>0</v>
      </c>
      <c r="AR302" s="83">
        <f t="shared" si="387"/>
        <v>0</v>
      </c>
      <c r="AS302" s="83">
        <f t="shared" si="388"/>
        <v>0</v>
      </c>
      <c r="AT302" s="83" t="b">
        <f t="shared" si="389"/>
        <v>1</v>
      </c>
      <c r="AU302" s="83">
        <f t="shared" si="390"/>
        <v>0</v>
      </c>
      <c r="AV302" s="83">
        <f t="shared" si="391"/>
        <v>0</v>
      </c>
      <c r="AW302" s="83">
        <f t="shared" si="392"/>
        <v>0</v>
      </c>
      <c r="AX302" s="83">
        <f t="shared" si="393"/>
        <v>0</v>
      </c>
      <c r="AY302" s="83">
        <f t="shared" si="394"/>
        <v>0</v>
      </c>
      <c r="AZ302" s="84">
        <f>IFERROR(IF($E302="REC",INDEX(A_Type_Volume!$B:$B,MATCH($D302,A_Type_Volume!$A:$A,0),1),IF($E302="VAM",INDEX(C_Type_Volume!$B:$B,MATCH($D302,C_Type_Volume!$A:$A,0),1),"X")),"")</f>
        <v>169905</v>
      </c>
      <c r="BA302" s="84">
        <f>IFERROR(IF($E302="REC",INDEX(A_Type_Volume!$C:$C,MATCH($D302,A_Type_Volume!$A:$A,0),1),IF($E302="VAM",INDEX(C_Type_Volume!$C:$C,MATCH($D302,C_Type_Volume!$A:$A,0),1),"X")),"")</f>
        <v>97528</v>
      </c>
      <c r="BB302" s="84">
        <f>IFERROR(IF($E302="REC",INDEX(A_Type_Volume!$D:$D,MATCH($D302,A_Type_Volume!$A:$A,0),1),IF($E302="VAM",INDEX(C_Type_Volume!$D:$D,MATCH($D302,C_Type_Volume!$A:$A,0),1),"X")),"")</f>
        <v>178614</v>
      </c>
      <c r="BC302" s="84">
        <f>IFERROR(IF($E302="REC",INDEX(A_Type_Volume!$E:$E,MATCH($D302,A_Type_Volume!$A:$A,0),1),IF($E302="VAM",INDEX(C_Type_Volume!$E:$E,MATCH($D302,C_Type_Volume!$A:$A,0),1),"X")),"")</f>
        <v>136091</v>
      </c>
      <c r="BD302" s="84">
        <f>IFERROR(IF($E302="REC",INDEX(A_Type_Volume!$F:$F,MATCH($D302,A_Type_Volume!$A:$A,0),1),IF($E302="VAM",INDEX(C_Type_Volume!$F:$F,MATCH($D302,C_Type_Volume!$A:$A,0),1),"X")),"")</f>
        <v>157866</v>
      </c>
      <c r="BE302" s="84">
        <f>IFERROR(IF($E302="REC",INDEX(A_Type_Volume!$G:$G,MATCH($D302,A_Type_Volume!$A:$A,0),1),IF($E302="VAM",INDEX(C_Type_Volume!$G:$G,MATCH($D302,C_Type_Volume!$A:$A,0),1),"X")),"")</f>
        <v>152422</v>
      </c>
      <c r="BF302" s="84">
        <f>IFERROR(IF($E302="REC",INDEX(A_Type_Volume!$H:$H,MATCH($D302,A_Type_Volume!$A:$A,0),1),IF($E302="VAM",INDEX(C_Type_Volume!$H:$H,MATCH($D302,C_Type_Volume!$A:$A,0),1),"X")),"")</f>
        <v>150000</v>
      </c>
      <c r="BG302" s="84">
        <f>IFERROR(IF($E302="REC",INDEX(A_Type_Volume!$I:$I,MATCH($D302,A_Type_Volume!$A:$A,0),1),IF($E302="VAM",INDEX(C_Type_Volume!$I:$I,MATCH($D302,C_Type_Volume!$A:$A,0),1),"X")),"")</f>
        <v>144828</v>
      </c>
      <c r="BH302" s="84">
        <f>IFERROR(IF($E302="REC",INDEX(A_Type_Volume!$J:$J,MATCH($D302,A_Type_Volume!$A:$A,0),1),IF($E302="VAM",INDEX(C_Type_Volume!$J:$J,MATCH($D302,C_Type_Volume!$A:$A,0),1),"X")),"")</f>
        <v>150000</v>
      </c>
      <c r="BI302" s="84">
        <f>IFERROR(IF($E302="REC",INDEX(A_Type_Volume!$K:$K,MATCH($D302,A_Type_Volume!$A:$A,0),1),IF($E302="VAM",INDEX(C_Type_Volume!$K:$K,MATCH($D302,C_Type_Volume!$A:$A,0),1),"X")),"")</f>
        <v>160250</v>
      </c>
      <c r="BJ302" s="84">
        <f>IFERROR(IF($E302="REC",INDEX(A_Type_Volume!$L:$L,MATCH($D302,A_Type_Volume!$A:$A,0),1),IF($E302="VAM",INDEX(C_Type_Volume!$L:$L,MATCH($D302,C_Type_Volume!$A:$A,0),1),"X")),"")</f>
        <v>144742</v>
      </c>
      <c r="BK302" s="84">
        <f>IFERROR(IF($E302="REC",INDEX(A_Type_Volume!M:M,MATCH($D302,A_Type_Volume!$A:$A,0),1),IF($E302="VAM",INDEX(C_Type_Volume!M:M,MATCH($D302,C_Type_Volume!$A:$A,0),1),"X")),"")</f>
        <v>129234</v>
      </c>
      <c r="BL302" s="38">
        <f>SUM(Table1[[#This Row],[Jan_AVF]:[Dec_AVF]])</f>
        <v>1771480</v>
      </c>
      <c r="BM302" s="85">
        <f t="shared" si="395"/>
        <v>0</v>
      </c>
      <c r="BN302" s="85">
        <f t="shared" si="396"/>
        <v>0</v>
      </c>
      <c r="BO302" s="85">
        <f t="shared" si="397"/>
        <v>0</v>
      </c>
      <c r="BP302" s="85">
        <f t="shared" si="398"/>
        <v>0</v>
      </c>
      <c r="BQ302" s="85">
        <f t="shared" si="399"/>
        <v>0</v>
      </c>
      <c r="BR302" s="85">
        <f t="shared" si="400"/>
        <v>0</v>
      </c>
      <c r="BS302" s="85">
        <f t="shared" si="401"/>
        <v>0</v>
      </c>
      <c r="BT302" s="85">
        <f t="shared" si="402"/>
        <v>0</v>
      </c>
      <c r="BU302" s="85">
        <f t="shared" si="403"/>
        <v>0</v>
      </c>
      <c r="BV302" s="85">
        <f t="shared" si="404"/>
        <v>0</v>
      </c>
      <c r="BW302" s="85">
        <f t="shared" si="405"/>
        <v>0</v>
      </c>
      <c r="BX302" s="85">
        <f t="shared" si="406"/>
        <v>0</v>
      </c>
      <c r="BY302" s="83">
        <f t="shared" si="407"/>
        <v>0</v>
      </c>
      <c r="BZ302" s="83">
        <f t="shared" si="408"/>
        <v>0</v>
      </c>
      <c r="CA302" s="83">
        <f t="shared" si="409"/>
        <v>0</v>
      </c>
      <c r="CB302" s="83">
        <f t="shared" si="410"/>
        <v>0</v>
      </c>
      <c r="CC302" s="83">
        <f>IFERROR(Table1[[#This Row],[Labor
Saving]]*Table1[[#This Row],[Annual Volume]],"")</f>
        <v>0</v>
      </c>
      <c r="CD302" s="83">
        <f>IFERROR(Table1[[#This Row],[Annual Volume]]*Table1[[#This Row],[Yield
Saving]],"")</f>
        <v>0</v>
      </c>
      <c r="CE302" s="83">
        <f>IFERROR(Table1[[#This Row],[Annual Volume]]*Table1[[#This Row],[Material
Saving]],"")</f>
        <v>0</v>
      </c>
      <c r="CF302" s="83">
        <f>IFERROR(Table1[[#This Row],[OH
Saving]]*Table1[[#This Row],[Annual Volume]],"")</f>
        <v>0</v>
      </c>
      <c r="CG302" s="83">
        <f>SUM(Table1[[#This Row],[Labor_ASV]:[OH_ASV]])</f>
        <v>0</v>
      </c>
    </row>
    <row r="303" spans="1:85" x14ac:dyDescent="0.3">
      <c r="A303" t="str">
        <f>Table1[[#This Row],[Project Name]]&amp;Table1[[#This Row],[Part Number]]</f>
        <v>New Etching Chemical Hydroflauric AcidV12</v>
      </c>
      <c r="B303" t="str">
        <f>IFERROR(Table1[[#This Row],[Project Number]]&amp;Table1[[#This Row],[Part Number]],"")</f>
        <v>AME25-068V12</v>
      </c>
      <c r="C303" s="47" t="s">
        <v>115</v>
      </c>
      <c r="D303" s="75" t="s">
        <v>224</v>
      </c>
      <c r="E303" s="76" t="s">
        <v>60</v>
      </c>
      <c r="F303" s="77">
        <f>INDEX(Proj_Reg!G:G,MATCH($C303,Proj_Reg!$B:$B,0),1)</f>
        <v>46266</v>
      </c>
      <c r="G303" s="77">
        <f>INDEX(Proj_Reg!H:H,MATCH($C303,Proj_Reg!$B:$B,0),1)</f>
        <v>46600</v>
      </c>
      <c r="H303" s="77" t="str">
        <f>IF(INDEX(Proj_Reg!C:C,MATCH($C303,Proj_Reg!$B:$B,0),1)=0,"",INDEX(Proj_Reg!C:C,MATCH($C303,Proj_Reg!$B:$B,0),1))</f>
        <v>Wet Etching</v>
      </c>
      <c r="I303" s="77" t="str">
        <f>IF(INDEX(Proj_Reg!D:D,MATCH($C303,Proj_Reg!$B:$B,0),1)=0,"",INDEX(Proj_Reg!D:D,MATCH($C303,Proj_Reg!$B:$B,0),1))</f>
        <v>XWP</v>
      </c>
      <c r="J303" s="77" t="str">
        <f>INDEX(Proj_Reg!E:E,MATCH($C303,Proj_Reg!$B:$B,0),1)</f>
        <v>New Etching Chemical Hydroflauric Acid</v>
      </c>
      <c r="K303" s="78"/>
      <c r="L303" s="21"/>
      <c r="M303" s="21"/>
      <c r="N303" s="21"/>
      <c r="O303" s="79">
        <f>SUM(Table1[[#This Row],[Labor
Saving]:[OH
Saving]])</f>
        <v>0</v>
      </c>
      <c r="P303" s="42"/>
      <c r="Q303" s="40">
        <f t="shared" si="362"/>
        <v>0</v>
      </c>
      <c r="R303" s="40">
        <f t="shared" si="363"/>
        <v>0</v>
      </c>
      <c r="S303" s="40">
        <f t="shared" si="364"/>
        <v>0</v>
      </c>
      <c r="T303" s="40">
        <f t="shared" si="365"/>
        <v>0</v>
      </c>
      <c r="U303" s="40">
        <f t="shared" si="366"/>
        <v>0</v>
      </c>
      <c r="V303" s="40">
        <f t="shared" si="367"/>
        <v>0</v>
      </c>
      <c r="W303" s="40">
        <f t="shared" si="368"/>
        <v>0</v>
      </c>
      <c r="X303" s="40">
        <f t="shared" si="369"/>
        <v>0</v>
      </c>
      <c r="Y303" s="40">
        <f t="shared" si="210"/>
        <v>103214.29999999999</v>
      </c>
      <c r="Z303" s="40">
        <f t="shared" si="370"/>
        <v>157749</v>
      </c>
      <c r="AA303" s="40">
        <f t="shared" si="371"/>
        <v>142483</v>
      </c>
      <c r="AB303" s="40">
        <f t="shared" si="372"/>
        <v>127217</v>
      </c>
      <c r="AC303" s="81">
        <f>SUM(Table1[[#This Row],[Jan]:[Dec]])</f>
        <v>530663.30000000005</v>
      </c>
      <c r="AD303" s="82">
        <f t="shared" si="373"/>
        <v>0</v>
      </c>
      <c r="AE303" s="82">
        <f t="shared" si="374"/>
        <v>0</v>
      </c>
      <c r="AF303" s="82">
        <f t="shared" si="375"/>
        <v>0</v>
      </c>
      <c r="AG303" s="82">
        <f t="shared" si="376"/>
        <v>0</v>
      </c>
      <c r="AH303" s="82">
        <f t="shared" si="377"/>
        <v>0</v>
      </c>
      <c r="AI303" s="82">
        <f t="shared" si="378"/>
        <v>0</v>
      </c>
      <c r="AJ303" s="82">
        <f t="shared" si="379"/>
        <v>0</v>
      </c>
      <c r="AK303" s="82">
        <f t="shared" si="380"/>
        <v>0</v>
      </c>
      <c r="AL303" s="82">
        <f t="shared" si="381"/>
        <v>0</v>
      </c>
      <c r="AM303" s="82">
        <f t="shared" si="382"/>
        <v>0</v>
      </c>
      <c r="AN303" s="82">
        <f t="shared" si="383"/>
        <v>0</v>
      </c>
      <c r="AO303" s="82">
        <f t="shared" si="384"/>
        <v>0</v>
      </c>
      <c r="AP303" s="83">
        <f t="shared" si="385"/>
        <v>0</v>
      </c>
      <c r="AQ303" s="83">
        <f t="shared" si="386"/>
        <v>0</v>
      </c>
      <c r="AR303" s="83">
        <f t="shared" si="387"/>
        <v>0</v>
      </c>
      <c r="AS303" s="83">
        <f t="shared" si="388"/>
        <v>0</v>
      </c>
      <c r="AT303" s="83" t="b">
        <f t="shared" si="389"/>
        <v>1</v>
      </c>
      <c r="AU303" s="83">
        <f t="shared" si="390"/>
        <v>0</v>
      </c>
      <c r="AV303" s="83">
        <f t="shared" si="391"/>
        <v>0</v>
      </c>
      <c r="AW303" s="83">
        <f t="shared" si="392"/>
        <v>0</v>
      </c>
      <c r="AX303" s="83">
        <f t="shared" si="393"/>
        <v>0</v>
      </c>
      <c r="AY303" s="83">
        <f t="shared" si="394"/>
        <v>0</v>
      </c>
      <c r="AZ303" s="84">
        <f>IFERROR(IF($E303="REC",INDEX(A_Type_Volume!$B:$B,MATCH($D303,A_Type_Volume!$A:$A,0),1),IF($E303="VAM",INDEX(C_Type_Volume!$B:$B,MATCH($D303,C_Type_Volume!$A:$A,0),1),"X")),"")</f>
        <v>139409</v>
      </c>
      <c r="BA303" s="84">
        <f>IFERROR(IF($E303="REC",INDEX(A_Type_Volume!$C:$C,MATCH($D303,A_Type_Volume!$A:$A,0),1),IF($E303="VAM",INDEX(C_Type_Volume!$C:$C,MATCH($D303,C_Type_Volume!$A:$A,0),1),"X")),"")</f>
        <v>155323</v>
      </c>
      <c r="BB303" s="84">
        <f>IFERROR(IF($E303="REC",INDEX(A_Type_Volume!$D:$D,MATCH($D303,A_Type_Volume!$A:$A,0),1),IF($E303="VAM",INDEX(C_Type_Volume!$D:$D,MATCH($D303,C_Type_Volume!$A:$A,0),1),"X")),"")</f>
        <v>224000</v>
      </c>
      <c r="BC303" s="84">
        <f>IFERROR(IF($E303="REC",INDEX(A_Type_Volume!$E:$E,MATCH($D303,A_Type_Volume!$A:$A,0),1),IF($E303="VAM",INDEX(C_Type_Volume!$E:$E,MATCH($D303,C_Type_Volume!$A:$A,0),1),"X")),"")</f>
        <v>134379</v>
      </c>
      <c r="BD303" s="84">
        <f>IFERROR(IF($E303="REC",INDEX(A_Type_Volume!$F:$F,MATCH($D303,A_Type_Volume!$A:$A,0),1),IF($E303="VAM",INDEX(C_Type_Volume!$F:$F,MATCH($D303,C_Type_Volume!$A:$A,0),1),"X")),"")</f>
        <v>155880</v>
      </c>
      <c r="BE303" s="84">
        <f>IFERROR(IF($E303="REC",INDEX(A_Type_Volume!$G:$G,MATCH($D303,A_Type_Volume!$A:$A,0),1),IF($E303="VAM",INDEX(C_Type_Volume!$G:$G,MATCH($D303,C_Type_Volume!$A:$A,0),1),"X")),"")</f>
        <v>150505</v>
      </c>
      <c r="BF303" s="84">
        <f>IFERROR(IF($E303="REC",INDEX(A_Type_Volume!$H:$H,MATCH($D303,A_Type_Volume!$A:$A,0),1),IF($E303="VAM",INDEX(C_Type_Volume!$H:$H,MATCH($D303,C_Type_Volume!$A:$A,0),1),"X")),"")</f>
        <v>147449</v>
      </c>
      <c r="BG303" s="84">
        <f>IFERROR(IF($E303="REC",INDEX(A_Type_Volume!$I:$I,MATCH($D303,A_Type_Volume!$A:$A,0),1),IF($E303="VAM",INDEX(C_Type_Volume!$I:$I,MATCH($D303,C_Type_Volume!$A:$A,0),1),"X")),"")</f>
        <v>142364</v>
      </c>
      <c r="BH303" s="84">
        <f>IFERROR(IF($E303="REC",INDEX(A_Type_Volume!$J:$J,MATCH($D303,A_Type_Volume!$A:$A,0),1),IF($E303="VAM",INDEX(C_Type_Volume!$J:$J,MATCH($D303,C_Type_Volume!$A:$A,0),1),"X")),"")</f>
        <v>147449</v>
      </c>
      <c r="BI303" s="84">
        <f>IFERROR(IF($E303="REC",INDEX(A_Type_Volume!$K:$K,MATCH($D303,A_Type_Volume!$A:$A,0),1),IF($E303="VAM",INDEX(C_Type_Volume!$K:$K,MATCH($D303,C_Type_Volume!$A:$A,0),1),"X")),"")</f>
        <v>157749</v>
      </c>
      <c r="BJ303" s="84">
        <f>IFERROR(IF($E303="REC",INDEX(A_Type_Volume!$L:$L,MATCH($D303,A_Type_Volume!$A:$A,0),1),IF($E303="VAM",INDEX(C_Type_Volume!$L:$L,MATCH($D303,C_Type_Volume!$A:$A,0),1),"X")),"")</f>
        <v>142483</v>
      </c>
      <c r="BK303" s="84">
        <f>IFERROR(IF($E303="REC",INDEX(A_Type_Volume!M:M,MATCH($D303,A_Type_Volume!$A:$A,0),1),IF($E303="VAM",INDEX(C_Type_Volume!M:M,MATCH($D303,C_Type_Volume!$A:$A,0),1),"X")),"")</f>
        <v>127217</v>
      </c>
      <c r="BL303" s="38">
        <f>SUM(Table1[[#This Row],[Jan_AVF]:[Dec_AVF]])</f>
        <v>1824207</v>
      </c>
      <c r="BM303" s="85">
        <f t="shared" si="395"/>
        <v>0</v>
      </c>
      <c r="BN303" s="85">
        <f t="shared" si="396"/>
        <v>0</v>
      </c>
      <c r="BO303" s="85">
        <f t="shared" si="397"/>
        <v>0</v>
      </c>
      <c r="BP303" s="85">
        <f t="shared" si="398"/>
        <v>0</v>
      </c>
      <c r="BQ303" s="85">
        <f t="shared" si="399"/>
        <v>0</v>
      </c>
      <c r="BR303" s="85">
        <f t="shared" si="400"/>
        <v>0</v>
      </c>
      <c r="BS303" s="85">
        <f t="shared" si="401"/>
        <v>0</v>
      </c>
      <c r="BT303" s="85">
        <f t="shared" si="402"/>
        <v>0</v>
      </c>
      <c r="BU303" s="85">
        <f t="shared" si="403"/>
        <v>0</v>
      </c>
      <c r="BV303" s="85">
        <f t="shared" si="404"/>
        <v>0</v>
      </c>
      <c r="BW303" s="85">
        <f t="shared" si="405"/>
        <v>0</v>
      </c>
      <c r="BX303" s="85">
        <f t="shared" si="406"/>
        <v>0</v>
      </c>
      <c r="BY303" s="83">
        <f t="shared" si="407"/>
        <v>0</v>
      </c>
      <c r="BZ303" s="83">
        <f t="shared" si="408"/>
        <v>0</v>
      </c>
      <c r="CA303" s="83">
        <f t="shared" si="409"/>
        <v>0</v>
      </c>
      <c r="CB303" s="83">
        <f t="shared" si="410"/>
        <v>0</v>
      </c>
      <c r="CC303" s="83">
        <f>IFERROR(Table1[[#This Row],[Labor
Saving]]*Table1[[#This Row],[Annual Volume]],"")</f>
        <v>0</v>
      </c>
      <c r="CD303" s="83">
        <f>IFERROR(Table1[[#This Row],[Annual Volume]]*Table1[[#This Row],[Yield
Saving]],"")</f>
        <v>0</v>
      </c>
      <c r="CE303" s="83">
        <f>IFERROR(Table1[[#This Row],[Annual Volume]]*Table1[[#This Row],[Material
Saving]],"")</f>
        <v>0</v>
      </c>
      <c r="CF303" s="83">
        <f>IFERROR(Table1[[#This Row],[OH
Saving]]*Table1[[#This Row],[Annual Volume]],"")</f>
        <v>0</v>
      </c>
      <c r="CG303" s="83">
        <f>SUM(Table1[[#This Row],[Labor_ASV]:[OH_ASV]])</f>
        <v>0</v>
      </c>
    </row>
    <row r="304" spans="1:85" x14ac:dyDescent="0.3">
      <c r="A304" t="str">
        <f>Table1[[#This Row],[Project Name]]&amp;Table1[[#This Row],[Part Number]]</f>
        <v>New Etching Chemical Hydroflauric AcidV13</v>
      </c>
      <c r="B304" t="str">
        <f>IFERROR(Table1[[#This Row],[Project Number]]&amp;Table1[[#This Row],[Part Number]],"")</f>
        <v>AME25-068V13</v>
      </c>
      <c r="C304" s="47" t="s">
        <v>115</v>
      </c>
      <c r="D304" s="75" t="s">
        <v>225</v>
      </c>
      <c r="E304" s="76" t="s">
        <v>60</v>
      </c>
      <c r="F304" s="77">
        <f>INDEX(Proj_Reg!G:G,MATCH($C304,Proj_Reg!$B:$B,0),1)</f>
        <v>46266</v>
      </c>
      <c r="G304" s="77">
        <f>INDEX(Proj_Reg!H:H,MATCH($C304,Proj_Reg!$B:$B,0),1)</f>
        <v>46600</v>
      </c>
      <c r="H304" s="77" t="str">
        <f>IF(INDEX(Proj_Reg!C:C,MATCH($C304,Proj_Reg!$B:$B,0),1)=0,"",INDEX(Proj_Reg!C:C,MATCH($C304,Proj_Reg!$B:$B,0),1))</f>
        <v>Wet Etching</v>
      </c>
      <c r="I304" s="77" t="str">
        <f>IF(INDEX(Proj_Reg!D:D,MATCH($C304,Proj_Reg!$B:$B,0),1)=0,"",INDEX(Proj_Reg!D:D,MATCH($C304,Proj_Reg!$B:$B,0),1))</f>
        <v>XWP</v>
      </c>
      <c r="J304" s="77" t="str">
        <f>INDEX(Proj_Reg!E:E,MATCH($C304,Proj_Reg!$B:$B,0),1)</f>
        <v>New Etching Chemical Hydroflauric Acid</v>
      </c>
      <c r="K304" s="78"/>
      <c r="L304" s="21"/>
      <c r="M304" s="21"/>
      <c r="N304" s="21"/>
      <c r="O304" s="79">
        <f>SUM(Table1[[#This Row],[Labor
Saving]:[OH
Saving]])</f>
        <v>0</v>
      </c>
      <c r="P304" s="42"/>
      <c r="Q304" s="40">
        <f t="shared" si="362"/>
        <v>0</v>
      </c>
      <c r="R304" s="40">
        <f t="shared" si="363"/>
        <v>0</v>
      </c>
      <c r="S304" s="40">
        <f t="shared" si="364"/>
        <v>0</v>
      </c>
      <c r="T304" s="40">
        <f t="shared" si="365"/>
        <v>0</v>
      </c>
      <c r="U304" s="40">
        <f t="shared" si="366"/>
        <v>0</v>
      </c>
      <c r="V304" s="40">
        <f t="shared" si="367"/>
        <v>0</v>
      </c>
      <c r="W304" s="40">
        <f t="shared" si="368"/>
        <v>0</v>
      </c>
      <c r="X304" s="40">
        <f t="shared" si="369"/>
        <v>0</v>
      </c>
      <c r="Y304" s="40">
        <f t="shared" si="210"/>
        <v>55435.1</v>
      </c>
      <c r="Z304" s="40">
        <f t="shared" si="370"/>
        <v>84644</v>
      </c>
      <c r="AA304" s="40">
        <f t="shared" si="371"/>
        <v>76453</v>
      </c>
      <c r="AB304" s="40">
        <f t="shared" si="372"/>
        <v>68262</v>
      </c>
      <c r="AC304" s="81">
        <f>SUM(Table1[[#This Row],[Jan]:[Dec]])</f>
        <v>284794.09999999998</v>
      </c>
      <c r="AD304" s="82">
        <f t="shared" si="373"/>
        <v>0</v>
      </c>
      <c r="AE304" s="82">
        <f t="shared" si="374"/>
        <v>0</v>
      </c>
      <c r="AF304" s="82">
        <f t="shared" si="375"/>
        <v>0</v>
      </c>
      <c r="AG304" s="82">
        <f t="shared" si="376"/>
        <v>0</v>
      </c>
      <c r="AH304" s="82">
        <f t="shared" si="377"/>
        <v>0</v>
      </c>
      <c r="AI304" s="82">
        <f t="shared" si="378"/>
        <v>0</v>
      </c>
      <c r="AJ304" s="82">
        <f t="shared" si="379"/>
        <v>0</v>
      </c>
      <c r="AK304" s="82">
        <f t="shared" si="380"/>
        <v>0</v>
      </c>
      <c r="AL304" s="82">
        <f t="shared" si="381"/>
        <v>0</v>
      </c>
      <c r="AM304" s="82">
        <f t="shared" si="382"/>
        <v>0</v>
      </c>
      <c r="AN304" s="82">
        <f t="shared" si="383"/>
        <v>0</v>
      </c>
      <c r="AO304" s="82">
        <f t="shared" si="384"/>
        <v>0</v>
      </c>
      <c r="AP304" s="83">
        <f t="shared" si="385"/>
        <v>0</v>
      </c>
      <c r="AQ304" s="83">
        <f t="shared" si="386"/>
        <v>0</v>
      </c>
      <c r="AR304" s="83">
        <f t="shared" si="387"/>
        <v>0</v>
      </c>
      <c r="AS304" s="83">
        <f t="shared" si="388"/>
        <v>0</v>
      </c>
      <c r="AT304" s="83" t="b">
        <f t="shared" si="389"/>
        <v>1</v>
      </c>
      <c r="AU304" s="83">
        <f t="shared" si="390"/>
        <v>0</v>
      </c>
      <c r="AV304" s="83">
        <f t="shared" si="391"/>
        <v>0</v>
      </c>
      <c r="AW304" s="83">
        <f t="shared" si="392"/>
        <v>0</v>
      </c>
      <c r="AX304" s="83">
        <f t="shared" si="393"/>
        <v>0</v>
      </c>
      <c r="AY304" s="83">
        <f t="shared" si="394"/>
        <v>0</v>
      </c>
      <c r="AZ304" s="84">
        <f>IFERROR(IF($E304="REC",INDEX(A_Type_Volume!$B:$B,MATCH($D304,A_Type_Volume!$A:$A,0),1),IF($E304="VAM",INDEX(C_Type_Volume!$B:$B,MATCH($D304,C_Type_Volume!$A:$A,0),1),"X")),"")</f>
        <v>78418</v>
      </c>
      <c r="BA304" s="84">
        <f>IFERROR(IF($E304="REC",INDEX(A_Type_Volume!$C:$C,MATCH($D304,A_Type_Volume!$A:$A,0),1),IF($E304="VAM",INDEX(C_Type_Volume!$C:$C,MATCH($D304,C_Type_Volume!$A:$A,0),1),"X")),"")</f>
        <v>51473</v>
      </c>
      <c r="BB304" s="84">
        <f>IFERROR(IF($E304="REC",INDEX(A_Type_Volume!$D:$D,MATCH($D304,A_Type_Volume!$A:$A,0),1),IF($E304="VAM",INDEX(C_Type_Volume!$D:$D,MATCH($D304,C_Type_Volume!$A:$A,0),1),"X")),"")</f>
        <v>67346</v>
      </c>
      <c r="BC304" s="84">
        <f>IFERROR(IF($E304="REC",INDEX(A_Type_Volume!$E:$E,MATCH($D304,A_Type_Volume!$A:$A,0),1),IF($E304="VAM",INDEX(C_Type_Volume!$E:$E,MATCH($D304,C_Type_Volume!$A:$A,0),1),"X")),"")</f>
        <v>67044</v>
      </c>
      <c r="BD304" s="84">
        <f>IFERROR(IF($E304="REC",INDEX(A_Type_Volume!$F:$F,MATCH($D304,A_Type_Volume!$A:$A,0),1),IF($E304="VAM",INDEX(C_Type_Volume!$F:$F,MATCH($D304,C_Type_Volume!$A:$A,0),1),"X")),"")</f>
        <v>77771</v>
      </c>
      <c r="BE304" s="84">
        <f>IFERROR(IF($E304="REC",INDEX(A_Type_Volume!$G:$G,MATCH($D304,A_Type_Volume!$A:$A,0),1),IF($E304="VAM",INDEX(C_Type_Volume!$G:$G,MATCH($D304,C_Type_Volume!$A:$A,0),1),"X")),"")</f>
        <v>75090</v>
      </c>
      <c r="BF304" s="84">
        <f>IFERROR(IF($E304="REC",INDEX(A_Type_Volume!$H:$H,MATCH($D304,A_Type_Volume!$A:$A,0),1),IF($E304="VAM",INDEX(C_Type_Volume!$H:$H,MATCH($D304,C_Type_Volume!$A:$A,0),1),"X")),"")</f>
        <v>79193</v>
      </c>
      <c r="BG304" s="84">
        <f>IFERROR(IF($E304="REC",INDEX(A_Type_Volume!$I:$I,MATCH($D304,A_Type_Volume!$A:$A,0),1),IF($E304="VAM",INDEX(C_Type_Volume!$I:$I,MATCH($D304,C_Type_Volume!$A:$A,0),1),"X")),"")</f>
        <v>76463</v>
      </c>
      <c r="BH304" s="84">
        <f>IFERROR(IF($E304="REC",INDEX(A_Type_Volume!$J:$J,MATCH($D304,A_Type_Volume!$A:$A,0),1),IF($E304="VAM",INDEX(C_Type_Volume!$J:$J,MATCH($D304,C_Type_Volume!$A:$A,0),1),"X")),"")</f>
        <v>79193</v>
      </c>
      <c r="BI304" s="84">
        <f>IFERROR(IF($E304="REC",INDEX(A_Type_Volume!$K:$K,MATCH($D304,A_Type_Volume!$A:$A,0),1),IF($E304="VAM",INDEX(C_Type_Volume!$K:$K,MATCH($D304,C_Type_Volume!$A:$A,0),1),"X")),"")</f>
        <v>84644</v>
      </c>
      <c r="BJ304" s="84">
        <f>IFERROR(IF($E304="REC",INDEX(A_Type_Volume!$L:$L,MATCH($D304,A_Type_Volume!$A:$A,0),1),IF($E304="VAM",INDEX(C_Type_Volume!$L:$L,MATCH($D304,C_Type_Volume!$A:$A,0),1),"X")),"")</f>
        <v>76453</v>
      </c>
      <c r="BK304" s="84">
        <f>IFERROR(IF($E304="REC",INDEX(A_Type_Volume!M:M,MATCH($D304,A_Type_Volume!$A:$A,0),1),IF($E304="VAM",INDEX(C_Type_Volume!M:M,MATCH($D304,C_Type_Volume!$A:$A,0),1),"X")),"")</f>
        <v>68262</v>
      </c>
      <c r="BL304" s="38">
        <f>SUM(Table1[[#This Row],[Jan_AVF]:[Dec_AVF]])</f>
        <v>881350</v>
      </c>
      <c r="BM304" s="85">
        <f t="shared" si="395"/>
        <v>0</v>
      </c>
      <c r="BN304" s="85">
        <f t="shared" si="396"/>
        <v>0</v>
      </c>
      <c r="BO304" s="85">
        <f t="shared" si="397"/>
        <v>0</v>
      </c>
      <c r="BP304" s="85">
        <f t="shared" si="398"/>
        <v>0</v>
      </c>
      <c r="BQ304" s="85">
        <f t="shared" si="399"/>
        <v>0</v>
      </c>
      <c r="BR304" s="85">
        <f t="shared" si="400"/>
        <v>0</v>
      </c>
      <c r="BS304" s="85">
        <f t="shared" si="401"/>
        <v>0</v>
      </c>
      <c r="BT304" s="85">
        <f t="shared" si="402"/>
        <v>0</v>
      </c>
      <c r="BU304" s="85">
        <f t="shared" si="403"/>
        <v>0</v>
      </c>
      <c r="BV304" s="85">
        <f t="shared" si="404"/>
        <v>0</v>
      </c>
      <c r="BW304" s="85">
        <f t="shared" si="405"/>
        <v>0</v>
      </c>
      <c r="BX304" s="85">
        <f t="shared" si="406"/>
        <v>0</v>
      </c>
      <c r="BY304" s="83">
        <f t="shared" si="407"/>
        <v>0</v>
      </c>
      <c r="BZ304" s="83">
        <f t="shared" si="408"/>
        <v>0</v>
      </c>
      <c r="CA304" s="83">
        <f t="shared" si="409"/>
        <v>0</v>
      </c>
      <c r="CB304" s="83">
        <f t="shared" si="410"/>
        <v>0</v>
      </c>
      <c r="CC304" s="83">
        <f>IFERROR(Table1[[#This Row],[Labor
Saving]]*Table1[[#This Row],[Annual Volume]],"")</f>
        <v>0</v>
      </c>
      <c r="CD304" s="83">
        <f>IFERROR(Table1[[#This Row],[Annual Volume]]*Table1[[#This Row],[Yield
Saving]],"")</f>
        <v>0</v>
      </c>
      <c r="CE304" s="83">
        <f>IFERROR(Table1[[#This Row],[Annual Volume]]*Table1[[#This Row],[Material
Saving]],"")</f>
        <v>0</v>
      </c>
      <c r="CF304" s="83">
        <f>IFERROR(Table1[[#This Row],[OH
Saving]]*Table1[[#This Row],[Annual Volume]],"")</f>
        <v>0</v>
      </c>
      <c r="CG304" s="83">
        <f>SUM(Table1[[#This Row],[Labor_ASV]:[OH_ASV]])</f>
        <v>0</v>
      </c>
    </row>
    <row r="305" spans="1:85" x14ac:dyDescent="0.3">
      <c r="A305" t="str">
        <f>Table1[[#This Row],[Project Name]]&amp;Table1[[#This Row],[Part Number]]</f>
        <v>New Etching Chemical Hydroflauric AcidV14</v>
      </c>
      <c r="B305" t="str">
        <f>IFERROR(Table1[[#This Row],[Project Number]]&amp;Table1[[#This Row],[Part Number]],"")</f>
        <v>AME25-068V14</v>
      </c>
      <c r="C305" s="47" t="s">
        <v>115</v>
      </c>
      <c r="D305" s="75" t="s">
        <v>226</v>
      </c>
      <c r="E305" s="76" t="s">
        <v>60</v>
      </c>
      <c r="F305" s="77">
        <f>INDEX(Proj_Reg!G:G,MATCH($C305,Proj_Reg!$B:$B,0),1)</f>
        <v>46266</v>
      </c>
      <c r="G305" s="77">
        <f>INDEX(Proj_Reg!H:H,MATCH($C305,Proj_Reg!$B:$B,0),1)</f>
        <v>46600</v>
      </c>
      <c r="H305" s="77" t="str">
        <f>IF(INDEX(Proj_Reg!C:C,MATCH($C305,Proj_Reg!$B:$B,0),1)=0,"",INDEX(Proj_Reg!C:C,MATCH($C305,Proj_Reg!$B:$B,0),1))</f>
        <v>Wet Etching</v>
      </c>
      <c r="I305" s="77" t="str">
        <f>IF(INDEX(Proj_Reg!D:D,MATCH($C305,Proj_Reg!$B:$B,0),1)=0,"",INDEX(Proj_Reg!D:D,MATCH($C305,Proj_Reg!$B:$B,0),1))</f>
        <v>XWP</v>
      </c>
      <c r="J305" s="77" t="str">
        <f>INDEX(Proj_Reg!E:E,MATCH($C305,Proj_Reg!$B:$B,0),1)</f>
        <v>New Etching Chemical Hydroflauric Acid</v>
      </c>
      <c r="K305" s="78"/>
      <c r="L305" s="21"/>
      <c r="M305" s="21"/>
      <c r="N305" s="21"/>
      <c r="O305" s="79">
        <f>SUM(Table1[[#This Row],[Labor
Saving]:[OH
Saving]])</f>
        <v>0</v>
      </c>
      <c r="P305" s="42"/>
      <c r="Q305" s="40">
        <f t="shared" si="362"/>
        <v>0</v>
      </c>
      <c r="R305" s="40">
        <f t="shared" si="363"/>
        <v>0</v>
      </c>
      <c r="S305" s="40">
        <f t="shared" si="364"/>
        <v>0</v>
      </c>
      <c r="T305" s="40">
        <f t="shared" si="365"/>
        <v>0</v>
      </c>
      <c r="U305" s="40">
        <f t="shared" si="366"/>
        <v>0</v>
      </c>
      <c r="V305" s="40">
        <f t="shared" si="367"/>
        <v>0</v>
      </c>
      <c r="W305" s="40">
        <f t="shared" si="368"/>
        <v>0</v>
      </c>
      <c r="X305" s="40">
        <f t="shared" si="369"/>
        <v>0</v>
      </c>
      <c r="Y305" s="40">
        <f t="shared" si="210"/>
        <v>54163.199999999997</v>
      </c>
      <c r="Z305" s="40">
        <f t="shared" si="370"/>
        <v>83388</v>
      </c>
      <c r="AA305" s="40">
        <f t="shared" si="371"/>
        <v>75318</v>
      </c>
      <c r="AB305" s="40">
        <f t="shared" si="372"/>
        <v>67248</v>
      </c>
      <c r="AC305" s="81">
        <f>SUM(Table1[[#This Row],[Jan]:[Dec]])</f>
        <v>280117.2</v>
      </c>
      <c r="AD305" s="82">
        <f t="shared" si="373"/>
        <v>0</v>
      </c>
      <c r="AE305" s="82">
        <f t="shared" si="374"/>
        <v>0</v>
      </c>
      <c r="AF305" s="82">
        <f t="shared" si="375"/>
        <v>0</v>
      </c>
      <c r="AG305" s="82">
        <f t="shared" si="376"/>
        <v>0</v>
      </c>
      <c r="AH305" s="82">
        <f t="shared" si="377"/>
        <v>0</v>
      </c>
      <c r="AI305" s="82">
        <f t="shared" si="378"/>
        <v>0</v>
      </c>
      <c r="AJ305" s="82">
        <f t="shared" si="379"/>
        <v>0</v>
      </c>
      <c r="AK305" s="82">
        <f t="shared" si="380"/>
        <v>0</v>
      </c>
      <c r="AL305" s="82">
        <f t="shared" si="381"/>
        <v>0</v>
      </c>
      <c r="AM305" s="82">
        <f t="shared" si="382"/>
        <v>0</v>
      </c>
      <c r="AN305" s="82">
        <f t="shared" si="383"/>
        <v>0</v>
      </c>
      <c r="AO305" s="82">
        <f t="shared" si="384"/>
        <v>0</v>
      </c>
      <c r="AP305" s="83">
        <f t="shared" si="385"/>
        <v>0</v>
      </c>
      <c r="AQ305" s="83">
        <f t="shared" si="386"/>
        <v>0</v>
      </c>
      <c r="AR305" s="83">
        <f t="shared" si="387"/>
        <v>0</v>
      </c>
      <c r="AS305" s="83">
        <f t="shared" si="388"/>
        <v>0</v>
      </c>
      <c r="AT305" s="83" t="b">
        <f t="shared" si="389"/>
        <v>1</v>
      </c>
      <c r="AU305" s="83">
        <f t="shared" si="390"/>
        <v>0</v>
      </c>
      <c r="AV305" s="83">
        <f t="shared" si="391"/>
        <v>0</v>
      </c>
      <c r="AW305" s="83">
        <f t="shared" si="392"/>
        <v>0</v>
      </c>
      <c r="AX305" s="83">
        <f t="shared" si="393"/>
        <v>0</v>
      </c>
      <c r="AY305" s="83">
        <f t="shared" si="394"/>
        <v>0</v>
      </c>
      <c r="AZ305" s="84">
        <f>IFERROR(IF($E305="REC",INDEX(A_Type_Volume!$B:$B,MATCH($D305,A_Type_Volume!$A:$A,0),1),IF($E305="VAM",INDEX(C_Type_Volume!$B:$B,MATCH($D305,C_Type_Volume!$A:$A,0),1),"X")),"")</f>
        <v>90616</v>
      </c>
      <c r="BA305" s="84">
        <f>IFERROR(IF($E305="REC",INDEX(A_Type_Volume!$C:$C,MATCH($D305,A_Type_Volume!$A:$A,0),1),IF($E305="VAM",INDEX(C_Type_Volume!$C:$C,MATCH($D305,C_Type_Volume!$A:$A,0),1),"X")),"")</f>
        <v>113783</v>
      </c>
      <c r="BB305" s="84">
        <f>IFERROR(IF($E305="REC",INDEX(A_Type_Volume!$D:$D,MATCH($D305,A_Type_Volume!$A:$A,0),1),IF($E305="VAM",INDEX(C_Type_Volume!$D:$D,MATCH($D305,C_Type_Volume!$A:$A,0),1),"X")),"")</f>
        <v>0</v>
      </c>
      <c r="BC305" s="84">
        <f>IFERROR(IF($E305="REC",INDEX(A_Type_Volume!$E:$E,MATCH($D305,A_Type_Volume!$A:$A,0),1),IF($E305="VAM",INDEX(C_Type_Volume!$E:$E,MATCH($D305,C_Type_Volume!$A:$A,0),1),"X")),"")</f>
        <v>65623</v>
      </c>
      <c r="BD305" s="84">
        <f>IFERROR(IF($E305="REC",INDEX(A_Type_Volume!$F:$F,MATCH($D305,A_Type_Volume!$A:$A,0),1),IF($E305="VAM",INDEX(C_Type_Volume!$F:$F,MATCH($D305,C_Type_Volume!$A:$A,0),1),"X")),"")</f>
        <v>76123</v>
      </c>
      <c r="BE305" s="84">
        <f>IFERROR(IF($E305="REC",INDEX(A_Type_Volume!$G:$G,MATCH($D305,A_Type_Volume!$A:$A,0),1),IF($E305="VAM",INDEX(C_Type_Volume!$G:$G,MATCH($D305,C_Type_Volume!$A:$A,0),1),"X")),"")</f>
        <v>73498</v>
      </c>
      <c r="BF305" s="84">
        <f>IFERROR(IF($E305="REC",INDEX(A_Type_Volume!$H:$H,MATCH($D305,A_Type_Volume!$A:$A,0),1),IF($E305="VAM",INDEX(C_Type_Volume!$H:$H,MATCH($D305,C_Type_Volume!$A:$A,0),1),"X")),"")</f>
        <v>77376</v>
      </c>
      <c r="BG305" s="84">
        <f>IFERROR(IF($E305="REC",INDEX(A_Type_Volume!$I:$I,MATCH($D305,A_Type_Volume!$A:$A,0),1),IF($E305="VAM",INDEX(C_Type_Volume!$I:$I,MATCH($D305,C_Type_Volume!$A:$A,0),1),"X")),"")</f>
        <v>74708</v>
      </c>
      <c r="BH305" s="84">
        <f>IFERROR(IF($E305="REC",INDEX(A_Type_Volume!$J:$J,MATCH($D305,A_Type_Volume!$A:$A,0),1),IF($E305="VAM",INDEX(C_Type_Volume!$J:$J,MATCH($D305,C_Type_Volume!$A:$A,0),1),"X")),"")</f>
        <v>77376</v>
      </c>
      <c r="BI305" s="84">
        <f>IFERROR(IF($E305="REC",INDEX(A_Type_Volume!$K:$K,MATCH($D305,A_Type_Volume!$A:$A,0),1),IF($E305="VAM",INDEX(C_Type_Volume!$K:$K,MATCH($D305,C_Type_Volume!$A:$A,0),1),"X")),"")</f>
        <v>83388</v>
      </c>
      <c r="BJ305" s="84">
        <f>IFERROR(IF($E305="REC",INDEX(A_Type_Volume!$L:$L,MATCH($D305,A_Type_Volume!$A:$A,0),1),IF($E305="VAM",INDEX(C_Type_Volume!$L:$L,MATCH($D305,C_Type_Volume!$A:$A,0),1),"X")),"")</f>
        <v>75318</v>
      </c>
      <c r="BK305" s="84">
        <f>IFERROR(IF($E305="REC",INDEX(A_Type_Volume!M:M,MATCH($D305,A_Type_Volume!$A:$A,0),1),IF($E305="VAM",INDEX(C_Type_Volume!M:M,MATCH($D305,C_Type_Volume!$A:$A,0),1),"X")),"")</f>
        <v>67248</v>
      </c>
      <c r="BL305" s="38">
        <f>SUM(Table1[[#This Row],[Jan_AVF]:[Dec_AVF]])</f>
        <v>875057</v>
      </c>
      <c r="BM305" s="85">
        <f t="shared" si="395"/>
        <v>0</v>
      </c>
      <c r="BN305" s="85">
        <f t="shared" si="396"/>
        <v>0</v>
      </c>
      <c r="BO305" s="85">
        <f t="shared" si="397"/>
        <v>0</v>
      </c>
      <c r="BP305" s="85">
        <f t="shared" si="398"/>
        <v>0</v>
      </c>
      <c r="BQ305" s="85">
        <f t="shared" si="399"/>
        <v>0</v>
      </c>
      <c r="BR305" s="85">
        <f t="shared" si="400"/>
        <v>0</v>
      </c>
      <c r="BS305" s="85">
        <f t="shared" si="401"/>
        <v>0</v>
      </c>
      <c r="BT305" s="85">
        <f t="shared" si="402"/>
        <v>0</v>
      </c>
      <c r="BU305" s="85">
        <f t="shared" si="403"/>
        <v>0</v>
      </c>
      <c r="BV305" s="85">
        <f t="shared" si="404"/>
        <v>0</v>
      </c>
      <c r="BW305" s="85">
        <f t="shared" si="405"/>
        <v>0</v>
      </c>
      <c r="BX305" s="85">
        <f t="shared" si="406"/>
        <v>0</v>
      </c>
      <c r="BY305" s="83">
        <f t="shared" si="407"/>
        <v>0</v>
      </c>
      <c r="BZ305" s="83">
        <f t="shared" si="408"/>
        <v>0</v>
      </c>
      <c r="CA305" s="83">
        <f t="shared" si="409"/>
        <v>0</v>
      </c>
      <c r="CB305" s="83">
        <f t="shared" si="410"/>
        <v>0</v>
      </c>
      <c r="CC305" s="83">
        <f>IFERROR(Table1[[#This Row],[Labor
Saving]]*Table1[[#This Row],[Annual Volume]],"")</f>
        <v>0</v>
      </c>
      <c r="CD305" s="83">
        <f>IFERROR(Table1[[#This Row],[Annual Volume]]*Table1[[#This Row],[Yield
Saving]],"")</f>
        <v>0</v>
      </c>
      <c r="CE305" s="83">
        <f>IFERROR(Table1[[#This Row],[Annual Volume]]*Table1[[#This Row],[Material
Saving]],"")</f>
        <v>0</v>
      </c>
      <c r="CF305" s="83">
        <f>IFERROR(Table1[[#This Row],[OH
Saving]]*Table1[[#This Row],[Annual Volume]],"")</f>
        <v>0</v>
      </c>
      <c r="CG305" s="83">
        <f>SUM(Table1[[#This Row],[Labor_ASV]:[OH_ASV]])</f>
        <v>0</v>
      </c>
    </row>
    <row r="306" spans="1:85" x14ac:dyDescent="0.3">
      <c r="A306" t="str">
        <f>Table1[[#This Row],[Project Name]]&amp;Table1[[#This Row],[Part Number]]</f>
        <v>New Etching Chemical Hydroflauric AcidV15</v>
      </c>
      <c r="B306" t="str">
        <f>IFERROR(Table1[[#This Row],[Project Number]]&amp;Table1[[#This Row],[Part Number]],"")</f>
        <v>AME25-068V15</v>
      </c>
      <c r="C306" s="47" t="s">
        <v>115</v>
      </c>
      <c r="D306" s="75" t="s">
        <v>227</v>
      </c>
      <c r="E306" s="76" t="s">
        <v>60</v>
      </c>
      <c r="F306" s="77">
        <f>INDEX(Proj_Reg!G:G,MATCH($C306,Proj_Reg!$B:$B,0),1)</f>
        <v>46266</v>
      </c>
      <c r="G306" s="77">
        <f>INDEX(Proj_Reg!H:H,MATCH($C306,Proj_Reg!$B:$B,0),1)</f>
        <v>46600</v>
      </c>
      <c r="H306" s="77" t="str">
        <f>IF(INDEX(Proj_Reg!C:C,MATCH($C306,Proj_Reg!$B:$B,0),1)=0,"",INDEX(Proj_Reg!C:C,MATCH($C306,Proj_Reg!$B:$B,0),1))</f>
        <v>Wet Etching</v>
      </c>
      <c r="I306" s="77" t="str">
        <f>IF(INDEX(Proj_Reg!D:D,MATCH($C306,Proj_Reg!$B:$B,0),1)=0,"",INDEX(Proj_Reg!D:D,MATCH($C306,Proj_Reg!$B:$B,0),1))</f>
        <v>XWP</v>
      </c>
      <c r="J306" s="77" t="str">
        <f>INDEX(Proj_Reg!E:E,MATCH($C306,Proj_Reg!$B:$B,0),1)</f>
        <v>New Etching Chemical Hydroflauric Acid</v>
      </c>
      <c r="K306" s="78"/>
      <c r="L306" s="21"/>
      <c r="M306" s="21"/>
      <c r="N306" s="21"/>
      <c r="O306" s="79">
        <f>SUM(Table1[[#This Row],[Labor
Saving]:[OH
Saving]])</f>
        <v>0</v>
      </c>
      <c r="P306" s="42"/>
      <c r="Q306" s="40">
        <f t="shared" si="362"/>
        <v>0</v>
      </c>
      <c r="R306" s="40">
        <f t="shared" si="363"/>
        <v>0</v>
      </c>
      <c r="S306" s="40">
        <f t="shared" si="364"/>
        <v>0</v>
      </c>
      <c r="T306" s="40">
        <f t="shared" si="365"/>
        <v>0</v>
      </c>
      <c r="U306" s="40">
        <f t="shared" si="366"/>
        <v>0</v>
      </c>
      <c r="V306" s="40">
        <f t="shared" si="367"/>
        <v>0</v>
      </c>
      <c r="W306" s="40">
        <f t="shared" si="368"/>
        <v>0</v>
      </c>
      <c r="X306" s="40">
        <f t="shared" si="369"/>
        <v>0</v>
      </c>
      <c r="Y306" s="40">
        <f t="shared" si="210"/>
        <v>15328.599999999999</v>
      </c>
      <c r="Z306" s="40">
        <f t="shared" si="370"/>
        <v>21236</v>
      </c>
      <c r="AA306" s="40">
        <f t="shared" si="371"/>
        <v>19181</v>
      </c>
      <c r="AB306" s="40">
        <f t="shared" si="372"/>
        <v>17126</v>
      </c>
      <c r="AC306" s="81">
        <f>SUM(Table1[[#This Row],[Jan]:[Dec]])</f>
        <v>72871.600000000006</v>
      </c>
      <c r="AD306" s="82">
        <f t="shared" si="373"/>
        <v>0</v>
      </c>
      <c r="AE306" s="82">
        <f t="shared" si="374"/>
        <v>0</v>
      </c>
      <c r="AF306" s="82">
        <f t="shared" si="375"/>
        <v>0</v>
      </c>
      <c r="AG306" s="82">
        <f t="shared" si="376"/>
        <v>0</v>
      </c>
      <c r="AH306" s="82">
        <f t="shared" si="377"/>
        <v>0</v>
      </c>
      <c r="AI306" s="82">
        <f t="shared" si="378"/>
        <v>0</v>
      </c>
      <c r="AJ306" s="82">
        <f t="shared" si="379"/>
        <v>0</v>
      </c>
      <c r="AK306" s="82">
        <f t="shared" si="380"/>
        <v>0</v>
      </c>
      <c r="AL306" s="82">
        <f t="shared" si="381"/>
        <v>0</v>
      </c>
      <c r="AM306" s="82">
        <f t="shared" si="382"/>
        <v>0</v>
      </c>
      <c r="AN306" s="82">
        <f t="shared" si="383"/>
        <v>0</v>
      </c>
      <c r="AO306" s="82">
        <f t="shared" si="384"/>
        <v>0</v>
      </c>
      <c r="AP306" s="83">
        <f t="shared" si="385"/>
        <v>0</v>
      </c>
      <c r="AQ306" s="83">
        <f t="shared" si="386"/>
        <v>0</v>
      </c>
      <c r="AR306" s="83">
        <f t="shared" si="387"/>
        <v>0</v>
      </c>
      <c r="AS306" s="83">
        <f t="shared" si="388"/>
        <v>0</v>
      </c>
      <c r="AT306" s="83" t="b">
        <f t="shared" si="389"/>
        <v>1</v>
      </c>
      <c r="AU306" s="83">
        <f t="shared" si="390"/>
        <v>0</v>
      </c>
      <c r="AV306" s="83">
        <f t="shared" si="391"/>
        <v>0</v>
      </c>
      <c r="AW306" s="83">
        <f t="shared" si="392"/>
        <v>0</v>
      </c>
      <c r="AX306" s="83">
        <f t="shared" si="393"/>
        <v>0</v>
      </c>
      <c r="AY306" s="83">
        <f t="shared" si="394"/>
        <v>0</v>
      </c>
      <c r="AZ306" s="84">
        <f>IFERROR(IF($E306="REC",INDEX(A_Type_Volume!$B:$B,MATCH($D306,A_Type_Volume!$A:$A,0),1),IF($E306="VAM",INDEX(C_Type_Volume!$B:$B,MATCH($D306,C_Type_Volume!$A:$A,0),1),"X")),"")</f>
        <v>13070</v>
      </c>
      <c r="BA306" s="84">
        <f>IFERROR(IF($E306="REC",INDEX(A_Type_Volume!$C:$C,MATCH($D306,A_Type_Volume!$A:$A,0),1),IF($E306="VAM",INDEX(C_Type_Volume!$C:$C,MATCH($D306,C_Type_Volume!$A:$A,0),1),"X")),"")</f>
        <v>5418</v>
      </c>
      <c r="BB306" s="84">
        <f>IFERROR(IF($E306="REC",INDEX(A_Type_Volume!$D:$D,MATCH($D306,A_Type_Volume!$A:$A,0),1),IF($E306="VAM",INDEX(C_Type_Volume!$D:$D,MATCH($D306,C_Type_Volume!$A:$A,0),1),"X")),"")</f>
        <v>8784</v>
      </c>
      <c r="BC306" s="84">
        <f>IFERROR(IF($E306="REC",INDEX(A_Type_Volume!$E:$E,MATCH($D306,A_Type_Volume!$A:$A,0),1),IF($E306="VAM",INDEX(C_Type_Volume!$E:$E,MATCH($D306,C_Type_Volume!$A:$A,0),1),"X")),"")</f>
        <v>14551</v>
      </c>
      <c r="BD306" s="84">
        <f>IFERROR(IF($E306="REC",INDEX(A_Type_Volume!$F:$F,MATCH($D306,A_Type_Volume!$A:$A,0),1),IF($E306="VAM",INDEX(C_Type_Volume!$F:$F,MATCH($D306,C_Type_Volume!$A:$A,0),1),"X")),"")</f>
        <v>16879</v>
      </c>
      <c r="BE306" s="84">
        <f>IFERROR(IF($E306="REC",INDEX(A_Type_Volume!$G:$G,MATCH($D306,A_Type_Volume!$A:$A,0),1),IF($E306="VAM",INDEX(C_Type_Volume!$G:$G,MATCH($D306,C_Type_Volume!$A:$A,0),1),"X")),"")</f>
        <v>16297</v>
      </c>
      <c r="BF306" s="84">
        <f>IFERROR(IF($E306="REC",INDEX(A_Type_Volume!$H:$H,MATCH($D306,A_Type_Volume!$A:$A,0),1),IF($E306="VAM",INDEX(C_Type_Volume!$H:$H,MATCH($D306,C_Type_Volume!$A:$A,0),1),"X")),"")</f>
        <v>21898</v>
      </c>
      <c r="BG306" s="84">
        <f>IFERROR(IF($E306="REC",INDEX(A_Type_Volume!$I:$I,MATCH($D306,A_Type_Volume!$A:$A,0),1),IF($E306="VAM",INDEX(C_Type_Volume!$I:$I,MATCH($D306,C_Type_Volume!$A:$A,0),1),"X")),"")</f>
        <v>21143</v>
      </c>
      <c r="BH306" s="84">
        <f>IFERROR(IF($E306="REC",INDEX(A_Type_Volume!$J:$J,MATCH($D306,A_Type_Volume!$A:$A,0),1),IF($E306="VAM",INDEX(C_Type_Volume!$J:$J,MATCH($D306,C_Type_Volume!$A:$A,0),1),"X")),"")</f>
        <v>21898</v>
      </c>
      <c r="BI306" s="84">
        <f>IFERROR(IF($E306="REC",INDEX(A_Type_Volume!$K:$K,MATCH($D306,A_Type_Volume!$A:$A,0),1),IF($E306="VAM",INDEX(C_Type_Volume!$K:$K,MATCH($D306,C_Type_Volume!$A:$A,0),1),"X")),"")</f>
        <v>21236</v>
      </c>
      <c r="BJ306" s="84">
        <f>IFERROR(IF($E306="REC",INDEX(A_Type_Volume!$L:$L,MATCH($D306,A_Type_Volume!$A:$A,0),1),IF($E306="VAM",INDEX(C_Type_Volume!$L:$L,MATCH($D306,C_Type_Volume!$A:$A,0),1),"X")),"")</f>
        <v>19181</v>
      </c>
      <c r="BK306" s="84">
        <f>IFERROR(IF($E306="REC",INDEX(A_Type_Volume!M:M,MATCH($D306,A_Type_Volume!$A:$A,0),1),IF($E306="VAM",INDEX(C_Type_Volume!M:M,MATCH($D306,C_Type_Volume!$A:$A,0),1),"X")),"")</f>
        <v>17126</v>
      </c>
      <c r="BL306" s="38">
        <f>SUM(Table1[[#This Row],[Jan_AVF]:[Dec_AVF]])</f>
        <v>197481</v>
      </c>
      <c r="BM306" s="85">
        <f t="shared" si="395"/>
        <v>0</v>
      </c>
      <c r="BN306" s="85">
        <f t="shared" si="396"/>
        <v>0</v>
      </c>
      <c r="BO306" s="85">
        <f t="shared" si="397"/>
        <v>0</v>
      </c>
      <c r="BP306" s="85">
        <f t="shared" si="398"/>
        <v>0</v>
      </c>
      <c r="BQ306" s="85">
        <f t="shared" si="399"/>
        <v>0</v>
      </c>
      <c r="BR306" s="85">
        <f t="shared" si="400"/>
        <v>0</v>
      </c>
      <c r="BS306" s="85">
        <f t="shared" si="401"/>
        <v>0</v>
      </c>
      <c r="BT306" s="85">
        <f t="shared" si="402"/>
        <v>0</v>
      </c>
      <c r="BU306" s="85">
        <f t="shared" si="403"/>
        <v>0</v>
      </c>
      <c r="BV306" s="85">
        <f t="shared" si="404"/>
        <v>0</v>
      </c>
      <c r="BW306" s="85">
        <f t="shared" si="405"/>
        <v>0</v>
      </c>
      <c r="BX306" s="85">
        <f t="shared" si="406"/>
        <v>0</v>
      </c>
      <c r="BY306" s="83">
        <f t="shared" si="407"/>
        <v>0</v>
      </c>
      <c r="BZ306" s="83">
        <f t="shared" si="408"/>
        <v>0</v>
      </c>
      <c r="CA306" s="83">
        <f t="shared" si="409"/>
        <v>0</v>
      </c>
      <c r="CB306" s="83">
        <f t="shared" si="410"/>
        <v>0</v>
      </c>
      <c r="CC306" s="83">
        <f>IFERROR(Table1[[#This Row],[Labor
Saving]]*Table1[[#This Row],[Annual Volume]],"")</f>
        <v>0</v>
      </c>
      <c r="CD306" s="83">
        <f>IFERROR(Table1[[#This Row],[Annual Volume]]*Table1[[#This Row],[Yield
Saving]],"")</f>
        <v>0</v>
      </c>
      <c r="CE306" s="83">
        <f>IFERROR(Table1[[#This Row],[Annual Volume]]*Table1[[#This Row],[Material
Saving]],"")</f>
        <v>0</v>
      </c>
      <c r="CF306" s="83">
        <f>IFERROR(Table1[[#This Row],[OH
Saving]]*Table1[[#This Row],[Annual Volume]],"")</f>
        <v>0</v>
      </c>
      <c r="CG306" s="83">
        <f>SUM(Table1[[#This Row],[Labor_ASV]:[OH_ASV]])</f>
        <v>0</v>
      </c>
    </row>
    <row r="307" spans="1:85" x14ac:dyDescent="0.3">
      <c r="A307" t="str">
        <f>Table1[[#This Row],[Project Name]]&amp;Table1[[#This Row],[Part Number]]</f>
        <v>New Etching Chemical Hydroflauric AcidV16</v>
      </c>
      <c r="B307" t="str">
        <f>IFERROR(Table1[[#This Row],[Project Number]]&amp;Table1[[#This Row],[Part Number]],"")</f>
        <v>AME25-068V16</v>
      </c>
      <c r="C307" s="47" t="s">
        <v>115</v>
      </c>
      <c r="D307" s="75" t="s">
        <v>228</v>
      </c>
      <c r="E307" s="76" t="s">
        <v>60</v>
      </c>
      <c r="F307" s="77">
        <f>INDEX(Proj_Reg!G:G,MATCH($C307,Proj_Reg!$B:$B,0),1)</f>
        <v>46266</v>
      </c>
      <c r="G307" s="77">
        <f>INDEX(Proj_Reg!H:H,MATCH($C307,Proj_Reg!$B:$B,0),1)</f>
        <v>46600</v>
      </c>
      <c r="H307" s="77" t="str">
        <f>IF(INDEX(Proj_Reg!C:C,MATCH($C307,Proj_Reg!$B:$B,0),1)=0,"",INDEX(Proj_Reg!C:C,MATCH($C307,Proj_Reg!$B:$B,0),1))</f>
        <v>Wet Etching</v>
      </c>
      <c r="I307" s="77" t="str">
        <f>IF(INDEX(Proj_Reg!D:D,MATCH($C307,Proj_Reg!$B:$B,0),1)=0,"",INDEX(Proj_Reg!D:D,MATCH($C307,Proj_Reg!$B:$B,0),1))</f>
        <v>XWP</v>
      </c>
      <c r="J307" s="77" t="str">
        <f>INDEX(Proj_Reg!E:E,MATCH($C307,Proj_Reg!$B:$B,0),1)</f>
        <v>New Etching Chemical Hydroflauric Acid</v>
      </c>
      <c r="K307" s="78"/>
      <c r="L307" s="21"/>
      <c r="M307" s="21"/>
      <c r="N307" s="21"/>
      <c r="O307" s="79">
        <f>SUM(Table1[[#This Row],[Labor
Saving]:[OH
Saving]])</f>
        <v>0</v>
      </c>
      <c r="P307" s="42"/>
      <c r="Q307" s="40">
        <f t="shared" si="362"/>
        <v>0</v>
      </c>
      <c r="R307" s="40">
        <f t="shared" si="363"/>
        <v>0</v>
      </c>
      <c r="S307" s="40">
        <f t="shared" si="364"/>
        <v>0</v>
      </c>
      <c r="T307" s="40">
        <f t="shared" si="365"/>
        <v>0</v>
      </c>
      <c r="U307" s="40">
        <f t="shared" si="366"/>
        <v>0</v>
      </c>
      <c r="V307" s="40">
        <f t="shared" si="367"/>
        <v>0</v>
      </c>
      <c r="W307" s="40">
        <f t="shared" si="368"/>
        <v>0</v>
      </c>
      <c r="X307" s="40">
        <f t="shared" si="369"/>
        <v>0</v>
      </c>
      <c r="Y307" s="40">
        <f t="shared" si="210"/>
        <v>12009.9</v>
      </c>
      <c r="Z307" s="40">
        <f t="shared" si="370"/>
        <v>28730</v>
      </c>
      <c r="AA307" s="40">
        <f t="shared" si="371"/>
        <v>25949</v>
      </c>
      <c r="AB307" s="40">
        <f t="shared" si="372"/>
        <v>23169</v>
      </c>
      <c r="AC307" s="81">
        <f>SUM(Table1[[#This Row],[Jan]:[Dec]])</f>
        <v>89857.9</v>
      </c>
      <c r="AD307" s="82">
        <f t="shared" si="373"/>
        <v>0</v>
      </c>
      <c r="AE307" s="82">
        <f t="shared" si="374"/>
        <v>0</v>
      </c>
      <c r="AF307" s="82">
        <f t="shared" si="375"/>
        <v>0</v>
      </c>
      <c r="AG307" s="82">
        <f t="shared" si="376"/>
        <v>0</v>
      </c>
      <c r="AH307" s="82">
        <f t="shared" si="377"/>
        <v>0</v>
      </c>
      <c r="AI307" s="82">
        <f t="shared" si="378"/>
        <v>0</v>
      </c>
      <c r="AJ307" s="82">
        <f t="shared" si="379"/>
        <v>0</v>
      </c>
      <c r="AK307" s="82">
        <f t="shared" si="380"/>
        <v>0</v>
      </c>
      <c r="AL307" s="82">
        <f t="shared" si="381"/>
        <v>0</v>
      </c>
      <c r="AM307" s="82">
        <f t="shared" si="382"/>
        <v>0</v>
      </c>
      <c r="AN307" s="82">
        <f t="shared" si="383"/>
        <v>0</v>
      </c>
      <c r="AO307" s="82">
        <f t="shared" si="384"/>
        <v>0</v>
      </c>
      <c r="AP307" s="83">
        <f t="shared" si="385"/>
        <v>0</v>
      </c>
      <c r="AQ307" s="83">
        <f t="shared" si="386"/>
        <v>0</v>
      </c>
      <c r="AR307" s="83">
        <f t="shared" si="387"/>
        <v>0</v>
      </c>
      <c r="AS307" s="83">
        <f t="shared" si="388"/>
        <v>0</v>
      </c>
      <c r="AT307" s="83" t="b">
        <f t="shared" si="389"/>
        <v>1</v>
      </c>
      <c r="AU307" s="83">
        <f t="shared" si="390"/>
        <v>0</v>
      </c>
      <c r="AV307" s="83">
        <f t="shared" si="391"/>
        <v>0</v>
      </c>
      <c r="AW307" s="83">
        <f t="shared" si="392"/>
        <v>0</v>
      </c>
      <c r="AX307" s="83">
        <f t="shared" si="393"/>
        <v>0</v>
      </c>
      <c r="AY307" s="83">
        <f t="shared" si="394"/>
        <v>0</v>
      </c>
      <c r="AZ307" s="84">
        <f>IFERROR(IF($E307="REC",INDEX(A_Type_Volume!$B:$B,MATCH($D307,A_Type_Volume!$A:$A,0),1),IF($E307="VAM",INDEX(C_Type_Volume!$B:$B,MATCH($D307,C_Type_Volume!$A:$A,0),1),"X")),"")</f>
        <v>13941</v>
      </c>
      <c r="BA307" s="84">
        <f>IFERROR(IF($E307="REC",INDEX(A_Type_Volume!$C:$C,MATCH($D307,A_Type_Volume!$A:$A,0),1),IF($E307="VAM",INDEX(C_Type_Volume!$C:$C,MATCH($D307,C_Type_Volume!$A:$A,0),1),"X")),"")</f>
        <v>19867</v>
      </c>
      <c r="BB307" s="84">
        <f>IFERROR(IF($E307="REC",INDEX(A_Type_Volume!$D:$D,MATCH($D307,A_Type_Volume!$A:$A,0),1),IF($E307="VAM",INDEX(C_Type_Volume!$D:$D,MATCH($D307,C_Type_Volume!$A:$A,0),1),"X")),"")</f>
        <v>8784</v>
      </c>
      <c r="BC307" s="84">
        <f>IFERROR(IF($E307="REC",INDEX(A_Type_Volume!$E:$E,MATCH($D307,A_Type_Volume!$A:$A,0),1),IF($E307="VAM",INDEX(C_Type_Volume!$E:$E,MATCH($D307,C_Type_Volume!$A:$A,0),1),"X")),"")</f>
        <v>16262</v>
      </c>
      <c r="BD307" s="84">
        <f>IFERROR(IF($E307="REC",INDEX(A_Type_Volume!$F:$F,MATCH($D307,A_Type_Volume!$A:$A,0),1),IF($E307="VAM",INDEX(C_Type_Volume!$F:$F,MATCH($D307,C_Type_Volume!$A:$A,0),1),"X")),"")</f>
        <v>18864</v>
      </c>
      <c r="BE307" s="84">
        <f>IFERROR(IF($E307="REC",INDEX(A_Type_Volume!$G:$G,MATCH($D307,A_Type_Volume!$A:$A,0),1),IF($E307="VAM",INDEX(C_Type_Volume!$G:$G,MATCH($D307,C_Type_Volume!$A:$A,0),1),"X")),"")</f>
        <v>18214</v>
      </c>
      <c r="BF307" s="84">
        <f>IFERROR(IF($E307="REC",INDEX(A_Type_Volume!$H:$H,MATCH($D307,A_Type_Volume!$A:$A,0),1),IF($E307="VAM",INDEX(C_Type_Volume!$H:$H,MATCH($D307,C_Type_Volume!$A:$A,0),1),"X")),"")</f>
        <v>17157</v>
      </c>
      <c r="BG307" s="84">
        <f>IFERROR(IF($E307="REC",INDEX(A_Type_Volume!$I:$I,MATCH($D307,A_Type_Volume!$A:$A,0),1),IF($E307="VAM",INDEX(C_Type_Volume!$I:$I,MATCH($D307,C_Type_Volume!$A:$A,0),1),"X")),"")</f>
        <v>16565</v>
      </c>
      <c r="BH307" s="84">
        <f>IFERROR(IF($E307="REC",INDEX(A_Type_Volume!$J:$J,MATCH($D307,A_Type_Volume!$A:$A,0),1),IF($E307="VAM",INDEX(C_Type_Volume!$J:$J,MATCH($D307,C_Type_Volume!$A:$A,0),1),"X")),"")</f>
        <v>17157</v>
      </c>
      <c r="BI307" s="84">
        <f>IFERROR(IF($E307="REC",INDEX(A_Type_Volume!$K:$K,MATCH($D307,A_Type_Volume!$A:$A,0),1),IF($E307="VAM",INDEX(C_Type_Volume!$K:$K,MATCH($D307,C_Type_Volume!$A:$A,0),1),"X")),"")</f>
        <v>28730</v>
      </c>
      <c r="BJ307" s="84">
        <f>IFERROR(IF($E307="REC",INDEX(A_Type_Volume!$L:$L,MATCH($D307,A_Type_Volume!$A:$A,0),1),IF($E307="VAM",INDEX(C_Type_Volume!$L:$L,MATCH($D307,C_Type_Volume!$A:$A,0),1),"X")),"")</f>
        <v>25949</v>
      </c>
      <c r="BK307" s="84">
        <f>IFERROR(IF($E307="REC",INDEX(A_Type_Volume!M:M,MATCH($D307,A_Type_Volume!$A:$A,0),1),IF($E307="VAM",INDEX(C_Type_Volume!M:M,MATCH($D307,C_Type_Volume!$A:$A,0),1),"X")),"")</f>
        <v>23169</v>
      </c>
      <c r="BL307" s="38">
        <f>SUM(Table1[[#This Row],[Jan_AVF]:[Dec_AVF]])</f>
        <v>224659</v>
      </c>
      <c r="BM307" s="85">
        <f t="shared" si="395"/>
        <v>0</v>
      </c>
      <c r="BN307" s="85">
        <f t="shared" si="396"/>
        <v>0</v>
      </c>
      <c r="BO307" s="85">
        <f t="shared" si="397"/>
        <v>0</v>
      </c>
      <c r="BP307" s="85">
        <f t="shared" si="398"/>
        <v>0</v>
      </c>
      <c r="BQ307" s="85">
        <f t="shared" si="399"/>
        <v>0</v>
      </c>
      <c r="BR307" s="85">
        <f t="shared" si="400"/>
        <v>0</v>
      </c>
      <c r="BS307" s="85">
        <f t="shared" si="401"/>
        <v>0</v>
      </c>
      <c r="BT307" s="85">
        <f t="shared" si="402"/>
        <v>0</v>
      </c>
      <c r="BU307" s="85">
        <f t="shared" si="403"/>
        <v>0</v>
      </c>
      <c r="BV307" s="85">
        <f t="shared" si="404"/>
        <v>0</v>
      </c>
      <c r="BW307" s="85">
        <f t="shared" si="405"/>
        <v>0</v>
      </c>
      <c r="BX307" s="85">
        <f t="shared" si="406"/>
        <v>0</v>
      </c>
      <c r="BY307" s="83">
        <f t="shared" si="407"/>
        <v>0</v>
      </c>
      <c r="BZ307" s="83">
        <f t="shared" si="408"/>
        <v>0</v>
      </c>
      <c r="CA307" s="83">
        <f t="shared" si="409"/>
        <v>0</v>
      </c>
      <c r="CB307" s="83">
        <f t="shared" si="410"/>
        <v>0</v>
      </c>
      <c r="CC307" s="83">
        <f>IFERROR(Table1[[#This Row],[Labor
Saving]]*Table1[[#This Row],[Annual Volume]],"")</f>
        <v>0</v>
      </c>
      <c r="CD307" s="83">
        <f>IFERROR(Table1[[#This Row],[Annual Volume]]*Table1[[#This Row],[Yield
Saving]],"")</f>
        <v>0</v>
      </c>
      <c r="CE307" s="83">
        <f>IFERROR(Table1[[#This Row],[Annual Volume]]*Table1[[#This Row],[Material
Saving]],"")</f>
        <v>0</v>
      </c>
      <c r="CF307" s="83">
        <f>IFERROR(Table1[[#This Row],[OH
Saving]]*Table1[[#This Row],[Annual Volume]],"")</f>
        <v>0</v>
      </c>
      <c r="CG307" s="83">
        <f>SUM(Table1[[#This Row],[Labor_ASV]:[OH_ASV]])</f>
        <v>0</v>
      </c>
    </row>
    <row r="308" spans="1:85" x14ac:dyDescent="0.3">
      <c r="A308" t="str">
        <f>Table1[[#This Row],[Project Name]]&amp;Table1[[#This Row],[Part Number]]</f>
        <v>New Etching Chemical Hydroflauric AcidV17</v>
      </c>
      <c r="B308" t="str">
        <f>IFERROR(Table1[[#This Row],[Project Number]]&amp;Table1[[#This Row],[Part Number]],"")</f>
        <v>AME25-068V17</v>
      </c>
      <c r="C308" s="47" t="s">
        <v>115</v>
      </c>
      <c r="D308" s="75" t="s">
        <v>229</v>
      </c>
      <c r="E308" s="76" t="s">
        <v>60</v>
      </c>
      <c r="F308" s="77">
        <f>INDEX(Proj_Reg!G:G,MATCH($C308,Proj_Reg!$B:$B,0),1)</f>
        <v>46266</v>
      </c>
      <c r="G308" s="77">
        <f>INDEX(Proj_Reg!H:H,MATCH($C308,Proj_Reg!$B:$B,0),1)</f>
        <v>46600</v>
      </c>
      <c r="H308" s="77" t="str">
        <f>IF(INDEX(Proj_Reg!C:C,MATCH($C308,Proj_Reg!$B:$B,0),1)=0,"",INDEX(Proj_Reg!C:C,MATCH($C308,Proj_Reg!$B:$B,0),1))</f>
        <v>Wet Etching</v>
      </c>
      <c r="I308" s="77" t="str">
        <f>IF(INDEX(Proj_Reg!D:D,MATCH($C308,Proj_Reg!$B:$B,0),1)=0,"",INDEX(Proj_Reg!D:D,MATCH($C308,Proj_Reg!$B:$B,0),1))</f>
        <v>XWP</v>
      </c>
      <c r="J308" s="77" t="str">
        <f>INDEX(Proj_Reg!E:E,MATCH($C308,Proj_Reg!$B:$B,0),1)</f>
        <v>New Etching Chemical Hydroflauric Acid</v>
      </c>
      <c r="K308" s="78"/>
      <c r="L308" s="21"/>
      <c r="M308" s="21"/>
      <c r="N308" s="21"/>
      <c r="O308" s="79">
        <f>SUM(Table1[[#This Row],[Labor
Saving]:[OH
Saving]])</f>
        <v>0</v>
      </c>
      <c r="P308" s="42"/>
      <c r="Q308" s="40">
        <f t="shared" si="362"/>
        <v>0</v>
      </c>
      <c r="R308" s="40">
        <f t="shared" si="363"/>
        <v>0</v>
      </c>
      <c r="S308" s="40">
        <f t="shared" si="364"/>
        <v>0</v>
      </c>
      <c r="T308" s="40">
        <f t="shared" si="365"/>
        <v>0</v>
      </c>
      <c r="U308" s="40">
        <f t="shared" si="366"/>
        <v>0</v>
      </c>
      <c r="V308" s="40">
        <f t="shared" si="367"/>
        <v>0</v>
      </c>
      <c r="W308" s="40">
        <f t="shared" si="368"/>
        <v>0</v>
      </c>
      <c r="X308" s="40">
        <f t="shared" si="369"/>
        <v>0</v>
      </c>
      <c r="Y308" s="40">
        <f t="shared" si="210"/>
        <v>8924.2999999999993</v>
      </c>
      <c r="Z308" s="40">
        <f t="shared" si="370"/>
        <v>15081</v>
      </c>
      <c r="AA308" s="40">
        <f t="shared" si="371"/>
        <v>13621</v>
      </c>
      <c r="AB308" s="40">
        <f t="shared" si="372"/>
        <v>12162</v>
      </c>
      <c r="AC308" s="81">
        <f>SUM(Table1[[#This Row],[Jan]:[Dec]])</f>
        <v>49788.3</v>
      </c>
      <c r="AD308" s="82">
        <f t="shared" si="373"/>
        <v>0</v>
      </c>
      <c r="AE308" s="82">
        <f t="shared" si="374"/>
        <v>0</v>
      </c>
      <c r="AF308" s="82">
        <f t="shared" si="375"/>
        <v>0</v>
      </c>
      <c r="AG308" s="82">
        <f t="shared" si="376"/>
        <v>0</v>
      </c>
      <c r="AH308" s="82">
        <f t="shared" si="377"/>
        <v>0</v>
      </c>
      <c r="AI308" s="82">
        <f t="shared" si="378"/>
        <v>0</v>
      </c>
      <c r="AJ308" s="82">
        <f t="shared" si="379"/>
        <v>0</v>
      </c>
      <c r="AK308" s="82">
        <f t="shared" si="380"/>
        <v>0</v>
      </c>
      <c r="AL308" s="82">
        <f t="shared" si="381"/>
        <v>0</v>
      </c>
      <c r="AM308" s="82">
        <f t="shared" si="382"/>
        <v>0</v>
      </c>
      <c r="AN308" s="82">
        <f t="shared" si="383"/>
        <v>0</v>
      </c>
      <c r="AO308" s="82">
        <f t="shared" si="384"/>
        <v>0</v>
      </c>
      <c r="AP308" s="83">
        <f t="shared" si="385"/>
        <v>0</v>
      </c>
      <c r="AQ308" s="83">
        <f t="shared" si="386"/>
        <v>0</v>
      </c>
      <c r="AR308" s="83">
        <f t="shared" si="387"/>
        <v>0</v>
      </c>
      <c r="AS308" s="83">
        <f t="shared" si="388"/>
        <v>0</v>
      </c>
      <c r="AT308" s="83" t="b">
        <f t="shared" si="389"/>
        <v>1</v>
      </c>
      <c r="AU308" s="83">
        <f t="shared" si="390"/>
        <v>0</v>
      </c>
      <c r="AV308" s="83">
        <f t="shared" si="391"/>
        <v>0</v>
      </c>
      <c r="AW308" s="83">
        <f t="shared" si="392"/>
        <v>0</v>
      </c>
      <c r="AX308" s="83">
        <f t="shared" si="393"/>
        <v>0</v>
      </c>
      <c r="AY308" s="83">
        <f t="shared" si="394"/>
        <v>0</v>
      </c>
      <c r="AZ308" s="84">
        <f>IFERROR(IF($E308="REC",INDEX(A_Type_Volume!$B:$B,MATCH($D308,A_Type_Volume!$A:$A,0),1),IF($E308="VAM",INDEX(C_Type_Volume!$B:$B,MATCH($D308,C_Type_Volume!$A:$A,0),1),"X")),"")</f>
        <v>17378</v>
      </c>
      <c r="BA308" s="84">
        <f>IFERROR(IF($E308="REC",INDEX(A_Type_Volume!$C:$C,MATCH($D308,A_Type_Volume!$A:$A,0),1),IF($E308="VAM",INDEX(C_Type_Volume!$C:$C,MATCH($D308,C_Type_Volume!$A:$A,0),1),"X")),"")</f>
        <v>13642</v>
      </c>
      <c r="BB308" s="84">
        <f>IFERROR(IF($E308="REC",INDEX(A_Type_Volume!$D:$D,MATCH($D308,A_Type_Volume!$A:$A,0),1),IF($E308="VAM",INDEX(C_Type_Volume!$D:$D,MATCH($D308,C_Type_Volume!$A:$A,0),1),"X")),"")</f>
        <v>8383</v>
      </c>
      <c r="BC308" s="84">
        <f>IFERROR(IF($E308="REC",INDEX(A_Type_Volume!$E:$E,MATCH($D308,A_Type_Volume!$A:$A,0),1),IF($E308="VAM",INDEX(C_Type_Volume!$E:$E,MATCH($D308,C_Type_Volume!$A:$A,0),1),"X")),"")</f>
        <v>12018</v>
      </c>
      <c r="BD308" s="84">
        <f>IFERROR(IF($E308="REC",INDEX(A_Type_Volume!$F:$F,MATCH($D308,A_Type_Volume!$A:$A,0),1),IF($E308="VAM",INDEX(C_Type_Volume!$F:$F,MATCH($D308,C_Type_Volume!$A:$A,0),1),"X")),"")</f>
        <v>13941</v>
      </c>
      <c r="BE308" s="84">
        <f>IFERROR(IF($E308="REC",INDEX(A_Type_Volume!$G:$G,MATCH($D308,A_Type_Volume!$A:$A,0),1),IF($E308="VAM",INDEX(C_Type_Volume!$G:$G,MATCH($D308,C_Type_Volume!$A:$A,0),1),"X")),"")</f>
        <v>13460</v>
      </c>
      <c r="BF308" s="84">
        <f>IFERROR(IF($E308="REC",INDEX(A_Type_Volume!$H:$H,MATCH($D308,A_Type_Volume!$A:$A,0),1),IF($E308="VAM",INDEX(C_Type_Volume!$H:$H,MATCH($D308,C_Type_Volume!$A:$A,0),1),"X")),"")</f>
        <v>12749</v>
      </c>
      <c r="BG308" s="84">
        <f>IFERROR(IF($E308="REC",INDEX(A_Type_Volume!$I:$I,MATCH($D308,A_Type_Volume!$A:$A,0),1),IF($E308="VAM",INDEX(C_Type_Volume!$I:$I,MATCH($D308,C_Type_Volume!$A:$A,0),1),"X")),"")</f>
        <v>12309</v>
      </c>
      <c r="BH308" s="84">
        <f>IFERROR(IF($E308="REC",INDEX(A_Type_Volume!$J:$J,MATCH($D308,A_Type_Volume!$A:$A,0),1),IF($E308="VAM",INDEX(C_Type_Volume!$J:$J,MATCH($D308,C_Type_Volume!$A:$A,0),1),"X")),"")</f>
        <v>12749</v>
      </c>
      <c r="BI308" s="84">
        <f>IFERROR(IF($E308="REC",INDEX(A_Type_Volume!$K:$K,MATCH($D308,A_Type_Volume!$A:$A,0),1),IF($E308="VAM",INDEX(C_Type_Volume!$K:$K,MATCH($D308,C_Type_Volume!$A:$A,0),1),"X")),"")</f>
        <v>15081</v>
      </c>
      <c r="BJ308" s="84">
        <f>IFERROR(IF($E308="REC",INDEX(A_Type_Volume!$L:$L,MATCH($D308,A_Type_Volume!$A:$A,0),1),IF($E308="VAM",INDEX(C_Type_Volume!$L:$L,MATCH($D308,C_Type_Volume!$A:$A,0),1),"X")),"")</f>
        <v>13621</v>
      </c>
      <c r="BK308" s="84">
        <f>IFERROR(IF($E308="REC",INDEX(A_Type_Volume!M:M,MATCH($D308,A_Type_Volume!$A:$A,0),1),IF($E308="VAM",INDEX(C_Type_Volume!M:M,MATCH($D308,C_Type_Volume!$A:$A,0),1),"X")),"")</f>
        <v>12162</v>
      </c>
      <c r="BL308" s="38">
        <f>SUM(Table1[[#This Row],[Jan_AVF]:[Dec_AVF]])</f>
        <v>157493</v>
      </c>
      <c r="BM308" s="85">
        <f t="shared" si="395"/>
        <v>0</v>
      </c>
      <c r="BN308" s="85">
        <f t="shared" si="396"/>
        <v>0</v>
      </c>
      <c r="BO308" s="85">
        <f t="shared" si="397"/>
        <v>0</v>
      </c>
      <c r="BP308" s="85">
        <f t="shared" si="398"/>
        <v>0</v>
      </c>
      <c r="BQ308" s="85">
        <f t="shared" si="399"/>
        <v>0</v>
      </c>
      <c r="BR308" s="85">
        <f t="shared" si="400"/>
        <v>0</v>
      </c>
      <c r="BS308" s="85">
        <f t="shared" si="401"/>
        <v>0</v>
      </c>
      <c r="BT308" s="85">
        <f t="shared" si="402"/>
        <v>0</v>
      </c>
      <c r="BU308" s="85">
        <f t="shared" si="403"/>
        <v>0</v>
      </c>
      <c r="BV308" s="85">
        <f t="shared" si="404"/>
        <v>0</v>
      </c>
      <c r="BW308" s="85">
        <f t="shared" si="405"/>
        <v>0</v>
      </c>
      <c r="BX308" s="85">
        <f t="shared" si="406"/>
        <v>0</v>
      </c>
      <c r="BY308" s="83">
        <f t="shared" si="407"/>
        <v>0</v>
      </c>
      <c r="BZ308" s="83">
        <f t="shared" si="408"/>
        <v>0</v>
      </c>
      <c r="CA308" s="83">
        <f t="shared" si="409"/>
        <v>0</v>
      </c>
      <c r="CB308" s="83">
        <f t="shared" si="410"/>
        <v>0</v>
      </c>
      <c r="CC308" s="83">
        <f>IFERROR(Table1[[#This Row],[Labor
Saving]]*Table1[[#This Row],[Annual Volume]],"")</f>
        <v>0</v>
      </c>
      <c r="CD308" s="83">
        <f>IFERROR(Table1[[#This Row],[Annual Volume]]*Table1[[#This Row],[Yield
Saving]],"")</f>
        <v>0</v>
      </c>
      <c r="CE308" s="83">
        <f>IFERROR(Table1[[#This Row],[Annual Volume]]*Table1[[#This Row],[Material
Saving]],"")</f>
        <v>0</v>
      </c>
      <c r="CF308" s="83">
        <f>IFERROR(Table1[[#This Row],[OH
Saving]]*Table1[[#This Row],[Annual Volume]],"")</f>
        <v>0</v>
      </c>
      <c r="CG308" s="83">
        <f>SUM(Table1[[#This Row],[Labor_ASV]:[OH_ASV]])</f>
        <v>0</v>
      </c>
    </row>
    <row r="309" spans="1:85" x14ac:dyDescent="0.3">
      <c r="A309" t="str">
        <f>Table1[[#This Row],[Project Name]]&amp;Table1[[#This Row],[Part Number]]</f>
        <v>New Etching Chemical Hydroflauric AcidV18</v>
      </c>
      <c r="B309" t="str">
        <f>IFERROR(Table1[[#This Row],[Project Number]]&amp;Table1[[#This Row],[Part Number]],"")</f>
        <v>AME25-068V18</v>
      </c>
      <c r="C309" s="47" t="s">
        <v>115</v>
      </c>
      <c r="D309" s="75" t="s">
        <v>230</v>
      </c>
      <c r="E309" s="76" t="s">
        <v>60</v>
      </c>
      <c r="F309" s="77">
        <f>INDEX(Proj_Reg!G:G,MATCH($C309,Proj_Reg!$B:$B,0),1)</f>
        <v>46266</v>
      </c>
      <c r="G309" s="77">
        <f>INDEX(Proj_Reg!H:H,MATCH($C309,Proj_Reg!$B:$B,0),1)</f>
        <v>46600</v>
      </c>
      <c r="H309" s="77" t="str">
        <f>IF(INDEX(Proj_Reg!C:C,MATCH($C309,Proj_Reg!$B:$B,0),1)=0,"",INDEX(Proj_Reg!C:C,MATCH($C309,Proj_Reg!$B:$B,0),1))</f>
        <v>Wet Etching</v>
      </c>
      <c r="I309" s="77" t="str">
        <f>IF(INDEX(Proj_Reg!D:D,MATCH($C309,Proj_Reg!$B:$B,0),1)=0,"",INDEX(Proj_Reg!D:D,MATCH($C309,Proj_Reg!$B:$B,0),1))</f>
        <v>XWP</v>
      </c>
      <c r="J309" s="77" t="str">
        <f>INDEX(Proj_Reg!E:E,MATCH($C309,Proj_Reg!$B:$B,0),1)</f>
        <v>New Etching Chemical Hydroflauric Acid</v>
      </c>
      <c r="K309" s="78"/>
      <c r="L309" s="21"/>
      <c r="M309" s="21"/>
      <c r="N309" s="21"/>
      <c r="O309" s="79">
        <f>SUM(Table1[[#This Row],[Labor
Saving]:[OH
Saving]])</f>
        <v>0</v>
      </c>
      <c r="P309" s="42"/>
      <c r="Q309" s="40">
        <f t="shared" si="362"/>
        <v>0</v>
      </c>
      <c r="R309" s="40">
        <f t="shared" si="363"/>
        <v>0</v>
      </c>
      <c r="S309" s="40">
        <f t="shared" si="364"/>
        <v>0</v>
      </c>
      <c r="T309" s="40">
        <f t="shared" si="365"/>
        <v>0</v>
      </c>
      <c r="U309" s="40">
        <f t="shared" si="366"/>
        <v>0</v>
      </c>
      <c r="V309" s="40">
        <f t="shared" si="367"/>
        <v>0</v>
      </c>
      <c r="W309" s="40">
        <f t="shared" si="368"/>
        <v>0</v>
      </c>
      <c r="X309" s="40">
        <f t="shared" si="369"/>
        <v>0</v>
      </c>
      <c r="Y309" s="40">
        <f t="shared" si="210"/>
        <v>6083</v>
      </c>
      <c r="Z309" s="40">
        <f t="shared" si="370"/>
        <v>11062</v>
      </c>
      <c r="AA309" s="40">
        <f t="shared" si="371"/>
        <v>9992</v>
      </c>
      <c r="AB309" s="40">
        <f t="shared" si="372"/>
        <v>8921</v>
      </c>
      <c r="AC309" s="81">
        <f>SUM(Table1[[#This Row],[Jan]:[Dec]])</f>
        <v>36058</v>
      </c>
      <c r="AD309" s="82">
        <f t="shared" si="373"/>
        <v>0</v>
      </c>
      <c r="AE309" s="82">
        <f t="shared" si="374"/>
        <v>0</v>
      </c>
      <c r="AF309" s="82">
        <f t="shared" si="375"/>
        <v>0</v>
      </c>
      <c r="AG309" s="82">
        <f t="shared" si="376"/>
        <v>0</v>
      </c>
      <c r="AH309" s="82">
        <f t="shared" si="377"/>
        <v>0</v>
      </c>
      <c r="AI309" s="82">
        <f t="shared" si="378"/>
        <v>0</v>
      </c>
      <c r="AJ309" s="82">
        <f t="shared" si="379"/>
        <v>0</v>
      </c>
      <c r="AK309" s="82">
        <f t="shared" si="380"/>
        <v>0</v>
      </c>
      <c r="AL309" s="82">
        <f t="shared" si="381"/>
        <v>0</v>
      </c>
      <c r="AM309" s="82">
        <f t="shared" si="382"/>
        <v>0</v>
      </c>
      <c r="AN309" s="82">
        <f t="shared" si="383"/>
        <v>0</v>
      </c>
      <c r="AO309" s="82">
        <f t="shared" si="384"/>
        <v>0</v>
      </c>
      <c r="AP309" s="83">
        <f t="shared" si="385"/>
        <v>0</v>
      </c>
      <c r="AQ309" s="83">
        <f t="shared" si="386"/>
        <v>0</v>
      </c>
      <c r="AR309" s="83">
        <f t="shared" si="387"/>
        <v>0</v>
      </c>
      <c r="AS309" s="83">
        <f t="shared" si="388"/>
        <v>0</v>
      </c>
      <c r="AT309" s="83" t="b">
        <f t="shared" si="389"/>
        <v>1</v>
      </c>
      <c r="AU309" s="83">
        <f t="shared" si="390"/>
        <v>0</v>
      </c>
      <c r="AV309" s="83">
        <f t="shared" si="391"/>
        <v>0</v>
      </c>
      <c r="AW309" s="83">
        <f t="shared" si="392"/>
        <v>0</v>
      </c>
      <c r="AX309" s="83">
        <f t="shared" si="393"/>
        <v>0</v>
      </c>
      <c r="AY309" s="83">
        <f t="shared" si="394"/>
        <v>0</v>
      </c>
      <c r="AZ309" s="84">
        <f>IFERROR(IF($E309="REC",INDEX(A_Type_Volume!$B:$B,MATCH($D309,A_Type_Volume!$A:$A,0),1),IF($E309="VAM",INDEX(C_Type_Volume!$B:$B,MATCH($D309,C_Type_Volume!$A:$A,0),1),"X")),"")</f>
        <v>6319</v>
      </c>
      <c r="BA309" s="84">
        <f>IFERROR(IF($E309="REC",INDEX(A_Type_Volume!$C:$C,MATCH($D309,A_Type_Volume!$A:$A,0),1),IF($E309="VAM",INDEX(C_Type_Volume!$C:$C,MATCH($D309,C_Type_Volume!$A:$A,0),1),"X")),"")</f>
        <v>7692</v>
      </c>
      <c r="BB309" s="84">
        <f>IFERROR(IF($E309="REC",INDEX(A_Type_Volume!$D:$D,MATCH($D309,A_Type_Volume!$A:$A,0),1),IF($E309="VAM",INDEX(C_Type_Volume!$D:$D,MATCH($D309,C_Type_Volume!$A:$A,0),1),"X")),"")</f>
        <v>20120</v>
      </c>
      <c r="BC309" s="84">
        <f>IFERROR(IF($E309="REC",INDEX(A_Type_Volume!$E:$E,MATCH($D309,A_Type_Volume!$A:$A,0),1),IF($E309="VAM",INDEX(C_Type_Volume!$E:$E,MATCH($D309,C_Type_Volume!$A:$A,0),1),"X")),"")</f>
        <v>8276</v>
      </c>
      <c r="BD309" s="84">
        <f>IFERROR(IF($E309="REC",INDEX(A_Type_Volume!$F:$F,MATCH($D309,A_Type_Volume!$A:$A,0),1),IF($E309="VAM",INDEX(C_Type_Volume!$F:$F,MATCH($D309,C_Type_Volume!$A:$A,0),1),"X")),"")</f>
        <v>9601</v>
      </c>
      <c r="BE309" s="84">
        <f>IFERROR(IF($E309="REC",INDEX(A_Type_Volume!$G:$G,MATCH($D309,A_Type_Volume!$A:$A,0),1),IF($E309="VAM",INDEX(C_Type_Volume!$G:$G,MATCH($D309,C_Type_Volume!$A:$A,0),1),"X")),"")</f>
        <v>9270</v>
      </c>
      <c r="BF309" s="84">
        <f>IFERROR(IF($E309="REC",INDEX(A_Type_Volume!$H:$H,MATCH($D309,A_Type_Volume!$A:$A,0),1),IF($E309="VAM",INDEX(C_Type_Volume!$H:$H,MATCH($D309,C_Type_Volume!$A:$A,0),1),"X")),"")</f>
        <v>8690</v>
      </c>
      <c r="BG309" s="84">
        <f>IFERROR(IF($E309="REC",INDEX(A_Type_Volume!$I:$I,MATCH($D309,A_Type_Volume!$A:$A,0),1),IF($E309="VAM",INDEX(C_Type_Volume!$I:$I,MATCH($D309,C_Type_Volume!$A:$A,0),1),"X")),"")</f>
        <v>8391</v>
      </c>
      <c r="BH309" s="84">
        <f>IFERROR(IF($E309="REC",INDEX(A_Type_Volume!$J:$J,MATCH($D309,A_Type_Volume!$A:$A,0),1),IF($E309="VAM",INDEX(C_Type_Volume!$J:$J,MATCH($D309,C_Type_Volume!$A:$A,0),1),"X")),"")</f>
        <v>8690</v>
      </c>
      <c r="BI309" s="84">
        <f>IFERROR(IF($E309="REC",INDEX(A_Type_Volume!$K:$K,MATCH($D309,A_Type_Volume!$A:$A,0),1),IF($E309="VAM",INDEX(C_Type_Volume!$K:$K,MATCH($D309,C_Type_Volume!$A:$A,0),1),"X")),"")</f>
        <v>11062</v>
      </c>
      <c r="BJ309" s="84">
        <f>IFERROR(IF($E309="REC",INDEX(A_Type_Volume!$L:$L,MATCH($D309,A_Type_Volume!$A:$A,0),1),IF($E309="VAM",INDEX(C_Type_Volume!$L:$L,MATCH($D309,C_Type_Volume!$A:$A,0),1),"X")),"")</f>
        <v>9992</v>
      </c>
      <c r="BK309" s="84">
        <f>IFERROR(IF($E309="REC",INDEX(A_Type_Volume!M:M,MATCH($D309,A_Type_Volume!$A:$A,0),1),IF($E309="VAM",INDEX(C_Type_Volume!M:M,MATCH($D309,C_Type_Volume!$A:$A,0),1),"X")),"")</f>
        <v>8921</v>
      </c>
      <c r="BL309" s="38">
        <f>SUM(Table1[[#This Row],[Jan_AVF]:[Dec_AVF]])</f>
        <v>117024</v>
      </c>
      <c r="BM309" s="85">
        <f t="shared" si="395"/>
        <v>0</v>
      </c>
      <c r="BN309" s="85">
        <f t="shared" si="396"/>
        <v>0</v>
      </c>
      <c r="BO309" s="85">
        <f t="shared" si="397"/>
        <v>0</v>
      </c>
      <c r="BP309" s="85">
        <f t="shared" si="398"/>
        <v>0</v>
      </c>
      <c r="BQ309" s="85">
        <f t="shared" si="399"/>
        <v>0</v>
      </c>
      <c r="BR309" s="85">
        <f t="shared" si="400"/>
        <v>0</v>
      </c>
      <c r="BS309" s="85">
        <f t="shared" si="401"/>
        <v>0</v>
      </c>
      <c r="BT309" s="85">
        <f t="shared" si="402"/>
        <v>0</v>
      </c>
      <c r="BU309" s="85">
        <f t="shared" si="403"/>
        <v>0</v>
      </c>
      <c r="BV309" s="85">
        <f t="shared" si="404"/>
        <v>0</v>
      </c>
      <c r="BW309" s="85">
        <f t="shared" si="405"/>
        <v>0</v>
      </c>
      <c r="BX309" s="85">
        <f t="shared" si="406"/>
        <v>0</v>
      </c>
      <c r="BY309" s="83">
        <f t="shared" si="407"/>
        <v>0</v>
      </c>
      <c r="BZ309" s="83">
        <f t="shared" si="408"/>
        <v>0</v>
      </c>
      <c r="CA309" s="83">
        <f t="shared" si="409"/>
        <v>0</v>
      </c>
      <c r="CB309" s="83">
        <f t="shared" si="410"/>
        <v>0</v>
      </c>
      <c r="CC309" s="83">
        <f>IFERROR(Table1[[#This Row],[Labor
Saving]]*Table1[[#This Row],[Annual Volume]],"")</f>
        <v>0</v>
      </c>
      <c r="CD309" s="83">
        <f>IFERROR(Table1[[#This Row],[Annual Volume]]*Table1[[#This Row],[Yield
Saving]],"")</f>
        <v>0</v>
      </c>
      <c r="CE309" s="83">
        <f>IFERROR(Table1[[#This Row],[Annual Volume]]*Table1[[#This Row],[Material
Saving]],"")</f>
        <v>0</v>
      </c>
      <c r="CF309" s="83">
        <f>IFERROR(Table1[[#This Row],[OH
Saving]]*Table1[[#This Row],[Annual Volume]],"")</f>
        <v>0</v>
      </c>
      <c r="CG309" s="83">
        <f>SUM(Table1[[#This Row],[Labor_ASV]:[OH_ASV]])</f>
        <v>0</v>
      </c>
    </row>
    <row r="310" spans="1:85" x14ac:dyDescent="0.3">
      <c r="A310" t="str">
        <f>Table1[[#This Row],[Project Name]]&amp;Table1[[#This Row],[Part Number]]</f>
        <v>New Etching Chemical Hydroflauric AcidV19</v>
      </c>
      <c r="B310" t="str">
        <f>IFERROR(Table1[[#This Row],[Project Number]]&amp;Table1[[#This Row],[Part Number]],"")</f>
        <v>AME25-068V19</v>
      </c>
      <c r="C310" s="47" t="s">
        <v>115</v>
      </c>
      <c r="D310" s="75" t="s">
        <v>231</v>
      </c>
      <c r="E310" s="76" t="s">
        <v>60</v>
      </c>
      <c r="F310" s="77">
        <f>INDEX(Proj_Reg!G:G,MATCH($C310,Proj_Reg!$B:$B,0),1)</f>
        <v>46266</v>
      </c>
      <c r="G310" s="77">
        <f>INDEX(Proj_Reg!H:H,MATCH($C310,Proj_Reg!$B:$B,0),1)</f>
        <v>46600</v>
      </c>
      <c r="H310" s="77" t="str">
        <f>IF(INDEX(Proj_Reg!C:C,MATCH($C310,Proj_Reg!$B:$B,0),1)=0,"",INDEX(Proj_Reg!C:C,MATCH($C310,Proj_Reg!$B:$B,0),1))</f>
        <v>Wet Etching</v>
      </c>
      <c r="I310" s="77" t="str">
        <f>IF(INDEX(Proj_Reg!D:D,MATCH($C310,Proj_Reg!$B:$B,0),1)=0,"",INDEX(Proj_Reg!D:D,MATCH($C310,Proj_Reg!$B:$B,0),1))</f>
        <v>XWP</v>
      </c>
      <c r="J310" s="77" t="str">
        <f>INDEX(Proj_Reg!E:E,MATCH($C310,Proj_Reg!$B:$B,0),1)</f>
        <v>New Etching Chemical Hydroflauric Acid</v>
      </c>
      <c r="K310" s="78"/>
      <c r="L310" s="21"/>
      <c r="M310" s="21"/>
      <c r="N310" s="21"/>
      <c r="O310" s="79">
        <f>SUM(Table1[[#This Row],[Labor
Saving]:[OH
Saving]])</f>
        <v>0</v>
      </c>
      <c r="P310" s="42"/>
      <c r="Q310" s="40">
        <f t="shared" si="362"/>
        <v>0</v>
      </c>
      <c r="R310" s="40">
        <f t="shared" si="363"/>
        <v>0</v>
      </c>
      <c r="S310" s="40">
        <f t="shared" si="364"/>
        <v>0</v>
      </c>
      <c r="T310" s="40">
        <f t="shared" si="365"/>
        <v>0</v>
      </c>
      <c r="U310" s="40">
        <f t="shared" si="366"/>
        <v>0</v>
      </c>
      <c r="V310" s="40">
        <f t="shared" si="367"/>
        <v>0</v>
      </c>
      <c r="W310" s="40">
        <f t="shared" si="368"/>
        <v>0</v>
      </c>
      <c r="X310" s="40">
        <f t="shared" si="369"/>
        <v>0</v>
      </c>
      <c r="Y310" s="40">
        <f t="shared" si="210"/>
        <v>30215.499999999996</v>
      </c>
      <c r="Z310" s="40">
        <f t="shared" si="370"/>
        <v>45242</v>
      </c>
      <c r="AA310" s="40">
        <f t="shared" si="371"/>
        <v>40864</v>
      </c>
      <c r="AB310" s="40">
        <f t="shared" si="372"/>
        <v>36486</v>
      </c>
      <c r="AC310" s="81">
        <f>SUM(Table1[[#This Row],[Jan]:[Dec]])</f>
        <v>152807.5</v>
      </c>
      <c r="AD310" s="82">
        <f t="shared" si="373"/>
        <v>0</v>
      </c>
      <c r="AE310" s="82">
        <f t="shared" si="374"/>
        <v>0</v>
      </c>
      <c r="AF310" s="82">
        <f t="shared" si="375"/>
        <v>0</v>
      </c>
      <c r="AG310" s="82">
        <f t="shared" si="376"/>
        <v>0</v>
      </c>
      <c r="AH310" s="82">
        <f t="shared" si="377"/>
        <v>0</v>
      </c>
      <c r="AI310" s="82">
        <f t="shared" si="378"/>
        <v>0</v>
      </c>
      <c r="AJ310" s="82">
        <f t="shared" si="379"/>
        <v>0</v>
      </c>
      <c r="AK310" s="82">
        <f t="shared" si="380"/>
        <v>0</v>
      </c>
      <c r="AL310" s="82">
        <f t="shared" si="381"/>
        <v>0</v>
      </c>
      <c r="AM310" s="82">
        <f t="shared" si="382"/>
        <v>0</v>
      </c>
      <c r="AN310" s="82">
        <f t="shared" si="383"/>
        <v>0</v>
      </c>
      <c r="AO310" s="82">
        <f t="shared" si="384"/>
        <v>0</v>
      </c>
      <c r="AP310" s="83">
        <f t="shared" si="385"/>
        <v>0</v>
      </c>
      <c r="AQ310" s="83">
        <f t="shared" si="386"/>
        <v>0</v>
      </c>
      <c r="AR310" s="83">
        <f t="shared" si="387"/>
        <v>0</v>
      </c>
      <c r="AS310" s="83">
        <f t="shared" si="388"/>
        <v>0</v>
      </c>
      <c r="AT310" s="83" t="b">
        <f t="shared" si="389"/>
        <v>1</v>
      </c>
      <c r="AU310" s="83">
        <f t="shared" si="390"/>
        <v>0</v>
      </c>
      <c r="AV310" s="83">
        <f t="shared" si="391"/>
        <v>0</v>
      </c>
      <c r="AW310" s="83">
        <f t="shared" si="392"/>
        <v>0</v>
      </c>
      <c r="AX310" s="83">
        <f t="shared" si="393"/>
        <v>0</v>
      </c>
      <c r="AY310" s="83">
        <f t="shared" si="394"/>
        <v>0</v>
      </c>
      <c r="AZ310" s="84">
        <f>IFERROR(IF($E310="REC",INDEX(A_Type_Volume!$B:$B,MATCH($D310,A_Type_Volume!$A:$A,0),1),IF($E310="VAM",INDEX(C_Type_Volume!$B:$B,MATCH($D310,C_Type_Volume!$A:$A,0),1),"X")),"")</f>
        <v>45815</v>
      </c>
      <c r="BA310" s="84">
        <f>IFERROR(IF($E310="REC",INDEX(A_Type_Volume!$C:$C,MATCH($D310,A_Type_Volume!$A:$A,0),1),IF($E310="VAM",INDEX(C_Type_Volume!$C:$C,MATCH($D310,C_Type_Volume!$A:$A,0),1),"X")),"")</f>
        <v>35678</v>
      </c>
      <c r="BB310" s="84">
        <f>IFERROR(IF($E310="REC",INDEX(A_Type_Volume!$D:$D,MATCH($D310,A_Type_Volume!$A:$A,0),1),IF($E310="VAM",INDEX(C_Type_Volume!$D:$D,MATCH($D310,C_Type_Volume!$A:$A,0),1),"X")),"")</f>
        <v>25150</v>
      </c>
      <c r="BC310" s="84">
        <f>IFERROR(IF($E310="REC",INDEX(A_Type_Volume!$E:$E,MATCH($D310,A_Type_Volume!$A:$A,0),1),IF($E310="VAM",INDEX(C_Type_Volume!$E:$E,MATCH($D310,C_Type_Volume!$A:$A,0),1),"X")),"")</f>
        <v>37921</v>
      </c>
      <c r="BD310" s="84">
        <f>IFERROR(IF($E310="REC",INDEX(A_Type_Volume!$F:$F,MATCH($D310,A_Type_Volume!$A:$A,0),1),IF($E310="VAM",INDEX(C_Type_Volume!$F:$F,MATCH($D310,C_Type_Volume!$A:$A,0),1),"X")),"")</f>
        <v>43988</v>
      </c>
      <c r="BE310" s="84">
        <f>IFERROR(IF($E310="REC",INDEX(A_Type_Volume!$G:$G,MATCH($D310,A_Type_Volume!$A:$A,0),1),IF($E310="VAM",INDEX(C_Type_Volume!$G:$G,MATCH($D310,C_Type_Volume!$A:$A,0),1),"X")),"")</f>
        <v>42471</v>
      </c>
      <c r="BF310" s="84">
        <f>IFERROR(IF($E310="REC",INDEX(A_Type_Volume!$H:$H,MATCH($D310,A_Type_Volume!$A:$A,0),1),IF($E310="VAM",INDEX(C_Type_Volume!$H:$H,MATCH($D310,C_Type_Volume!$A:$A,0),1),"X")),"")</f>
        <v>43165</v>
      </c>
      <c r="BG310" s="84">
        <f>IFERROR(IF($E310="REC",INDEX(A_Type_Volume!$I:$I,MATCH($D310,A_Type_Volume!$A:$A,0),1),IF($E310="VAM",INDEX(C_Type_Volume!$I:$I,MATCH($D310,C_Type_Volume!$A:$A,0),1),"X")),"")</f>
        <v>41676</v>
      </c>
      <c r="BH310" s="84">
        <f>IFERROR(IF($E310="REC",INDEX(A_Type_Volume!$J:$J,MATCH($D310,A_Type_Volume!$A:$A,0),1),IF($E310="VAM",INDEX(C_Type_Volume!$J:$J,MATCH($D310,C_Type_Volume!$A:$A,0),1),"X")),"")</f>
        <v>43165</v>
      </c>
      <c r="BI310" s="84">
        <f>IFERROR(IF($E310="REC",INDEX(A_Type_Volume!$K:$K,MATCH($D310,A_Type_Volume!$A:$A,0),1),IF($E310="VAM",INDEX(C_Type_Volume!$K:$K,MATCH($D310,C_Type_Volume!$A:$A,0),1),"X")),"")</f>
        <v>45242</v>
      </c>
      <c r="BJ310" s="84">
        <f>IFERROR(IF($E310="REC",INDEX(A_Type_Volume!$L:$L,MATCH($D310,A_Type_Volume!$A:$A,0),1),IF($E310="VAM",INDEX(C_Type_Volume!$L:$L,MATCH($D310,C_Type_Volume!$A:$A,0),1),"X")),"")</f>
        <v>40864</v>
      </c>
      <c r="BK310" s="84">
        <f>IFERROR(IF($E310="REC",INDEX(A_Type_Volume!M:M,MATCH($D310,A_Type_Volume!$A:$A,0),1),IF($E310="VAM",INDEX(C_Type_Volume!M:M,MATCH($D310,C_Type_Volume!$A:$A,0),1),"X")),"")</f>
        <v>36486</v>
      </c>
      <c r="BL310" s="38">
        <f>SUM(Table1[[#This Row],[Jan_AVF]:[Dec_AVF]])</f>
        <v>481621</v>
      </c>
      <c r="BM310" s="85">
        <f t="shared" si="395"/>
        <v>0</v>
      </c>
      <c r="BN310" s="85">
        <f t="shared" si="396"/>
        <v>0</v>
      </c>
      <c r="BO310" s="85">
        <f t="shared" si="397"/>
        <v>0</v>
      </c>
      <c r="BP310" s="85">
        <f t="shared" si="398"/>
        <v>0</v>
      </c>
      <c r="BQ310" s="85">
        <f t="shared" si="399"/>
        <v>0</v>
      </c>
      <c r="BR310" s="85">
        <f t="shared" si="400"/>
        <v>0</v>
      </c>
      <c r="BS310" s="85">
        <f t="shared" si="401"/>
        <v>0</v>
      </c>
      <c r="BT310" s="85">
        <f t="shared" si="402"/>
        <v>0</v>
      </c>
      <c r="BU310" s="85">
        <f t="shared" si="403"/>
        <v>0</v>
      </c>
      <c r="BV310" s="85">
        <f t="shared" si="404"/>
        <v>0</v>
      </c>
      <c r="BW310" s="85">
        <f t="shared" si="405"/>
        <v>0</v>
      </c>
      <c r="BX310" s="85">
        <f t="shared" si="406"/>
        <v>0</v>
      </c>
      <c r="BY310" s="83">
        <f t="shared" si="407"/>
        <v>0</v>
      </c>
      <c r="BZ310" s="83">
        <f t="shared" si="408"/>
        <v>0</v>
      </c>
      <c r="CA310" s="83">
        <f t="shared" si="409"/>
        <v>0</v>
      </c>
      <c r="CB310" s="83">
        <f t="shared" si="410"/>
        <v>0</v>
      </c>
      <c r="CC310" s="83">
        <f>IFERROR(Table1[[#This Row],[Labor
Saving]]*Table1[[#This Row],[Annual Volume]],"")</f>
        <v>0</v>
      </c>
      <c r="CD310" s="83">
        <f>IFERROR(Table1[[#This Row],[Annual Volume]]*Table1[[#This Row],[Yield
Saving]],"")</f>
        <v>0</v>
      </c>
      <c r="CE310" s="83">
        <f>IFERROR(Table1[[#This Row],[Annual Volume]]*Table1[[#This Row],[Material
Saving]],"")</f>
        <v>0</v>
      </c>
      <c r="CF310" s="83">
        <f>IFERROR(Table1[[#This Row],[OH
Saving]]*Table1[[#This Row],[Annual Volume]],"")</f>
        <v>0</v>
      </c>
      <c r="CG310" s="83">
        <f>SUM(Table1[[#This Row],[Labor_ASV]:[OH_ASV]])</f>
        <v>0</v>
      </c>
    </row>
    <row r="311" spans="1:85" x14ac:dyDescent="0.3">
      <c r="A311" t="str">
        <f>Table1[[#This Row],[Project Name]]&amp;Table1[[#This Row],[Part Number]]</f>
        <v>New Etching Chemical Hydroflauric AcidV20</v>
      </c>
      <c r="B311" t="str">
        <f>IFERROR(Table1[[#This Row],[Project Number]]&amp;Table1[[#This Row],[Part Number]],"")</f>
        <v>AME25-068V20</v>
      </c>
      <c r="C311" s="47" t="s">
        <v>115</v>
      </c>
      <c r="D311" s="75" t="s">
        <v>232</v>
      </c>
      <c r="E311" s="76" t="s">
        <v>60</v>
      </c>
      <c r="F311" s="77">
        <f>INDEX(Proj_Reg!G:G,MATCH($C311,Proj_Reg!$B:$B,0),1)</f>
        <v>46266</v>
      </c>
      <c r="G311" s="77">
        <f>INDEX(Proj_Reg!H:H,MATCH($C311,Proj_Reg!$B:$B,0),1)</f>
        <v>46600</v>
      </c>
      <c r="H311" s="77" t="str">
        <f>IF(INDEX(Proj_Reg!C:C,MATCH($C311,Proj_Reg!$B:$B,0),1)=0,"",INDEX(Proj_Reg!C:C,MATCH($C311,Proj_Reg!$B:$B,0),1))</f>
        <v>Wet Etching</v>
      </c>
      <c r="I311" s="77" t="str">
        <f>IF(INDEX(Proj_Reg!D:D,MATCH($C311,Proj_Reg!$B:$B,0),1)=0,"",INDEX(Proj_Reg!D:D,MATCH($C311,Proj_Reg!$B:$B,0),1))</f>
        <v>XWP</v>
      </c>
      <c r="J311" s="77" t="str">
        <f>INDEX(Proj_Reg!E:E,MATCH($C311,Proj_Reg!$B:$B,0),1)</f>
        <v>New Etching Chemical Hydroflauric Acid</v>
      </c>
      <c r="K311" s="78"/>
      <c r="L311" s="21"/>
      <c r="M311" s="21"/>
      <c r="N311" s="21"/>
      <c r="O311" s="79">
        <f>SUM(Table1[[#This Row],[Labor
Saving]:[OH
Saving]])</f>
        <v>0</v>
      </c>
      <c r="P311" s="42"/>
      <c r="Q311" s="40">
        <f t="shared" si="362"/>
        <v>0</v>
      </c>
      <c r="R311" s="40">
        <f t="shared" si="363"/>
        <v>0</v>
      </c>
      <c r="S311" s="40">
        <f t="shared" si="364"/>
        <v>0</v>
      </c>
      <c r="T311" s="40">
        <f t="shared" si="365"/>
        <v>0</v>
      </c>
      <c r="U311" s="40">
        <f t="shared" si="366"/>
        <v>0</v>
      </c>
      <c r="V311" s="40">
        <f t="shared" si="367"/>
        <v>0</v>
      </c>
      <c r="W311" s="40">
        <f t="shared" si="368"/>
        <v>0</v>
      </c>
      <c r="X311" s="40">
        <f t="shared" si="369"/>
        <v>0</v>
      </c>
      <c r="Y311" s="40">
        <f t="shared" si="210"/>
        <v>30008.3</v>
      </c>
      <c r="Z311" s="40">
        <f t="shared" si="370"/>
        <v>46245</v>
      </c>
      <c r="AA311" s="40">
        <f t="shared" si="371"/>
        <v>41769</v>
      </c>
      <c r="AB311" s="40">
        <f t="shared" si="372"/>
        <v>37294</v>
      </c>
      <c r="AC311" s="81">
        <f>SUM(Table1[[#This Row],[Jan]:[Dec]])</f>
        <v>155316.29999999999</v>
      </c>
      <c r="AD311" s="82">
        <f t="shared" si="373"/>
        <v>0</v>
      </c>
      <c r="AE311" s="82">
        <f t="shared" si="374"/>
        <v>0</v>
      </c>
      <c r="AF311" s="82">
        <f t="shared" si="375"/>
        <v>0</v>
      </c>
      <c r="AG311" s="82">
        <f t="shared" si="376"/>
        <v>0</v>
      </c>
      <c r="AH311" s="82">
        <f t="shared" si="377"/>
        <v>0</v>
      </c>
      <c r="AI311" s="82">
        <f t="shared" si="378"/>
        <v>0</v>
      </c>
      <c r="AJ311" s="82">
        <f t="shared" si="379"/>
        <v>0</v>
      </c>
      <c r="AK311" s="82">
        <f t="shared" si="380"/>
        <v>0</v>
      </c>
      <c r="AL311" s="82">
        <f t="shared" si="381"/>
        <v>0</v>
      </c>
      <c r="AM311" s="82">
        <f t="shared" si="382"/>
        <v>0</v>
      </c>
      <c r="AN311" s="82">
        <f t="shared" si="383"/>
        <v>0</v>
      </c>
      <c r="AO311" s="82">
        <f t="shared" si="384"/>
        <v>0</v>
      </c>
      <c r="AP311" s="83">
        <f t="shared" si="385"/>
        <v>0</v>
      </c>
      <c r="AQ311" s="83">
        <f t="shared" si="386"/>
        <v>0</v>
      </c>
      <c r="AR311" s="83">
        <f t="shared" si="387"/>
        <v>0</v>
      </c>
      <c r="AS311" s="83">
        <f t="shared" si="388"/>
        <v>0</v>
      </c>
      <c r="AT311" s="83" t="b">
        <f t="shared" si="389"/>
        <v>1</v>
      </c>
      <c r="AU311" s="83">
        <f t="shared" si="390"/>
        <v>0</v>
      </c>
      <c r="AV311" s="83">
        <f t="shared" si="391"/>
        <v>0</v>
      </c>
      <c r="AW311" s="83">
        <f t="shared" si="392"/>
        <v>0</v>
      </c>
      <c r="AX311" s="83">
        <f t="shared" si="393"/>
        <v>0</v>
      </c>
      <c r="AY311" s="83">
        <f t="shared" si="394"/>
        <v>0</v>
      </c>
      <c r="AZ311" s="84">
        <f>IFERROR(IF($E311="REC",INDEX(A_Type_Volume!$B:$B,MATCH($D311,A_Type_Volume!$A:$A,0),1),IF($E311="VAM",INDEX(C_Type_Volume!$B:$B,MATCH($D311,C_Type_Volume!$A:$A,0),1),"X")),"")</f>
        <v>45815</v>
      </c>
      <c r="BA311" s="84">
        <f>IFERROR(IF($E311="REC",INDEX(A_Type_Volume!$C:$C,MATCH($D311,A_Type_Volume!$A:$A,0),1),IF($E311="VAM",INDEX(C_Type_Volume!$C:$C,MATCH($D311,C_Type_Volume!$A:$A,0),1),"X")),"")</f>
        <v>31827</v>
      </c>
      <c r="BB311" s="84">
        <f>IFERROR(IF($E311="REC",INDEX(A_Type_Volume!$D:$D,MATCH($D311,A_Type_Volume!$A:$A,0),1),IF($E311="VAM",INDEX(C_Type_Volume!$D:$D,MATCH($D311,C_Type_Volume!$A:$A,0),1),"X")),"")</f>
        <v>50854</v>
      </c>
      <c r="BC311" s="84">
        <f>IFERROR(IF($E311="REC",INDEX(A_Type_Volume!$E:$E,MATCH($D311,A_Type_Volume!$A:$A,0),1),IF($E311="VAM",INDEX(C_Type_Volume!$E:$E,MATCH($D311,C_Type_Volume!$A:$A,0),1),"X")),"")</f>
        <v>37656</v>
      </c>
      <c r="BD311" s="84">
        <f>IFERROR(IF($E311="REC",INDEX(A_Type_Volume!$F:$F,MATCH($D311,A_Type_Volume!$A:$A,0),1),IF($E311="VAM",INDEX(C_Type_Volume!$F:$F,MATCH($D311,C_Type_Volume!$A:$A,0),1),"X")),"")</f>
        <v>43681</v>
      </c>
      <c r="BE311" s="84">
        <f>IFERROR(IF($E311="REC",INDEX(A_Type_Volume!$G:$G,MATCH($D311,A_Type_Volume!$A:$A,0),1),IF($E311="VAM",INDEX(C_Type_Volume!$G:$G,MATCH($D311,C_Type_Volume!$A:$A,0),1),"X")),"")</f>
        <v>42175</v>
      </c>
      <c r="BF311" s="84">
        <f>IFERROR(IF($E311="REC",INDEX(A_Type_Volume!$H:$H,MATCH($D311,A_Type_Volume!$A:$A,0),1),IF($E311="VAM",INDEX(C_Type_Volume!$H:$H,MATCH($D311,C_Type_Volume!$A:$A,0),1),"X")),"")</f>
        <v>42869</v>
      </c>
      <c r="BG311" s="84">
        <f>IFERROR(IF($E311="REC",INDEX(A_Type_Volume!$I:$I,MATCH($D311,A_Type_Volume!$A:$A,0),1),IF($E311="VAM",INDEX(C_Type_Volume!$I:$I,MATCH($D311,C_Type_Volume!$A:$A,0),1),"X")),"")</f>
        <v>41391</v>
      </c>
      <c r="BH311" s="84">
        <f>IFERROR(IF($E311="REC",INDEX(A_Type_Volume!$J:$J,MATCH($D311,A_Type_Volume!$A:$A,0),1),IF($E311="VAM",INDEX(C_Type_Volume!$J:$J,MATCH($D311,C_Type_Volume!$A:$A,0),1),"X")),"")</f>
        <v>42869</v>
      </c>
      <c r="BI311" s="84">
        <f>IFERROR(IF($E311="REC",INDEX(A_Type_Volume!$K:$K,MATCH($D311,A_Type_Volume!$A:$A,0),1),IF($E311="VAM",INDEX(C_Type_Volume!$K:$K,MATCH($D311,C_Type_Volume!$A:$A,0),1),"X")),"")</f>
        <v>46245</v>
      </c>
      <c r="BJ311" s="84">
        <f>IFERROR(IF($E311="REC",INDEX(A_Type_Volume!$L:$L,MATCH($D311,A_Type_Volume!$A:$A,0),1),IF($E311="VAM",INDEX(C_Type_Volume!$L:$L,MATCH($D311,C_Type_Volume!$A:$A,0),1),"X")),"")</f>
        <v>41769</v>
      </c>
      <c r="BK311" s="84">
        <f>IFERROR(IF($E311="REC",INDEX(A_Type_Volume!M:M,MATCH($D311,A_Type_Volume!$A:$A,0),1),IF($E311="VAM",INDEX(C_Type_Volume!M:M,MATCH($D311,C_Type_Volume!$A:$A,0),1),"X")),"")</f>
        <v>37294</v>
      </c>
      <c r="BL311" s="38">
        <f>SUM(Table1[[#This Row],[Jan_AVF]:[Dec_AVF]])</f>
        <v>504445</v>
      </c>
      <c r="BM311" s="85">
        <f t="shared" si="395"/>
        <v>0</v>
      </c>
      <c r="BN311" s="85">
        <f t="shared" si="396"/>
        <v>0</v>
      </c>
      <c r="BO311" s="85">
        <f t="shared" si="397"/>
        <v>0</v>
      </c>
      <c r="BP311" s="85">
        <f t="shared" si="398"/>
        <v>0</v>
      </c>
      <c r="BQ311" s="85">
        <f t="shared" si="399"/>
        <v>0</v>
      </c>
      <c r="BR311" s="85">
        <f t="shared" si="400"/>
        <v>0</v>
      </c>
      <c r="BS311" s="85">
        <f t="shared" si="401"/>
        <v>0</v>
      </c>
      <c r="BT311" s="85">
        <f t="shared" si="402"/>
        <v>0</v>
      </c>
      <c r="BU311" s="85">
        <f t="shared" si="403"/>
        <v>0</v>
      </c>
      <c r="BV311" s="85">
        <f t="shared" si="404"/>
        <v>0</v>
      </c>
      <c r="BW311" s="85">
        <f t="shared" si="405"/>
        <v>0</v>
      </c>
      <c r="BX311" s="85">
        <f t="shared" si="406"/>
        <v>0</v>
      </c>
      <c r="BY311" s="83">
        <f t="shared" si="407"/>
        <v>0</v>
      </c>
      <c r="BZ311" s="83">
        <f t="shared" si="408"/>
        <v>0</v>
      </c>
      <c r="CA311" s="83">
        <f t="shared" si="409"/>
        <v>0</v>
      </c>
      <c r="CB311" s="83">
        <f t="shared" si="410"/>
        <v>0</v>
      </c>
      <c r="CC311" s="83">
        <f>IFERROR(Table1[[#This Row],[Labor
Saving]]*Table1[[#This Row],[Annual Volume]],"")</f>
        <v>0</v>
      </c>
      <c r="CD311" s="83">
        <f>IFERROR(Table1[[#This Row],[Annual Volume]]*Table1[[#This Row],[Yield
Saving]],"")</f>
        <v>0</v>
      </c>
      <c r="CE311" s="83">
        <f>IFERROR(Table1[[#This Row],[Annual Volume]]*Table1[[#This Row],[Material
Saving]],"")</f>
        <v>0</v>
      </c>
      <c r="CF311" s="83">
        <f>IFERROR(Table1[[#This Row],[OH
Saving]]*Table1[[#This Row],[Annual Volume]],"")</f>
        <v>0</v>
      </c>
      <c r="CG311" s="83">
        <f>SUM(Table1[[#This Row],[Labor_ASV]:[OH_ASV]])</f>
        <v>0</v>
      </c>
    </row>
    <row r="312" spans="1:85" x14ac:dyDescent="0.3">
      <c r="A312" t="str">
        <f>Table1[[#This Row],[Project Name]]&amp;Table1[[#This Row],[Part Number]]</f>
        <v>New Etching Chemical Hydroflauric AcidV21</v>
      </c>
      <c r="B312" t="str">
        <f>IFERROR(Table1[[#This Row],[Project Number]]&amp;Table1[[#This Row],[Part Number]],"")</f>
        <v>AME25-068V21</v>
      </c>
      <c r="C312" s="47" t="s">
        <v>115</v>
      </c>
      <c r="D312" s="75" t="s">
        <v>233</v>
      </c>
      <c r="E312" s="76" t="s">
        <v>60</v>
      </c>
      <c r="F312" s="77">
        <f>INDEX(Proj_Reg!G:G,MATCH($C312,Proj_Reg!$B:$B,0),1)</f>
        <v>46266</v>
      </c>
      <c r="G312" s="77">
        <f>INDEX(Proj_Reg!H:H,MATCH($C312,Proj_Reg!$B:$B,0),1)</f>
        <v>46600</v>
      </c>
      <c r="H312" s="77" t="str">
        <f>IF(INDEX(Proj_Reg!C:C,MATCH($C312,Proj_Reg!$B:$B,0),1)=0,"",INDEX(Proj_Reg!C:C,MATCH($C312,Proj_Reg!$B:$B,0),1))</f>
        <v>Wet Etching</v>
      </c>
      <c r="I312" s="77" t="str">
        <f>IF(INDEX(Proj_Reg!D:D,MATCH($C312,Proj_Reg!$B:$B,0),1)=0,"",INDEX(Proj_Reg!D:D,MATCH($C312,Proj_Reg!$B:$B,0),1))</f>
        <v>XWP</v>
      </c>
      <c r="J312" s="77" t="str">
        <f>INDEX(Proj_Reg!E:E,MATCH($C312,Proj_Reg!$B:$B,0),1)</f>
        <v>New Etching Chemical Hydroflauric Acid</v>
      </c>
      <c r="K312" s="78"/>
      <c r="L312" s="21"/>
      <c r="M312" s="21"/>
      <c r="N312" s="21"/>
      <c r="O312" s="79">
        <f>SUM(Table1[[#This Row],[Labor
Saving]:[OH
Saving]])</f>
        <v>0</v>
      </c>
      <c r="P312" s="42"/>
      <c r="Q312" s="40">
        <f t="shared" si="362"/>
        <v>0</v>
      </c>
      <c r="R312" s="40">
        <f t="shared" si="363"/>
        <v>0</v>
      </c>
      <c r="S312" s="40">
        <f t="shared" si="364"/>
        <v>0</v>
      </c>
      <c r="T312" s="40">
        <f t="shared" si="365"/>
        <v>0</v>
      </c>
      <c r="U312" s="40">
        <f t="shared" si="366"/>
        <v>0</v>
      </c>
      <c r="V312" s="40">
        <f t="shared" si="367"/>
        <v>0</v>
      </c>
      <c r="W312" s="40">
        <f t="shared" si="368"/>
        <v>0</v>
      </c>
      <c r="X312" s="40">
        <f t="shared" si="369"/>
        <v>0</v>
      </c>
      <c r="Y312" s="40">
        <f t="shared" si="210"/>
        <v>82731.599999999991</v>
      </c>
      <c r="Z312" s="40">
        <f t="shared" si="370"/>
        <v>128693</v>
      </c>
      <c r="AA312" s="40">
        <f t="shared" si="371"/>
        <v>116239</v>
      </c>
      <c r="AB312" s="40">
        <f t="shared" si="372"/>
        <v>103785</v>
      </c>
      <c r="AC312" s="81">
        <f>SUM(Table1[[#This Row],[Jan]:[Dec]])</f>
        <v>431448.6</v>
      </c>
      <c r="AD312" s="82">
        <f t="shared" si="373"/>
        <v>0</v>
      </c>
      <c r="AE312" s="82">
        <f t="shared" si="374"/>
        <v>0</v>
      </c>
      <c r="AF312" s="82">
        <f t="shared" si="375"/>
        <v>0</v>
      </c>
      <c r="AG312" s="82">
        <f t="shared" si="376"/>
        <v>0</v>
      </c>
      <c r="AH312" s="82">
        <f t="shared" si="377"/>
        <v>0</v>
      </c>
      <c r="AI312" s="82">
        <f t="shared" si="378"/>
        <v>0</v>
      </c>
      <c r="AJ312" s="82">
        <f t="shared" si="379"/>
        <v>0</v>
      </c>
      <c r="AK312" s="82">
        <f t="shared" si="380"/>
        <v>0</v>
      </c>
      <c r="AL312" s="82">
        <f t="shared" si="381"/>
        <v>0</v>
      </c>
      <c r="AM312" s="82">
        <f t="shared" si="382"/>
        <v>0</v>
      </c>
      <c r="AN312" s="82">
        <f t="shared" si="383"/>
        <v>0</v>
      </c>
      <c r="AO312" s="82">
        <f t="shared" si="384"/>
        <v>0</v>
      </c>
      <c r="AP312" s="83">
        <f t="shared" si="385"/>
        <v>0</v>
      </c>
      <c r="AQ312" s="83">
        <f t="shared" si="386"/>
        <v>0</v>
      </c>
      <c r="AR312" s="83">
        <f t="shared" si="387"/>
        <v>0</v>
      </c>
      <c r="AS312" s="83">
        <f t="shared" si="388"/>
        <v>0</v>
      </c>
      <c r="AT312" s="83" t="b">
        <f t="shared" si="389"/>
        <v>1</v>
      </c>
      <c r="AU312" s="83">
        <f t="shared" si="390"/>
        <v>0</v>
      </c>
      <c r="AV312" s="83">
        <f t="shared" si="391"/>
        <v>0</v>
      </c>
      <c r="AW312" s="83">
        <f t="shared" si="392"/>
        <v>0</v>
      </c>
      <c r="AX312" s="83">
        <f t="shared" si="393"/>
        <v>0</v>
      </c>
      <c r="AY312" s="83">
        <f t="shared" si="394"/>
        <v>0</v>
      </c>
      <c r="AZ312" s="84">
        <f>IFERROR(IF($E312="REC",INDEX(A_Type_Volume!$B:$B,MATCH($D312,A_Type_Volume!$A:$A,0),1),IF($E312="VAM",INDEX(C_Type_Volume!$B:$B,MATCH($D312,C_Type_Volume!$A:$A,0),1),"X")),"")</f>
        <v>20538</v>
      </c>
      <c r="BA312" s="84">
        <f>IFERROR(IF($E312="REC",INDEX(A_Type_Volume!$C:$C,MATCH($D312,A_Type_Volume!$A:$A,0),1),IF($E312="VAM",INDEX(C_Type_Volume!$C:$C,MATCH($D312,C_Type_Volume!$A:$A,0),1),"X")),"")</f>
        <v>119280</v>
      </c>
      <c r="BB312" s="84">
        <f>IFERROR(IF($E312="REC",INDEX(A_Type_Volume!$D:$D,MATCH($D312,A_Type_Volume!$A:$A,0),1),IF($E312="VAM",INDEX(C_Type_Volume!$D:$D,MATCH($D312,C_Type_Volume!$A:$A,0),1),"X")),"")</f>
        <v>125751</v>
      </c>
      <c r="BC312" s="84">
        <f>IFERROR(IF($E312="REC",INDEX(A_Type_Volume!$E:$E,MATCH($D312,A_Type_Volume!$A:$A,0),1),IF($E312="VAM",INDEX(C_Type_Volume!$E:$E,MATCH($D312,C_Type_Volume!$A:$A,0),1),"X")),"")</f>
        <v>103619</v>
      </c>
      <c r="BD312" s="84">
        <f>IFERROR(IF($E312="REC",INDEX(A_Type_Volume!$F:$F,MATCH($D312,A_Type_Volume!$A:$A,0),1),IF($E312="VAM",INDEX(C_Type_Volume!$F:$F,MATCH($D312,C_Type_Volume!$A:$A,0),1),"X")),"")</f>
        <v>120198</v>
      </c>
      <c r="BE312" s="84">
        <f>IFERROR(IF($E312="REC",INDEX(A_Type_Volume!$G:$G,MATCH($D312,A_Type_Volume!$A:$A,0),1),IF($E312="VAM",INDEX(C_Type_Volume!$G:$G,MATCH($D312,C_Type_Volume!$A:$A,0),1),"X")),"")</f>
        <v>116053</v>
      </c>
      <c r="BF312" s="84">
        <f>IFERROR(IF($E312="REC",INDEX(A_Type_Volume!$H:$H,MATCH($D312,A_Type_Volume!$A:$A,0),1),IF($E312="VAM",INDEX(C_Type_Volume!$H:$H,MATCH($D312,C_Type_Volume!$A:$A,0),1),"X")),"")</f>
        <v>118188</v>
      </c>
      <c r="BG312" s="84">
        <f>IFERROR(IF($E312="REC",INDEX(A_Type_Volume!$I:$I,MATCH($D312,A_Type_Volume!$A:$A,0),1),IF($E312="VAM",INDEX(C_Type_Volume!$I:$I,MATCH($D312,C_Type_Volume!$A:$A,0),1),"X")),"")</f>
        <v>114113</v>
      </c>
      <c r="BH312" s="84">
        <f>IFERROR(IF($E312="REC",INDEX(A_Type_Volume!$J:$J,MATCH($D312,A_Type_Volume!$A:$A,0),1),IF($E312="VAM",INDEX(C_Type_Volume!$J:$J,MATCH($D312,C_Type_Volume!$A:$A,0),1),"X")),"")</f>
        <v>118188</v>
      </c>
      <c r="BI312" s="84">
        <f>IFERROR(IF($E312="REC",INDEX(A_Type_Volume!$K:$K,MATCH($D312,A_Type_Volume!$A:$A,0),1),IF($E312="VAM",INDEX(C_Type_Volume!$K:$K,MATCH($D312,C_Type_Volume!$A:$A,0),1),"X")),"")</f>
        <v>128693</v>
      </c>
      <c r="BJ312" s="84">
        <f>IFERROR(IF($E312="REC",INDEX(A_Type_Volume!$L:$L,MATCH($D312,A_Type_Volume!$A:$A,0),1),IF($E312="VAM",INDEX(C_Type_Volume!$L:$L,MATCH($D312,C_Type_Volume!$A:$A,0),1),"X")),"")</f>
        <v>116239</v>
      </c>
      <c r="BK312" s="84">
        <f>IFERROR(IF($E312="REC",INDEX(A_Type_Volume!M:M,MATCH($D312,A_Type_Volume!$A:$A,0),1),IF($E312="VAM",INDEX(C_Type_Volume!M:M,MATCH($D312,C_Type_Volume!$A:$A,0),1),"X")),"")</f>
        <v>103785</v>
      </c>
      <c r="BL312" s="38">
        <f>SUM(Table1[[#This Row],[Jan_AVF]:[Dec_AVF]])</f>
        <v>1304645</v>
      </c>
      <c r="BM312" s="85">
        <f t="shared" si="395"/>
        <v>0</v>
      </c>
      <c r="BN312" s="85">
        <f t="shared" si="396"/>
        <v>0</v>
      </c>
      <c r="BO312" s="85">
        <f t="shared" si="397"/>
        <v>0</v>
      </c>
      <c r="BP312" s="85">
        <f t="shared" si="398"/>
        <v>0</v>
      </c>
      <c r="BQ312" s="85">
        <f t="shared" si="399"/>
        <v>0</v>
      </c>
      <c r="BR312" s="85">
        <f t="shared" si="400"/>
        <v>0</v>
      </c>
      <c r="BS312" s="85">
        <f t="shared" si="401"/>
        <v>0</v>
      </c>
      <c r="BT312" s="85">
        <f t="shared" si="402"/>
        <v>0</v>
      </c>
      <c r="BU312" s="85">
        <f t="shared" si="403"/>
        <v>0</v>
      </c>
      <c r="BV312" s="85">
        <f t="shared" si="404"/>
        <v>0</v>
      </c>
      <c r="BW312" s="85">
        <f t="shared" si="405"/>
        <v>0</v>
      </c>
      <c r="BX312" s="85">
        <f t="shared" si="406"/>
        <v>0</v>
      </c>
      <c r="BY312" s="83">
        <f t="shared" si="407"/>
        <v>0</v>
      </c>
      <c r="BZ312" s="83">
        <f t="shared" si="408"/>
        <v>0</v>
      </c>
      <c r="CA312" s="83">
        <f t="shared" si="409"/>
        <v>0</v>
      </c>
      <c r="CB312" s="83">
        <f t="shared" si="410"/>
        <v>0</v>
      </c>
      <c r="CC312" s="83">
        <f>IFERROR(Table1[[#This Row],[Labor
Saving]]*Table1[[#This Row],[Annual Volume]],"")</f>
        <v>0</v>
      </c>
      <c r="CD312" s="83">
        <f>IFERROR(Table1[[#This Row],[Annual Volume]]*Table1[[#This Row],[Yield
Saving]],"")</f>
        <v>0</v>
      </c>
      <c r="CE312" s="83">
        <f>IFERROR(Table1[[#This Row],[Annual Volume]]*Table1[[#This Row],[Material
Saving]],"")</f>
        <v>0</v>
      </c>
      <c r="CF312" s="83">
        <f>IFERROR(Table1[[#This Row],[OH
Saving]]*Table1[[#This Row],[Annual Volume]],"")</f>
        <v>0</v>
      </c>
      <c r="CG312" s="83">
        <f>SUM(Table1[[#This Row],[Labor_ASV]:[OH_ASV]])</f>
        <v>0</v>
      </c>
    </row>
    <row r="313" spans="1:85" x14ac:dyDescent="0.3">
      <c r="A313" t="str">
        <f>Table1[[#This Row],[Project Name]]&amp;Table1[[#This Row],[Part Number]]</f>
        <v>New Etching Chemical Hydroflauric AcidV22</v>
      </c>
      <c r="B313" t="str">
        <f>IFERROR(Table1[[#This Row],[Project Number]]&amp;Table1[[#This Row],[Part Number]],"")</f>
        <v>AME25-068V22</v>
      </c>
      <c r="C313" s="47" t="s">
        <v>115</v>
      </c>
      <c r="D313" s="75" t="s">
        <v>234</v>
      </c>
      <c r="E313" s="76" t="s">
        <v>60</v>
      </c>
      <c r="F313" s="77">
        <f>INDEX(Proj_Reg!G:G,MATCH($C313,Proj_Reg!$B:$B,0),1)</f>
        <v>46266</v>
      </c>
      <c r="G313" s="77">
        <f>INDEX(Proj_Reg!H:H,MATCH($C313,Proj_Reg!$B:$B,0),1)</f>
        <v>46600</v>
      </c>
      <c r="H313" s="77" t="str">
        <f>IF(INDEX(Proj_Reg!C:C,MATCH($C313,Proj_Reg!$B:$B,0),1)=0,"",INDEX(Proj_Reg!C:C,MATCH($C313,Proj_Reg!$B:$B,0),1))</f>
        <v>Wet Etching</v>
      </c>
      <c r="I313" s="77" t="str">
        <f>IF(INDEX(Proj_Reg!D:D,MATCH($C313,Proj_Reg!$B:$B,0),1)=0,"",INDEX(Proj_Reg!D:D,MATCH($C313,Proj_Reg!$B:$B,0),1))</f>
        <v>XWP</v>
      </c>
      <c r="J313" s="77" t="str">
        <f>INDEX(Proj_Reg!E:E,MATCH($C313,Proj_Reg!$B:$B,0),1)</f>
        <v>New Etching Chemical Hydroflauric Acid</v>
      </c>
      <c r="K313" s="78"/>
      <c r="L313" s="21"/>
      <c r="M313" s="21"/>
      <c r="N313" s="21"/>
      <c r="O313" s="79">
        <f>SUM(Table1[[#This Row],[Labor
Saving]:[OH
Saving]])</f>
        <v>0</v>
      </c>
      <c r="P313" s="42"/>
      <c r="Q313" s="40">
        <f t="shared" si="362"/>
        <v>0</v>
      </c>
      <c r="R313" s="40">
        <f t="shared" si="363"/>
        <v>0</v>
      </c>
      <c r="S313" s="40">
        <f t="shared" si="364"/>
        <v>0</v>
      </c>
      <c r="T313" s="40">
        <f t="shared" si="365"/>
        <v>0</v>
      </c>
      <c r="U313" s="40">
        <f t="shared" si="366"/>
        <v>0</v>
      </c>
      <c r="V313" s="40">
        <f t="shared" si="367"/>
        <v>0</v>
      </c>
      <c r="W313" s="40">
        <f t="shared" si="368"/>
        <v>0</v>
      </c>
      <c r="X313" s="40">
        <f t="shared" si="369"/>
        <v>0</v>
      </c>
      <c r="Y313" s="40">
        <f t="shared" si="210"/>
        <v>83747.299999999988</v>
      </c>
      <c r="Z313" s="40">
        <f t="shared" si="370"/>
        <v>126679</v>
      </c>
      <c r="AA313" s="40">
        <f t="shared" si="371"/>
        <v>114420</v>
      </c>
      <c r="AB313" s="40">
        <f t="shared" si="372"/>
        <v>102160</v>
      </c>
      <c r="AC313" s="81">
        <f>SUM(Table1[[#This Row],[Jan]:[Dec]])</f>
        <v>427006.3</v>
      </c>
      <c r="AD313" s="82">
        <f t="shared" si="373"/>
        <v>0</v>
      </c>
      <c r="AE313" s="82">
        <f t="shared" si="374"/>
        <v>0</v>
      </c>
      <c r="AF313" s="82">
        <f t="shared" si="375"/>
        <v>0</v>
      </c>
      <c r="AG313" s="82">
        <f t="shared" si="376"/>
        <v>0</v>
      </c>
      <c r="AH313" s="82">
        <f t="shared" si="377"/>
        <v>0</v>
      </c>
      <c r="AI313" s="82">
        <f t="shared" si="378"/>
        <v>0</v>
      </c>
      <c r="AJ313" s="82">
        <f t="shared" si="379"/>
        <v>0</v>
      </c>
      <c r="AK313" s="82">
        <f t="shared" si="380"/>
        <v>0</v>
      </c>
      <c r="AL313" s="82">
        <f t="shared" si="381"/>
        <v>0</v>
      </c>
      <c r="AM313" s="82">
        <f t="shared" si="382"/>
        <v>0</v>
      </c>
      <c r="AN313" s="82">
        <f t="shared" si="383"/>
        <v>0</v>
      </c>
      <c r="AO313" s="82">
        <f t="shared" si="384"/>
        <v>0</v>
      </c>
      <c r="AP313" s="83">
        <f t="shared" si="385"/>
        <v>0</v>
      </c>
      <c r="AQ313" s="83">
        <f t="shared" si="386"/>
        <v>0</v>
      </c>
      <c r="AR313" s="83">
        <f t="shared" si="387"/>
        <v>0</v>
      </c>
      <c r="AS313" s="83">
        <f t="shared" si="388"/>
        <v>0</v>
      </c>
      <c r="AT313" s="83" t="b">
        <f t="shared" si="389"/>
        <v>1</v>
      </c>
      <c r="AU313" s="83">
        <f t="shared" si="390"/>
        <v>0</v>
      </c>
      <c r="AV313" s="83">
        <f t="shared" si="391"/>
        <v>0</v>
      </c>
      <c r="AW313" s="83">
        <f t="shared" si="392"/>
        <v>0</v>
      </c>
      <c r="AX313" s="83">
        <f t="shared" si="393"/>
        <v>0</v>
      </c>
      <c r="AY313" s="83">
        <f t="shared" si="394"/>
        <v>0</v>
      </c>
      <c r="AZ313" s="84">
        <f>IFERROR(IF($E313="REC",INDEX(A_Type_Volume!$B:$B,MATCH($D313,A_Type_Volume!$A:$A,0),1),IF($E313="VAM",INDEX(C_Type_Volume!$B:$B,MATCH($D313,C_Type_Volume!$A:$A,0),1),"X")),"")</f>
        <v>153243</v>
      </c>
      <c r="BA313" s="84">
        <f>IFERROR(IF($E313="REC",INDEX(A_Type_Volume!$C:$C,MATCH($D313,A_Type_Volume!$A:$A,0),1),IF($E313="VAM",INDEX(C_Type_Volume!$C:$C,MATCH($D313,C_Type_Volume!$A:$A,0),1),"X")),"")</f>
        <v>102836</v>
      </c>
      <c r="BB313" s="84">
        <f>IFERROR(IF($E313="REC",INDEX(A_Type_Volume!$D:$D,MATCH($D313,A_Type_Volume!$A:$A,0),1),IF($E313="VAM",INDEX(C_Type_Volume!$D:$D,MATCH($D313,C_Type_Volume!$A:$A,0),1),"X")),"")</f>
        <v>134134</v>
      </c>
      <c r="BC313" s="84">
        <f>IFERROR(IF($E313="REC",INDEX(A_Type_Volume!$E:$E,MATCH($D313,A_Type_Volume!$A:$A,0),1),IF($E313="VAM",INDEX(C_Type_Volume!$E:$E,MATCH($D313,C_Type_Volume!$A:$A,0),1),"X")),"")</f>
        <v>102553</v>
      </c>
      <c r="BD313" s="84">
        <f>IFERROR(IF($E313="REC",INDEX(A_Type_Volume!$F:$F,MATCH($D313,A_Type_Volume!$A:$A,0),1),IF($E313="VAM",INDEX(C_Type_Volume!$F:$F,MATCH($D313,C_Type_Volume!$A:$A,0),1),"X")),"")</f>
        <v>118962</v>
      </c>
      <c r="BE313" s="84">
        <f>IFERROR(IF($E313="REC",INDEX(A_Type_Volume!$G:$G,MATCH($D313,A_Type_Volume!$A:$A,0),1),IF($E313="VAM",INDEX(C_Type_Volume!$G:$G,MATCH($D313,C_Type_Volume!$A:$A,0),1),"X")),"")</f>
        <v>114860</v>
      </c>
      <c r="BF313" s="84">
        <f>IFERROR(IF($E313="REC",INDEX(A_Type_Volume!$H:$H,MATCH($D313,A_Type_Volume!$A:$A,0),1),IF($E313="VAM",INDEX(C_Type_Volume!$H:$H,MATCH($D313,C_Type_Volume!$A:$A,0),1),"X")),"")</f>
        <v>119639</v>
      </c>
      <c r="BG313" s="84">
        <f>IFERROR(IF($E313="REC",INDEX(A_Type_Volume!$I:$I,MATCH($D313,A_Type_Volume!$A:$A,0),1),IF($E313="VAM",INDEX(C_Type_Volume!$I:$I,MATCH($D313,C_Type_Volume!$A:$A,0),1),"X")),"")</f>
        <v>115514</v>
      </c>
      <c r="BH313" s="84">
        <f>IFERROR(IF($E313="REC",INDEX(A_Type_Volume!$J:$J,MATCH($D313,A_Type_Volume!$A:$A,0),1),IF($E313="VAM",INDEX(C_Type_Volume!$J:$J,MATCH($D313,C_Type_Volume!$A:$A,0),1),"X")),"")</f>
        <v>119639</v>
      </c>
      <c r="BI313" s="84">
        <f>IFERROR(IF($E313="REC",INDEX(A_Type_Volume!$K:$K,MATCH($D313,A_Type_Volume!$A:$A,0),1),IF($E313="VAM",INDEX(C_Type_Volume!$K:$K,MATCH($D313,C_Type_Volume!$A:$A,0),1),"X")),"")</f>
        <v>126679</v>
      </c>
      <c r="BJ313" s="84">
        <f>IFERROR(IF($E313="REC",INDEX(A_Type_Volume!$L:$L,MATCH($D313,A_Type_Volume!$A:$A,0),1),IF($E313="VAM",INDEX(C_Type_Volume!$L:$L,MATCH($D313,C_Type_Volume!$A:$A,0),1),"X")),"")</f>
        <v>114420</v>
      </c>
      <c r="BK313" s="84">
        <f>IFERROR(IF($E313="REC",INDEX(A_Type_Volume!M:M,MATCH($D313,A_Type_Volume!$A:$A,0),1),IF($E313="VAM",INDEX(C_Type_Volume!M:M,MATCH($D313,C_Type_Volume!$A:$A,0),1),"X")),"")</f>
        <v>102160</v>
      </c>
      <c r="BL313" s="38">
        <f>SUM(Table1[[#This Row],[Jan_AVF]:[Dec_AVF]])</f>
        <v>1424639</v>
      </c>
      <c r="BM313" s="85">
        <f t="shared" si="395"/>
        <v>0</v>
      </c>
      <c r="BN313" s="85">
        <f t="shared" si="396"/>
        <v>0</v>
      </c>
      <c r="BO313" s="85">
        <f t="shared" si="397"/>
        <v>0</v>
      </c>
      <c r="BP313" s="85">
        <f t="shared" si="398"/>
        <v>0</v>
      </c>
      <c r="BQ313" s="85">
        <f t="shared" si="399"/>
        <v>0</v>
      </c>
      <c r="BR313" s="85">
        <f t="shared" si="400"/>
        <v>0</v>
      </c>
      <c r="BS313" s="85">
        <f t="shared" si="401"/>
        <v>0</v>
      </c>
      <c r="BT313" s="85">
        <f t="shared" si="402"/>
        <v>0</v>
      </c>
      <c r="BU313" s="85">
        <f t="shared" si="403"/>
        <v>0</v>
      </c>
      <c r="BV313" s="85">
        <f t="shared" si="404"/>
        <v>0</v>
      </c>
      <c r="BW313" s="85">
        <f t="shared" si="405"/>
        <v>0</v>
      </c>
      <c r="BX313" s="85">
        <f t="shared" si="406"/>
        <v>0</v>
      </c>
      <c r="BY313" s="83">
        <f t="shared" si="407"/>
        <v>0</v>
      </c>
      <c r="BZ313" s="83">
        <f t="shared" si="408"/>
        <v>0</v>
      </c>
      <c r="CA313" s="83">
        <f t="shared" si="409"/>
        <v>0</v>
      </c>
      <c r="CB313" s="83">
        <f t="shared" si="410"/>
        <v>0</v>
      </c>
      <c r="CC313" s="83">
        <f>IFERROR(Table1[[#This Row],[Labor
Saving]]*Table1[[#This Row],[Annual Volume]],"")</f>
        <v>0</v>
      </c>
      <c r="CD313" s="83">
        <f>IFERROR(Table1[[#This Row],[Annual Volume]]*Table1[[#This Row],[Yield
Saving]],"")</f>
        <v>0</v>
      </c>
      <c r="CE313" s="83">
        <f>IFERROR(Table1[[#This Row],[Annual Volume]]*Table1[[#This Row],[Material
Saving]],"")</f>
        <v>0</v>
      </c>
      <c r="CF313" s="83">
        <f>IFERROR(Table1[[#This Row],[OH
Saving]]*Table1[[#This Row],[Annual Volume]],"")</f>
        <v>0</v>
      </c>
      <c r="CG313" s="83">
        <f>SUM(Table1[[#This Row],[Labor_ASV]:[OH_ASV]])</f>
        <v>0</v>
      </c>
    </row>
    <row r="314" spans="1:85" x14ac:dyDescent="0.3">
      <c r="A314" t="str">
        <f>Table1[[#This Row],[Project Name]]&amp;Table1[[#This Row],[Part Number]]</f>
        <v>New Etching Chemical Hydroflauric AcidV23</v>
      </c>
      <c r="B314" t="str">
        <f>IFERROR(Table1[[#This Row],[Project Number]]&amp;Table1[[#This Row],[Part Number]],"")</f>
        <v>AME25-068V23</v>
      </c>
      <c r="C314" s="47" t="s">
        <v>115</v>
      </c>
      <c r="D314" s="75" t="s">
        <v>235</v>
      </c>
      <c r="E314" s="76" t="s">
        <v>60</v>
      </c>
      <c r="F314" s="77">
        <f>INDEX(Proj_Reg!G:G,MATCH($C314,Proj_Reg!$B:$B,0),1)</f>
        <v>46266</v>
      </c>
      <c r="G314" s="77">
        <f>INDEX(Proj_Reg!H:H,MATCH($C314,Proj_Reg!$B:$B,0),1)</f>
        <v>46600</v>
      </c>
      <c r="H314" s="77" t="str">
        <f>IF(INDEX(Proj_Reg!C:C,MATCH($C314,Proj_Reg!$B:$B,0),1)=0,"",INDEX(Proj_Reg!C:C,MATCH($C314,Proj_Reg!$B:$B,0),1))</f>
        <v>Wet Etching</v>
      </c>
      <c r="I314" s="77" t="str">
        <f>IF(INDEX(Proj_Reg!D:D,MATCH($C314,Proj_Reg!$B:$B,0),1)=0,"",INDEX(Proj_Reg!D:D,MATCH($C314,Proj_Reg!$B:$B,0),1))</f>
        <v>XWP</v>
      </c>
      <c r="J314" s="77" t="str">
        <f>INDEX(Proj_Reg!E:E,MATCH($C314,Proj_Reg!$B:$B,0),1)</f>
        <v>New Etching Chemical Hydroflauric Acid</v>
      </c>
      <c r="K314" s="78"/>
      <c r="L314" s="21"/>
      <c r="M314" s="21"/>
      <c r="N314" s="21"/>
      <c r="O314" s="79">
        <f>SUM(Table1[[#This Row],[Labor
Saving]:[OH
Saving]])</f>
        <v>0</v>
      </c>
      <c r="P314" s="42"/>
      <c r="Q314" s="40">
        <f t="shared" si="362"/>
        <v>0</v>
      </c>
      <c r="R314" s="40">
        <f t="shared" si="363"/>
        <v>0</v>
      </c>
      <c r="S314" s="40">
        <f t="shared" si="364"/>
        <v>0</v>
      </c>
      <c r="T314" s="40">
        <f t="shared" si="365"/>
        <v>0</v>
      </c>
      <c r="U314" s="40">
        <f t="shared" si="366"/>
        <v>0</v>
      </c>
      <c r="V314" s="40">
        <f t="shared" si="367"/>
        <v>0</v>
      </c>
      <c r="W314" s="40">
        <f t="shared" si="368"/>
        <v>0</v>
      </c>
      <c r="X314" s="40">
        <f t="shared" si="369"/>
        <v>0</v>
      </c>
      <c r="Y314" s="40">
        <f t="shared" si="210"/>
        <v>47649.7</v>
      </c>
      <c r="Z314" s="40">
        <f t="shared" si="370"/>
        <v>71386</v>
      </c>
      <c r="AA314" s="40">
        <f t="shared" si="371"/>
        <v>64477</v>
      </c>
      <c r="AB314" s="40">
        <f t="shared" si="372"/>
        <v>57569</v>
      </c>
      <c r="AC314" s="81">
        <f>SUM(Table1[[#This Row],[Jan]:[Dec]])</f>
        <v>241081.7</v>
      </c>
      <c r="AD314" s="82">
        <f t="shared" si="373"/>
        <v>0</v>
      </c>
      <c r="AE314" s="82">
        <f t="shared" si="374"/>
        <v>0</v>
      </c>
      <c r="AF314" s="82">
        <f t="shared" si="375"/>
        <v>0</v>
      </c>
      <c r="AG314" s="82">
        <f t="shared" si="376"/>
        <v>0</v>
      </c>
      <c r="AH314" s="82">
        <f t="shared" si="377"/>
        <v>0</v>
      </c>
      <c r="AI314" s="82">
        <f t="shared" si="378"/>
        <v>0</v>
      </c>
      <c r="AJ314" s="82">
        <f t="shared" si="379"/>
        <v>0</v>
      </c>
      <c r="AK314" s="82">
        <f t="shared" si="380"/>
        <v>0</v>
      </c>
      <c r="AL314" s="82">
        <f t="shared" si="381"/>
        <v>0</v>
      </c>
      <c r="AM314" s="82">
        <f t="shared" si="382"/>
        <v>0</v>
      </c>
      <c r="AN314" s="82">
        <f t="shared" si="383"/>
        <v>0</v>
      </c>
      <c r="AO314" s="82">
        <f t="shared" si="384"/>
        <v>0</v>
      </c>
      <c r="AP314" s="83">
        <f t="shared" si="385"/>
        <v>0</v>
      </c>
      <c r="AQ314" s="83">
        <f t="shared" si="386"/>
        <v>0</v>
      </c>
      <c r="AR314" s="83">
        <f t="shared" si="387"/>
        <v>0</v>
      </c>
      <c r="AS314" s="83">
        <f t="shared" si="388"/>
        <v>0</v>
      </c>
      <c r="AT314" s="83" t="b">
        <f t="shared" si="389"/>
        <v>1</v>
      </c>
      <c r="AU314" s="83">
        <f t="shared" si="390"/>
        <v>0</v>
      </c>
      <c r="AV314" s="83">
        <f t="shared" si="391"/>
        <v>0</v>
      </c>
      <c r="AW314" s="83">
        <f t="shared" si="392"/>
        <v>0</v>
      </c>
      <c r="AX314" s="83">
        <f t="shared" si="393"/>
        <v>0</v>
      </c>
      <c r="AY314" s="83">
        <f t="shared" si="394"/>
        <v>0</v>
      </c>
      <c r="AZ314" s="84">
        <f>IFERROR(IF($E314="REC",INDEX(A_Type_Volume!$B:$B,MATCH($D314,A_Type_Volume!$A:$A,0),1),IF($E314="VAM",INDEX(C_Type_Volume!$B:$B,MATCH($D314,C_Type_Volume!$A:$A,0),1),"X")),"")</f>
        <v>123226</v>
      </c>
      <c r="BA314" s="84">
        <f>IFERROR(IF($E314="REC",INDEX(A_Type_Volume!$C:$C,MATCH($D314,A_Type_Volume!$A:$A,0),1),IF($E314="VAM",INDEX(C_Type_Volume!$C:$C,MATCH($D314,C_Type_Volume!$A:$A,0),1),"X")),"")</f>
        <v>61209</v>
      </c>
      <c r="BB314" s="84">
        <f>IFERROR(IF($E314="REC",INDEX(A_Type_Volume!$D:$D,MATCH($D314,A_Type_Volume!$A:$A,0),1),IF($E314="VAM",INDEX(C_Type_Volume!$D:$D,MATCH($D314,C_Type_Volume!$A:$A,0),1),"X")),"")</f>
        <v>67067</v>
      </c>
      <c r="BC314" s="84">
        <f>IFERROR(IF($E314="REC",INDEX(A_Type_Volume!$E:$E,MATCH($D314,A_Type_Volume!$A:$A,0),1),IF($E314="VAM",INDEX(C_Type_Volume!$E:$E,MATCH($D314,C_Type_Volume!$A:$A,0),1),"X")),"")</f>
        <v>54217</v>
      </c>
      <c r="BD314" s="84">
        <f>IFERROR(IF($E314="REC",INDEX(A_Type_Volume!$F:$F,MATCH($D314,A_Type_Volume!$A:$A,0),1),IF($E314="VAM",INDEX(C_Type_Volume!$F:$F,MATCH($D314,C_Type_Volume!$A:$A,0),1),"X")),"")</f>
        <v>62892</v>
      </c>
      <c r="BE314" s="84">
        <f>IFERROR(IF($E314="REC",INDEX(A_Type_Volume!$G:$G,MATCH($D314,A_Type_Volume!$A:$A,0),1),IF($E314="VAM",INDEX(C_Type_Volume!$G:$G,MATCH($D314,C_Type_Volume!$A:$A,0),1),"X")),"")</f>
        <v>60723</v>
      </c>
      <c r="BF314" s="84">
        <f>IFERROR(IF($E314="REC",INDEX(A_Type_Volume!$H:$H,MATCH($D314,A_Type_Volume!$A:$A,0),1),IF($E314="VAM",INDEX(C_Type_Volume!$H:$H,MATCH($D314,C_Type_Volume!$A:$A,0),1),"X")),"")</f>
        <v>68071</v>
      </c>
      <c r="BG314" s="84">
        <f>IFERROR(IF($E314="REC",INDEX(A_Type_Volume!$I:$I,MATCH($D314,A_Type_Volume!$A:$A,0),1),IF($E314="VAM",INDEX(C_Type_Volume!$I:$I,MATCH($D314,C_Type_Volume!$A:$A,0),1),"X")),"")</f>
        <v>65724</v>
      </c>
      <c r="BH314" s="84">
        <f>IFERROR(IF($E314="REC",INDEX(A_Type_Volume!$J:$J,MATCH($D314,A_Type_Volume!$A:$A,0),1),IF($E314="VAM",INDEX(C_Type_Volume!$J:$J,MATCH($D314,C_Type_Volume!$A:$A,0),1),"X")),"")</f>
        <v>68071</v>
      </c>
      <c r="BI314" s="84">
        <f>IFERROR(IF($E314="REC",INDEX(A_Type_Volume!$K:$K,MATCH($D314,A_Type_Volume!$A:$A,0),1),IF($E314="VAM",INDEX(C_Type_Volume!$K:$K,MATCH($D314,C_Type_Volume!$A:$A,0),1),"X")),"")</f>
        <v>71386</v>
      </c>
      <c r="BJ314" s="84">
        <f>IFERROR(IF($E314="REC",INDEX(A_Type_Volume!$L:$L,MATCH($D314,A_Type_Volume!$A:$A,0),1),IF($E314="VAM",INDEX(C_Type_Volume!$L:$L,MATCH($D314,C_Type_Volume!$A:$A,0),1),"X")),"")</f>
        <v>64477</v>
      </c>
      <c r="BK314" s="84">
        <f>IFERROR(IF($E314="REC",INDEX(A_Type_Volume!M:M,MATCH($D314,A_Type_Volume!$A:$A,0),1),IF($E314="VAM",INDEX(C_Type_Volume!M:M,MATCH($D314,C_Type_Volume!$A:$A,0),1),"X")),"")</f>
        <v>57569</v>
      </c>
      <c r="BL314" s="38">
        <f>SUM(Table1[[#This Row],[Jan_AVF]:[Dec_AVF]])</f>
        <v>824632</v>
      </c>
      <c r="BM314" s="85">
        <f t="shared" si="395"/>
        <v>0</v>
      </c>
      <c r="BN314" s="85">
        <f t="shared" si="396"/>
        <v>0</v>
      </c>
      <c r="BO314" s="85">
        <f t="shared" si="397"/>
        <v>0</v>
      </c>
      <c r="BP314" s="85">
        <f t="shared" si="398"/>
        <v>0</v>
      </c>
      <c r="BQ314" s="85">
        <f t="shared" si="399"/>
        <v>0</v>
      </c>
      <c r="BR314" s="85">
        <f t="shared" si="400"/>
        <v>0</v>
      </c>
      <c r="BS314" s="85">
        <f t="shared" si="401"/>
        <v>0</v>
      </c>
      <c r="BT314" s="85">
        <f t="shared" si="402"/>
        <v>0</v>
      </c>
      <c r="BU314" s="85">
        <f t="shared" si="403"/>
        <v>0</v>
      </c>
      <c r="BV314" s="85">
        <f t="shared" si="404"/>
        <v>0</v>
      </c>
      <c r="BW314" s="85">
        <f t="shared" si="405"/>
        <v>0</v>
      </c>
      <c r="BX314" s="85">
        <f t="shared" si="406"/>
        <v>0</v>
      </c>
      <c r="BY314" s="83">
        <f t="shared" si="407"/>
        <v>0</v>
      </c>
      <c r="BZ314" s="83">
        <f t="shared" si="408"/>
        <v>0</v>
      </c>
      <c r="CA314" s="83">
        <f t="shared" si="409"/>
        <v>0</v>
      </c>
      <c r="CB314" s="83">
        <f t="shared" si="410"/>
        <v>0</v>
      </c>
      <c r="CC314" s="83">
        <f>IFERROR(Table1[[#This Row],[Labor
Saving]]*Table1[[#This Row],[Annual Volume]],"")</f>
        <v>0</v>
      </c>
      <c r="CD314" s="83">
        <f>IFERROR(Table1[[#This Row],[Annual Volume]]*Table1[[#This Row],[Yield
Saving]],"")</f>
        <v>0</v>
      </c>
      <c r="CE314" s="83">
        <f>IFERROR(Table1[[#This Row],[Annual Volume]]*Table1[[#This Row],[Material
Saving]],"")</f>
        <v>0</v>
      </c>
      <c r="CF314" s="83">
        <f>IFERROR(Table1[[#This Row],[OH
Saving]]*Table1[[#This Row],[Annual Volume]],"")</f>
        <v>0</v>
      </c>
      <c r="CG314" s="83">
        <f>SUM(Table1[[#This Row],[Labor_ASV]:[OH_ASV]])</f>
        <v>0</v>
      </c>
    </row>
    <row r="315" spans="1:85" x14ac:dyDescent="0.3">
      <c r="A315" t="str">
        <f>Table1[[#This Row],[Project Name]]&amp;Table1[[#This Row],[Part Number]]</f>
        <v>New Etching Chemical Hydroflauric AcidV24</v>
      </c>
      <c r="B315" t="str">
        <f>IFERROR(Table1[[#This Row],[Project Number]]&amp;Table1[[#This Row],[Part Number]],"")</f>
        <v>AME25-068V24</v>
      </c>
      <c r="C315" s="47" t="s">
        <v>115</v>
      </c>
      <c r="D315" s="75" t="s">
        <v>236</v>
      </c>
      <c r="E315" s="76" t="s">
        <v>60</v>
      </c>
      <c r="F315" s="77">
        <f>INDEX(Proj_Reg!G:G,MATCH($C315,Proj_Reg!$B:$B,0),1)</f>
        <v>46266</v>
      </c>
      <c r="G315" s="77">
        <f>INDEX(Proj_Reg!H:H,MATCH($C315,Proj_Reg!$B:$B,0),1)</f>
        <v>46600</v>
      </c>
      <c r="H315" s="77" t="str">
        <f>IF(INDEX(Proj_Reg!C:C,MATCH($C315,Proj_Reg!$B:$B,0),1)=0,"",INDEX(Proj_Reg!C:C,MATCH($C315,Proj_Reg!$B:$B,0),1))</f>
        <v>Wet Etching</v>
      </c>
      <c r="I315" s="77" t="str">
        <f>IF(INDEX(Proj_Reg!D:D,MATCH($C315,Proj_Reg!$B:$B,0),1)=0,"",INDEX(Proj_Reg!D:D,MATCH($C315,Proj_Reg!$B:$B,0),1))</f>
        <v>XWP</v>
      </c>
      <c r="J315" s="77" t="str">
        <f>INDEX(Proj_Reg!E:E,MATCH($C315,Proj_Reg!$B:$B,0),1)</f>
        <v>New Etching Chemical Hydroflauric Acid</v>
      </c>
      <c r="K315" s="78"/>
      <c r="L315" s="21"/>
      <c r="M315" s="21"/>
      <c r="N315" s="21"/>
      <c r="O315" s="79">
        <f>SUM(Table1[[#This Row],[Labor
Saving]:[OH
Saving]])</f>
        <v>0</v>
      </c>
      <c r="P315" s="42"/>
      <c r="Q315" s="40">
        <f t="shared" si="362"/>
        <v>0</v>
      </c>
      <c r="R315" s="40">
        <f t="shared" si="363"/>
        <v>0</v>
      </c>
      <c r="S315" s="40">
        <f t="shared" si="364"/>
        <v>0</v>
      </c>
      <c r="T315" s="40">
        <f t="shared" si="365"/>
        <v>0</v>
      </c>
      <c r="U315" s="40">
        <f t="shared" si="366"/>
        <v>0</v>
      </c>
      <c r="V315" s="40">
        <f t="shared" si="367"/>
        <v>0</v>
      </c>
      <c r="W315" s="40">
        <f t="shared" si="368"/>
        <v>0</v>
      </c>
      <c r="X315" s="40">
        <f t="shared" si="369"/>
        <v>0</v>
      </c>
      <c r="Y315" s="40">
        <f t="shared" si="210"/>
        <v>46232.2</v>
      </c>
      <c r="Z315" s="40">
        <f t="shared" si="370"/>
        <v>69372</v>
      </c>
      <c r="AA315" s="40">
        <f t="shared" si="371"/>
        <v>62658</v>
      </c>
      <c r="AB315" s="40">
        <f t="shared" si="372"/>
        <v>55945</v>
      </c>
      <c r="AC315" s="81">
        <f>SUM(Table1[[#This Row],[Jan]:[Dec]])</f>
        <v>234207.2</v>
      </c>
      <c r="AD315" s="82">
        <f t="shared" si="373"/>
        <v>0</v>
      </c>
      <c r="AE315" s="82">
        <f t="shared" si="374"/>
        <v>0</v>
      </c>
      <c r="AF315" s="82">
        <f t="shared" si="375"/>
        <v>0</v>
      </c>
      <c r="AG315" s="82">
        <f t="shared" si="376"/>
        <v>0</v>
      </c>
      <c r="AH315" s="82">
        <f t="shared" si="377"/>
        <v>0</v>
      </c>
      <c r="AI315" s="82">
        <f t="shared" si="378"/>
        <v>0</v>
      </c>
      <c r="AJ315" s="82">
        <f t="shared" si="379"/>
        <v>0</v>
      </c>
      <c r="AK315" s="82">
        <f t="shared" si="380"/>
        <v>0</v>
      </c>
      <c r="AL315" s="82">
        <f t="shared" si="381"/>
        <v>0</v>
      </c>
      <c r="AM315" s="82">
        <f t="shared" si="382"/>
        <v>0</v>
      </c>
      <c r="AN315" s="82">
        <f t="shared" si="383"/>
        <v>0</v>
      </c>
      <c r="AO315" s="82">
        <f t="shared" si="384"/>
        <v>0</v>
      </c>
      <c r="AP315" s="83">
        <f t="shared" si="385"/>
        <v>0</v>
      </c>
      <c r="AQ315" s="83">
        <f t="shared" si="386"/>
        <v>0</v>
      </c>
      <c r="AR315" s="83">
        <f t="shared" si="387"/>
        <v>0</v>
      </c>
      <c r="AS315" s="83">
        <f t="shared" si="388"/>
        <v>0</v>
      </c>
      <c r="AT315" s="83" t="b">
        <f t="shared" si="389"/>
        <v>1</v>
      </c>
      <c r="AU315" s="83">
        <f t="shared" si="390"/>
        <v>0</v>
      </c>
      <c r="AV315" s="83">
        <f t="shared" si="391"/>
        <v>0</v>
      </c>
      <c r="AW315" s="83">
        <f t="shared" si="392"/>
        <v>0</v>
      </c>
      <c r="AX315" s="83">
        <f t="shared" si="393"/>
        <v>0</v>
      </c>
      <c r="AY315" s="83">
        <f t="shared" si="394"/>
        <v>0</v>
      </c>
      <c r="AZ315" s="84">
        <f>IFERROR(IF($E315="REC",INDEX(A_Type_Volume!$B:$B,MATCH($D315,A_Type_Volume!$A:$A,0),1),IF($E315="VAM",INDEX(C_Type_Volume!$B:$B,MATCH($D315,C_Type_Volume!$A:$A,0),1),"X")),"")</f>
        <v>69512</v>
      </c>
      <c r="BA315" s="84">
        <f>IFERROR(IF($E315="REC",INDEX(A_Type_Volume!$C:$C,MATCH($D315,A_Type_Volume!$A:$A,0),1),IF($E315="VAM",INDEX(C_Type_Volume!$C:$C,MATCH($D315,C_Type_Volume!$A:$A,0),1),"X")),"")</f>
        <v>65060</v>
      </c>
      <c r="BB315" s="84">
        <f>IFERROR(IF($E315="REC",INDEX(A_Type_Volume!$D:$D,MATCH($D315,A_Type_Volume!$A:$A,0),1),IF($E315="VAM",INDEX(C_Type_Volume!$D:$D,MATCH($D315,C_Type_Volume!$A:$A,0),1),"X")),"")</f>
        <v>58684</v>
      </c>
      <c r="BC315" s="84">
        <f>IFERROR(IF($E315="REC",INDEX(A_Type_Volume!$E:$E,MATCH($D315,A_Type_Volume!$A:$A,0),1),IF($E315="VAM",INDEX(C_Type_Volume!$E:$E,MATCH($D315,C_Type_Volume!$A:$A,0),1),"X")),"")</f>
        <v>57951</v>
      </c>
      <c r="BD315" s="84">
        <f>IFERROR(IF($E315="REC",INDEX(A_Type_Volume!$F:$F,MATCH($D315,A_Type_Volume!$A:$A,0),1),IF($E315="VAM",INDEX(C_Type_Volume!$F:$F,MATCH($D315,C_Type_Volume!$A:$A,0),1),"X")),"")</f>
        <v>67223</v>
      </c>
      <c r="BE315" s="84">
        <f>IFERROR(IF($E315="REC",INDEX(A_Type_Volume!$G:$G,MATCH($D315,A_Type_Volume!$A:$A,0),1),IF($E315="VAM",INDEX(C_Type_Volume!$G:$G,MATCH($D315,C_Type_Volume!$A:$A,0),1),"X")),"")</f>
        <v>64905</v>
      </c>
      <c r="BF315" s="84">
        <f>IFERROR(IF($E315="REC",INDEX(A_Type_Volume!$H:$H,MATCH($D315,A_Type_Volume!$A:$A,0),1),IF($E315="VAM",INDEX(C_Type_Volume!$H:$H,MATCH($D315,C_Type_Volume!$A:$A,0),1),"X")),"")</f>
        <v>66046</v>
      </c>
      <c r="BG315" s="84">
        <f>IFERROR(IF($E315="REC",INDEX(A_Type_Volume!$I:$I,MATCH($D315,A_Type_Volume!$A:$A,0),1),IF($E315="VAM",INDEX(C_Type_Volume!$I:$I,MATCH($D315,C_Type_Volume!$A:$A,0),1),"X")),"")</f>
        <v>63769</v>
      </c>
      <c r="BH315" s="84">
        <f>IFERROR(IF($E315="REC",INDEX(A_Type_Volume!$J:$J,MATCH($D315,A_Type_Volume!$A:$A,0),1),IF($E315="VAM",INDEX(C_Type_Volume!$J:$J,MATCH($D315,C_Type_Volume!$A:$A,0),1),"X")),"")</f>
        <v>66046</v>
      </c>
      <c r="BI315" s="84">
        <f>IFERROR(IF($E315="REC",INDEX(A_Type_Volume!$K:$K,MATCH($D315,A_Type_Volume!$A:$A,0),1),IF($E315="VAM",INDEX(C_Type_Volume!$K:$K,MATCH($D315,C_Type_Volume!$A:$A,0),1),"X")),"")</f>
        <v>69372</v>
      </c>
      <c r="BJ315" s="84">
        <f>IFERROR(IF($E315="REC",INDEX(A_Type_Volume!$L:$L,MATCH($D315,A_Type_Volume!$A:$A,0),1),IF($E315="VAM",INDEX(C_Type_Volume!$L:$L,MATCH($D315,C_Type_Volume!$A:$A,0),1),"X")),"")</f>
        <v>62658</v>
      </c>
      <c r="BK315" s="84">
        <f>IFERROR(IF($E315="REC",INDEX(A_Type_Volume!M:M,MATCH($D315,A_Type_Volume!$A:$A,0),1),IF($E315="VAM",INDEX(C_Type_Volume!M:M,MATCH($D315,C_Type_Volume!$A:$A,0),1),"X")),"")</f>
        <v>55945</v>
      </c>
      <c r="BL315" s="38">
        <f>SUM(Table1[[#This Row],[Jan_AVF]:[Dec_AVF]])</f>
        <v>767171</v>
      </c>
      <c r="BM315" s="85">
        <f t="shared" si="395"/>
        <v>0</v>
      </c>
      <c r="BN315" s="85">
        <f t="shared" si="396"/>
        <v>0</v>
      </c>
      <c r="BO315" s="85">
        <f t="shared" si="397"/>
        <v>0</v>
      </c>
      <c r="BP315" s="85">
        <f t="shared" si="398"/>
        <v>0</v>
      </c>
      <c r="BQ315" s="85">
        <f t="shared" si="399"/>
        <v>0</v>
      </c>
      <c r="BR315" s="85">
        <f t="shared" si="400"/>
        <v>0</v>
      </c>
      <c r="BS315" s="85">
        <f t="shared" si="401"/>
        <v>0</v>
      </c>
      <c r="BT315" s="85">
        <f t="shared" si="402"/>
        <v>0</v>
      </c>
      <c r="BU315" s="85">
        <f t="shared" si="403"/>
        <v>0</v>
      </c>
      <c r="BV315" s="85">
        <f t="shared" si="404"/>
        <v>0</v>
      </c>
      <c r="BW315" s="85">
        <f t="shared" si="405"/>
        <v>0</v>
      </c>
      <c r="BX315" s="85">
        <f t="shared" si="406"/>
        <v>0</v>
      </c>
      <c r="BY315" s="83">
        <f t="shared" si="407"/>
        <v>0</v>
      </c>
      <c r="BZ315" s="83">
        <f t="shared" si="408"/>
        <v>0</v>
      </c>
      <c r="CA315" s="83">
        <f t="shared" si="409"/>
        <v>0</v>
      </c>
      <c r="CB315" s="83">
        <f t="shared" si="410"/>
        <v>0</v>
      </c>
      <c r="CC315" s="83">
        <f>IFERROR(Table1[[#This Row],[Labor
Saving]]*Table1[[#This Row],[Annual Volume]],"")</f>
        <v>0</v>
      </c>
      <c r="CD315" s="83">
        <f>IFERROR(Table1[[#This Row],[Annual Volume]]*Table1[[#This Row],[Yield
Saving]],"")</f>
        <v>0</v>
      </c>
      <c r="CE315" s="83">
        <f>IFERROR(Table1[[#This Row],[Annual Volume]]*Table1[[#This Row],[Material
Saving]],"")</f>
        <v>0</v>
      </c>
      <c r="CF315" s="83">
        <f>IFERROR(Table1[[#This Row],[OH
Saving]]*Table1[[#This Row],[Annual Volume]],"")</f>
        <v>0</v>
      </c>
      <c r="CG315" s="83">
        <f>SUM(Table1[[#This Row],[Labor_ASV]:[OH_ASV]])</f>
        <v>0</v>
      </c>
    </row>
    <row r="316" spans="1:85" x14ac:dyDescent="0.3">
      <c r="A316" t="str">
        <f>Table1[[#This Row],[Project Name]]&amp;Table1[[#This Row],[Part Number]]</f>
        <v>New Etching Chemical Hydroflauric AcidV25</v>
      </c>
      <c r="B316" t="str">
        <f>IFERROR(Table1[[#This Row],[Project Number]]&amp;Table1[[#This Row],[Part Number]],"")</f>
        <v>AME25-068V25</v>
      </c>
      <c r="C316" s="47" t="s">
        <v>115</v>
      </c>
      <c r="D316" s="75" t="s">
        <v>237</v>
      </c>
      <c r="E316" s="76" t="s">
        <v>60</v>
      </c>
      <c r="F316" s="77">
        <f>INDEX(Proj_Reg!G:G,MATCH($C316,Proj_Reg!$B:$B,0),1)</f>
        <v>46266</v>
      </c>
      <c r="G316" s="77">
        <f>INDEX(Proj_Reg!H:H,MATCH($C316,Proj_Reg!$B:$B,0),1)</f>
        <v>46600</v>
      </c>
      <c r="H316" s="77" t="str">
        <f>IF(INDEX(Proj_Reg!C:C,MATCH($C316,Proj_Reg!$B:$B,0),1)=0,"",INDEX(Proj_Reg!C:C,MATCH($C316,Proj_Reg!$B:$B,0),1))</f>
        <v>Wet Etching</v>
      </c>
      <c r="I316" s="77" t="str">
        <f>IF(INDEX(Proj_Reg!D:D,MATCH($C316,Proj_Reg!$B:$B,0),1)=0,"",INDEX(Proj_Reg!D:D,MATCH($C316,Proj_Reg!$B:$B,0),1))</f>
        <v>XWP</v>
      </c>
      <c r="J316" s="77" t="str">
        <f>INDEX(Proj_Reg!E:E,MATCH($C316,Proj_Reg!$B:$B,0),1)</f>
        <v>New Etching Chemical Hydroflauric Acid</v>
      </c>
      <c r="K316" s="78"/>
      <c r="L316" s="21"/>
      <c r="M316" s="21"/>
      <c r="N316" s="21"/>
      <c r="O316" s="79">
        <f>SUM(Table1[[#This Row],[Labor
Saving]:[OH
Saving]])</f>
        <v>0</v>
      </c>
      <c r="P316" s="42"/>
      <c r="Q316" s="40">
        <f t="shared" si="362"/>
        <v>0</v>
      </c>
      <c r="R316" s="40">
        <f t="shared" si="363"/>
        <v>0</v>
      </c>
      <c r="S316" s="40">
        <f t="shared" si="364"/>
        <v>0</v>
      </c>
      <c r="T316" s="40">
        <f t="shared" si="365"/>
        <v>0</v>
      </c>
      <c r="U316" s="40">
        <f t="shared" si="366"/>
        <v>0</v>
      </c>
      <c r="V316" s="40">
        <f t="shared" si="367"/>
        <v>0</v>
      </c>
      <c r="W316" s="40">
        <f t="shared" si="368"/>
        <v>0</v>
      </c>
      <c r="X316" s="40">
        <f t="shared" si="369"/>
        <v>0</v>
      </c>
      <c r="Y316" s="40">
        <f t="shared" si="210"/>
        <v>16017.4</v>
      </c>
      <c r="Z316" s="40">
        <f t="shared" si="370"/>
        <v>23127</v>
      </c>
      <c r="AA316" s="40">
        <f t="shared" si="371"/>
        <v>20889</v>
      </c>
      <c r="AB316" s="40">
        <f t="shared" si="372"/>
        <v>18651</v>
      </c>
      <c r="AC316" s="81">
        <f>SUM(Table1[[#This Row],[Jan]:[Dec]])</f>
        <v>78684.399999999994</v>
      </c>
      <c r="AD316" s="82">
        <f t="shared" si="373"/>
        <v>0</v>
      </c>
      <c r="AE316" s="82">
        <f t="shared" si="374"/>
        <v>0</v>
      </c>
      <c r="AF316" s="82">
        <f t="shared" si="375"/>
        <v>0</v>
      </c>
      <c r="AG316" s="82">
        <f t="shared" si="376"/>
        <v>0</v>
      </c>
      <c r="AH316" s="82">
        <f t="shared" si="377"/>
        <v>0</v>
      </c>
      <c r="AI316" s="82">
        <f t="shared" si="378"/>
        <v>0</v>
      </c>
      <c r="AJ316" s="82">
        <f t="shared" si="379"/>
        <v>0</v>
      </c>
      <c r="AK316" s="82">
        <f t="shared" si="380"/>
        <v>0</v>
      </c>
      <c r="AL316" s="82">
        <f t="shared" si="381"/>
        <v>0</v>
      </c>
      <c r="AM316" s="82">
        <f t="shared" si="382"/>
        <v>0</v>
      </c>
      <c r="AN316" s="82">
        <f t="shared" si="383"/>
        <v>0</v>
      </c>
      <c r="AO316" s="82">
        <f t="shared" si="384"/>
        <v>0</v>
      </c>
      <c r="AP316" s="83">
        <f t="shared" si="385"/>
        <v>0</v>
      </c>
      <c r="AQ316" s="83">
        <f t="shared" si="386"/>
        <v>0</v>
      </c>
      <c r="AR316" s="83">
        <f t="shared" si="387"/>
        <v>0</v>
      </c>
      <c r="AS316" s="83">
        <f t="shared" si="388"/>
        <v>0</v>
      </c>
      <c r="AT316" s="83" t="b">
        <f t="shared" si="389"/>
        <v>1</v>
      </c>
      <c r="AU316" s="83">
        <f t="shared" si="390"/>
        <v>0</v>
      </c>
      <c r="AV316" s="83">
        <f t="shared" si="391"/>
        <v>0</v>
      </c>
      <c r="AW316" s="83">
        <f t="shared" si="392"/>
        <v>0</v>
      </c>
      <c r="AX316" s="83">
        <f t="shared" si="393"/>
        <v>0</v>
      </c>
      <c r="AY316" s="83">
        <f t="shared" si="394"/>
        <v>0</v>
      </c>
      <c r="AZ316" s="84">
        <f>IFERROR(IF($E316="REC",INDEX(A_Type_Volume!$B:$B,MATCH($D316,A_Type_Volume!$A:$A,0),1),IF($E316="VAM",INDEX(C_Type_Volume!$B:$B,MATCH($D316,C_Type_Volume!$A:$A,0),1),"X")),"")</f>
        <v>0</v>
      </c>
      <c r="BA316" s="84">
        <f>IFERROR(IF($E316="REC",INDEX(A_Type_Volume!$C:$C,MATCH($D316,A_Type_Volume!$A:$A,0),1),IF($E316="VAM",INDEX(C_Type_Volume!$C:$C,MATCH($D316,C_Type_Volume!$A:$A,0),1),"X")),"")</f>
        <v>18185</v>
      </c>
      <c r="BB316" s="84">
        <f>IFERROR(IF($E316="REC",INDEX(A_Type_Volume!$D:$D,MATCH($D316,A_Type_Volume!$A:$A,0),1),IF($E316="VAM",INDEX(C_Type_Volume!$D:$D,MATCH($D316,C_Type_Volume!$A:$A,0),1),"X")),"")</f>
        <v>11737</v>
      </c>
      <c r="BC316" s="84">
        <f>IFERROR(IF($E316="REC",INDEX(A_Type_Volume!$E:$E,MATCH($D316,A_Type_Volume!$A:$A,0),1),IF($E316="VAM",INDEX(C_Type_Volume!$E:$E,MATCH($D316,C_Type_Volume!$A:$A,0),1),"X")),"")</f>
        <v>18964</v>
      </c>
      <c r="BD316" s="84">
        <f>IFERROR(IF($E316="REC",INDEX(A_Type_Volume!$F:$F,MATCH($D316,A_Type_Volume!$A:$A,0),1),IF($E316="VAM",INDEX(C_Type_Volume!$F:$F,MATCH($D316,C_Type_Volume!$A:$A,0),1),"X")),"")</f>
        <v>21999</v>
      </c>
      <c r="BE316" s="84">
        <f>IFERROR(IF($E316="REC",INDEX(A_Type_Volume!$G:$G,MATCH($D316,A_Type_Volume!$A:$A,0),1),IF($E316="VAM",INDEX(C_Type_Volume!$G:$G,MATCH($D316,C_Type_Volume!$A:$A,0),1),"X")),"")</f>
        <v>21240</v>
      </c>
      <c r="BF316" s="84">
        <f>IFERROR(IF($E316="REC",INDEX(A_Type_Volume!$H:$H,MATCH($D316,A_Type_Volume!$A:$A,0),1),IF($E316="VAM",INDEX(C_Type_Volume!$H:$H,MATCH($D316,C_Type_Volume!$A:$A,0),1),"X")),"")</f>
        <v>22882</v>
      </c>
      <c r="BG316" s="84">
        <f>IFERROR(IF($E316="REC",INDEX(A_Type_Volume!$I:$I,MATCH($D316,A_Type_Volume!$A:$A,0),1),IF($E316="VAM",INDEX(C_Type_Volume!$I:$I,MATCH($D316,C_Type_Volume!$A:$A,0),1),"X")),"")</f>
        <v>22093</v>
      </c>
      <c r="BH316" s="84">
        <f>IFERROR(IF($E316="REC",INDEX(A_Type_Volume!$J:$J,MATCH($D316,A_Type_Volume!$A:$A,0),1),IF($E316="VAM",INDEX(C_Type_Volume!$J:$J,MATCH($D316,C_Type_Volume!$A:$A,0),1),"X")),"")</f>
        <v>22882</v>
      </c>
      <c r="BI316" s="84">
        <f>IFERROR(IF($E316="REC",INDEX(A_Type_Volume!$K:$K,MATCH($D316,A_Type_Volume!$A:$A,0),1),IF($E316="VAM",INDEX(C_Type_Volume!$K:$K,MATCH($D316,C_Type_Volume!$A:$A,0),1),"X")),"")</f>
        <v>23127</v>
      </c>
      <c r="BJ316" s="84">
        <f>IFERROR(IF($E316="REC",INDEX(A_Type_Volume!$L:$L,MATCH($D316,A_Type_Volume!$A:$A,0),1),IF($E316="VAM",INDEX(C_Type_Volume!$L:$L,MATCH($D316,C_Type_Volume!$A:$A,0),1),"X")),"")</f>
        <v>20889</v>
      </c>
      <c r="BK316" s="84">
        <f>IFERROR(IF($E316="REC",INDEX(A_Type_Volume!M:M,MATCH($D316,A_Type_Volume!$A:$A,0),1),IF($E316="VAM",INDEX(C_Type_Volume!M:M,MATCH($D316,C_Type_Volume!$A:$A,0),1),"X")),"")</f>
        <v>18651</v>
      </c>
      <c r="BL316" s="38">
        <f>SUM(Table1[[#This Row],[Jan_AVF]:[Dec_AVF]])</f>
        <v>222649</v>
      </c>
      <c r="BM316" s="85">
        <f t="shared" si="395"/>
        <v>0</v>
      </c>
      <c r="BN316" s="85">
        <f t="shared" si="396"/>
        <v>0</v>
      </c>
      <c r="BO316" s="85">
        <f t="shared" si="397"/>
        <v>0</v>
      </c>
      <c r="BP316" s="85">
        <f t="shared" si="398"/>
        <v>0</v>
      </c>
      <c r="BQ316" s="85">
        <f t="shared" si="399"/>
        <v>0</v>
      </c>
      <c r="BR316" s="85">
        <f t="shared" si="400"/>
        <v>0</v>
      </c>
      <c r="BS316" s="85">
        <f t="shared" si="401"/>
        <v>0</v>
      </c>
      <c r="BT316" s="85">
        <f t="shared" si="402"/>
        <v>0</v>
      </c>
      <c r="BU316" s="85">
        <f t="shared" si="403"/>
        <v>0</v>
      </c>
      <c r="BV316" s="85">
        <f t="shared" si="404"/>
        <v>0</v>
      </c>
      <c r="BW316" s="85">
        <f t="shared" si="405"/>
        <v>0</v>
      </c>
      <c r="BX316" s="85">
        <f t="shared" si="406"/>
        <v>0</v>
      </c>
      <c r="BY316" s="83">
        <f t="shared" si="407"/>
        <v>0</v>
      </c>
      <c r="BZ316" s="83">
        <f t="shared" si="408"/>
        <v>0</v>
      </c>
      <c r="CA316" s="83">
        <f t="shared" si="409"/>
        <v>0</v>
      </c>
      <c r="CB316" s="83">
        <f t="shared" si="410"/>
        <v>0</v>
      </c>
      <c r="CC316" s="83">
        <f>IFERROR(Table1[[#This Row],[Labor
Saving]]*Table1[[#This Row],[Annual Volume]],"")</f>
        <v>0</v>
      </c>
      <c r="CD316" s="83">
        <f>IFERROR(Table1[[#This Row],[Annual Volume]]*Table1[[#This Row],[Yield
Saving]],"")</f>
        <v>0</v>
      </c>
      <c r="CE316" s="83">
        <f>IFERROR(Table1[[#This Row],[Annual Volume]]*Table1[[#This Row],[Material
Saving]],"")</f>
        <v>0</v>
      </c>
      <c r="CF316" s="83">
        <f>IFERROR(Table1[[#This Row],[OH
Saving]]*Table1[[#This Row],[Annual Volume]],"")</f>
        <v>0</v>
      </c>
      <c r="CG316" s="83">
        <f>SUM(Table1[[#This Row],[Labor_ASV]:[OH_ASV]])</f>
        <v>0</v>
      </c>
    </row>
    <row r="317" spans="1:85" x14ac:dyDescent="0.3">
      <c r="A317" t="str">
        <f>Table1[[#This Row],[Project Name]]&amp;Table1[[#This Row],[Part Number]]</f>
        <v>New Etching Chemical Hydroflauric AcidV26</v>
      </c>
      <c r="B317" t="str">
        <f>IFERROR(Table1[[#This Row],[Project Number]]&amp;Table1[[#This Row],[Part Number]],"")</f>
        <v>AME25-068V26</v>
      </c>
      <c r="C317" s="47" t="s">
        <v>115</v>
      </c>
      <c r="D317" s="75" t="s">
        <v>238</v>
      </c>
      <c r="E317" s="76" t="s">
        <v>60</v>
      </c>
      <c r="F317" s="77">
        <f>INDEX(Proj_Reg!G:G,MATCH($C317,Proj_Reg!$B:$B,0),1)</f>
        <v>46266</v>
      </c>
      <c r="G317" s="77">
        <f>INDEX(Proj_Reg!H:H,MATCH($C317,Proj_Reg!$B:$B,0),1)</f>
        <v>46600</v>
      </c>
      <c r="H317" s="77" t="str">
        <f>IF(INDEX(Proj_Reg!C:C,MATCH($C317,Proj_Reg!$B:$B,0),1)=0,"",INDEX(Proj_Reg!C:C,MATCH($C317,Proj_Reg!$B:$B,0),1))</f>
        <v>Wet Etching</v>
      </c>
      <c r="I317" s="77" t="str">
        <f>IF(INDEX(Proj_Reg!D:D,MATCH($C317,Proj_Reg!$B:$B,0),1)=0,"",INDEX(Proj_Reg!D:D,MATCH($C317,Proj_Reg!$B:$B,0),1))</f>
        <v>XWP</v>
      </c>
      <c r="J317" s="77" t="str">
        <f>INDEX(Proj_Reg!E:E,MATCH($C317,Proj_Reg!$B:$B,0),1)</f>
        <v>New Etching Chemical Hydroflauric Acid</v>
      </c>
      <c r="K317" s="78"/>
      <c r="L317" s="21"/>
      <c r="M317" s="21"/>
      <c r="N317" s="21"/>
      <c r="O317" s="79">
        <f>SUM(Table1[[#This Row],[Labor
Saving]:[OH
Saving]])</f>
        <v>0</v>
      </c>
      <c r="P317" s="42"/>
      <c r="Q317" s="40">
        <f t="shared" si="362"/>
        <v>0</v>
      </c>
      <c r="R317" s="40">
        <f t="shared" si="363"/>
        <v>0</v>
      </c>
      <c r="S317" s="40">
        <f t="shared" si="364"/>
        <v>0</v>
      </c>
      <c r="T317" s="40">
        <f t="shared" si="365"/>
        <v>0</v>
      </c>
      <c r="U317" s="40">
        <f t="shared" si="366"/>
        <v>0</v>
      </c>
      <c r="V317" s="40">
        <f t="shared" si="367"/>
        <v>0</v>
      </c>
      <c r="W317" s="40">
        <f t="shared" si="368"/>
        <v>0</v>
      </c>
      <c r="X317" s="40">
        <f t="shared" si="369"/>
        <v>0</v>
      </c>
      <c r="Y317" s="40">
        <f t="shared" si="210"/>
        <v>13790.699999999999</v>
      </c>
      <c r="Z317" s="40">
        <f t="shared" si="370"/>
        <v>21113</v>
      </c>
      <c r="AA317" s="40">
        <f t="shared" si="371"/>
        <v>19070</v>
      </c>
      <c r="AB317" s="40">
        <f t="shared" si="372"/>
        <v>17027</v>
      </c>
      <c r="AC317" s="81">
        <f>SUM(Table1[[#This Row],[Jan]:[Dec]])</f>
        <v>71000.7</v>
      </c>
      <c r="AD317" s="82">
        <f t="shared" si="373"/>
        <v>0</v>
      </c>
      <c r="AE317" s="82">
        <f t="shared" si="374"/>
        <v>0</v>
      </c>
      <c r="AF317" s="82">
        <f t="shared" si="375"/>
        <v>0</v>
      </c>
      <c r="AG317" s="82">
        <f t="shared" si="376"/>
        <v>0</v>
      </c>
      <c r="AH317" s="82">
        <f t="shared" si="377"/>
        <v>0</v>
      </c>
      <c r="AI317" s="82">
        <f t="shared" si="378"/>
        <v>0</v>
      </c>
      <c r="AJ317" s="82">
        <f t="shared" si="379"/>
        <v>0</v>
      </c>
      <c r="AK317" s="82">
        <f t="shared" si="380"/>
        <v>0</v>
      </c>
      <c r="AL317" s="82">
        <f t="shared" si="381"/>
        <v>0</v>
      </c>
      <c r="AM317" s="82">
        <f t="shared" si="382"/>
        <v>0</v>
      </c>
      <c r="AN317" s="82">
        <f t="shared" si="383"/>
        <v>0</v>
      </c>
      <c r="AO317" s="82">
        <f t="shared" si="384"/>
        <v>0</v>
      </c>
      <c r="AP317" s="83">
        <f t="shared" si="385"/>
        <v>0</v>
      </c>
      <c r="AQ317" s="83">
        <f t="shared" si="386"/>
        <v>0</v>
      </c>
      <c r="AR317" s="83">
        <f t="shared" si="387"/>
        <v>0</v>
      </c>
      <c r="AS317" s="83">
        <f t="shared" si="388"/>
        <v>0</v>
      </c>
      <c r="AT317" s="83" t="b">
        <f t="shared" si="389"/>
        <v>1</v>
      </c>
      <c r="AU317" s="83">
        <f t="shared" si="390"/>
        <v>0</v>
      </c>
      <c r="AV317" s="83">
        <f t="shared" si="391"/>
        <v>0</v>
      </c>
      <c r="AW317" s="83">
        <f t="shared" si="392"/>
        <v>0</v>
      </c>
      <c r="AX317" s="83">
        <f t="shared" si="393"/>
        <v>0</v>
      </c>
      <c r="AY317" s="83">
        <f t="shared" si="394"/>
        <v>0</v>
      </c>
      <c r="AZ317" s="84">
        <f>IFERROR(IF($E317="REC",INDEX(A_Type_Volume!$B:$B,MATCH($D317,A_Type_Volume!$A:$A,0),1),IF($E317="VAM",INDEX(C_Type_Volume!$B:$B,MATCH($D317,C_Type_Volume!$A:$A,0),1),"X")),"")</f>
        <v>4739</v>
      </c>
      <c r="BA317" s="84">
        <f>IFERROR(IF($E317="REC",INDEX(A_Type_Volume!$C:$C,MATCH($D317,A_Type_Volume!$A:$A,0),1),IF($E317="VAM",INDEX(C_Type_Volume!$C:$C,MATCH($D317,C_Type_Volume!$A:$A,0),1),"X")),"")</f>
        <v>12592</v>
      </c>
      <c r="BB317" s="84">
        <f>IFERROR(IF($E317="REC",INDEX(A_Type_Volume!$D:$D,MATCH($D317,A_Type_Volume!$A:$A,0),1),IF($E317="VAM",INDEX(C_Type_Volume!$D:$D,MATCH($D317,C_Type_Volume!$A:$A,0),1),"X")),"")</f>
        <v>20120</v>
      </c>
      <c r="BC317" s="84">
        <f>IFERROR(IF($E317="REC",INDEX(A_Type_Volume!$E:$E,MATCH($D317,A_Type_Volume!$A:$A,0),1),IF($E317="VAM",INDEX(C_Type_Volume!$E:$E,MATCH($D317,C_Type_Volume!$A:$A,0),1),"X")),"")</f>
        <v>16825</v>
      </c>
      <c r="BD317" s="84">
        <f>IFERROR(IF($E317="REC",INDEX(A_Type_Volume!$F:$F,MATCH($D317,A_Type_Volume!$A:$A,0),1),IF($E317="VAM",INDEX(C_Type_Volume!$F:$F,MATCH($D317,C_Type_Volume!$A:$A,0),1),"X")),"")</f>
        <v>19517</v>
      </c>
      <c r="BE317" s="84">
        <f>IFERROR(IF($E317="REC",INDEX(A_Type_Volume!$G:$G,MATCH($D317,A_Type_Volume!$A:$A,0),1),IF($E317="VAM",INDEX(C_Type_Volume!$G:$G,MATCH($D317,C_Type_Volume!$A:$A,0),1),"X")),"")</f>
        <v>18844</v>
      </c>
      <c r="BF317" s="84">
        <f>IFERROR(IF($E317="REC",INDEX(A_Type_Volume!$H:$H,MATCH($D317,A_Type_Volume!$A:$A,0),1),IF($E317="VAM",INDEX(C_Type_Volume!$H:$H,MATCH($D317,C_Type_Volume!$A:$A,0),1),"X")),"")</f>
        <v>19701</v>
      </c>
      <c r="BG317" s="84">
        <f>IFERROR(IF($E317="REC",INDEX(A_Type_Volume!$I:$I,MATCH($D317,A_Type_Volume!$A:$A,0),1),IF($E317="VAM",INDEX(C_Type_Volume!$I:$I,MATCH($D317,C_Type_Volume!$A:$A,0),1),"X")),"")</f>
        <v>19022</v>
      </c>
      <c r="BH317" s="84">
        <f>IFERROR(IF($E317="REC",INDEX(A_Type_Volume!$J:$J,MATCH($D317,A_Type_Volume!$A:$A,0),1),IF($E317="VAM",INDEX(C_Type_Volume!$J:$J,MATCH($D317,C_Type_Volume!$A:$A,0),1),"X")),"")</f>
        <v>19701</v>
      </c>
      <c r="BI317" s="84">
        <f>IFERROR(IF($E317="REC",INDEX(A_Type_Volume!$K:$K,MATCH($D317,A_Type_Volume!$A:$A,0),1),IF($E317="VAM",INDEX(C_Type_Volume!$K:$K,MATCH($D317,C_Type_Volume!$A:$A,0),1),"X")),"")</f>
        <v>21113</v>
      </c>
      <c r="BJ317" s="84">
        <f>IFERROR(IF($E317="REC",INDEX(A_Type_Volume!$L:$L,MATCH($D317,A_Type_Volume!$A:$A,0),1),IF($E317="VAM",INDEX(C_Type_Volume!$L:$L,MATCH($D317,C_Type_Volume!$A:$A,0),1),"X")),"")</f>
        <v>19070</v>
      </c>
      <c r="BK317" s="84">
        <f>IFERROR(IF($E317="REC",INDEX(A_Type_Volume!M:M,MATCH($D317,A_Type_Volume!$A:$A,0),1),IF($E317="VAM",INDEX(C_Type_Volume!M:M,MATCH($D317,C_Type_Volume!$A:$A,0),1),"X")),"")</f>
        <v>17027</v>
      </c>
      <c r="BL317" s="38">
        <f>SUM(Table1[[#This Row],[Jan_AVF]:[Dec_AVF]])</f>
        <v>208271</v>
      </c>
      <c r="BM317" s="85">
        <f t="shared" si="395"/>
        <v>0</v>
      </c>
      <c r="BN317" s="85">
        <f t="shared" si="396"/>
        <v>0</v>
      </c>
      <c r="BO317" s="85">
        <f t="shared" si="397"/>
        <v>0</v>
      </c>
      <c r="BP317" s="85">
        <f t="shared" si="398"/>
        <v>0</v>
      </c>
      <c r="BQ317" s="85">
        <f t="shared" si="399"/>
        <v>0</v>
      </c>
      <c r="BR317" s="85">
        <f t="shared" si="400"/>
        <v>0</v>
      </c>
      <c r="BS317" s="85">
        <f t="shared" si="401"/>
        <v>0</v>
      </c>
      <c r="BT317" s="85">
        <f t="shared" si="402"/>
        <v>0</v>
      </c>
      <c r="BU317" s="85">
        <f t="shared" si="403"/>
        <v>0</v>
      </c>
      <c r="BV317" s="85">
        <f t="shared" si="404"/>
        <v>0</v>
      </c>
      <c r="BW317" s="85">
        <f t="shared" si="405"/>
        <v>0</v>
      </c>
      <c r="BX317" s="85">
        <f t="shared" si="406"/>
        <v>0</v>
      </c>
      <c r="BY317" s="83">
        <f t="shared" si="407"/>
        <v>0</v>
      </c>
      <c r="BZ317" s="83">
        <f t="shared" si="408"/>
        <v>0</v>
      </c>
      <c r="CA317" s="83">
        <f t="shared" si="409"/>
        <v>0</v>
      </c>
      <c r="CB317" s="83">
        <f t="shared" si="410"/>
        <v>0</v>
      </c>
      <c r="CC317" s="83">
        <f>IFERROR(Table1[[#This Row],[Labor
Saving]]*Table1[[#This Row],[Annual Volume]],"")</f>
        <v>0</v>
      </c>
      <c r="CD317" s="83">
        <f>IFERROR(Table1[[#This Row],[Annual Volume]]*Table1[[#This Row],[Yield
Saving]],"")</f>
        <v>0</v>
      </c>
      <c r="CE317" s="83">
        <f>IFERROR(Table1[[#This Row],[Annual Volume]]*Table1[[#This Row],[Material
Saving]],"")</f>
        <v>0</v>
      </c>
      <c r="CF317" s="83">
        <f>IFERROR(Table1[[#This Row],[OH
Saving]]*Table1[[#This Row],[Annual Volume]],"")</f>
        <v>0</v>
      </c>
      <c r="CG317" s="83">
        <f>SUM(Table1[[#This Row],[Labor_ASV]:[OH_ASV]])</f>
        <v>0</v>
      </c>
    </row>
    <row r="318" spans="1:85" x14ac:dyDescent="0.3">
      <c r="A318" t="str">
        <f>Table1[[#This Row],[Project Name]]&amp;Table1[[#This Row],[Part Number]]</f>
        <v>New Etching Chemical Hydroflauric AcidV5</v>
      </c>
      <c r="B318" t="str">
        <f>IFERROR(Table1[[#This Row],[Project Number]]&amp;Table1[[#This Row],[Part Number]],"")</f>
        <v>AME25-068V5</v>
      </c>
      <c r="C318" s="47" t="s">
        <v>115</v>
      </c>
      <c r="D318" s="75" t="s">
        <v>217</v>
      </c>
      <c r="E318" s="76" t="s">
        <v>60</v>
      </c>
      <c r="F318" s="77">
        <f>INDEX(Proj_Reg!G:G,MATCH($C318,Proj_Reg!$B:$B,0),1)</f>
        <v>46266</v>
      </c>
      <c r="G318" s="77">
        <f>INDEX(Proj_Reg!H:H,MATCH($C318,Proj_Reg!$B:$B,0),1)</f>
        <v>46600</v>
      </c>
      <c r="H318" s="77" t="str">
        <f>IF(INDEX(Proj_Reg!C:C,MATCH($C318,Proj_Reg!$B:$B,0),1)=0,"",INDEX(Proj_Reg!C:C,MATCH($C318,Proj_Reg!$B:$B,0),1))</f>
        <v>Wet Etching</v>
      </c>
      <c r="I318" s="77" t="str">
        <f>IF(INDEX(Proj_Reg!D:D,MATCH($C318,Proj_Reg!$B:$B,0),1)=0,"",INDEX(Proj_Reg!D:D,MATCH($C318,Proj_Reg!$B:$B,0),1))</f>
        <v>XWP</v>
      </c>
      <c r="J318" s="77" t="str">
        <f>INDEX(Proj_Reg!E:E,MATCH($C318,Proj_Reg!$B:$B,0),1)</f>
        <v>New Etching Chemical Hydroflauric Acid</v>
      </c>
      <c r="K318" s="14"/>
      <c r="L318" s="21"/>
      <c r="M318" s="21"/>
      <c r="N318" s="21"/>
      <c r="O318" s="79">
        <f>SUM(Table1[[#This Row],[Labor
Saving]:[OH
Saving]])</f>
        <v>0</v>
      </c>
      <c r="P318" s="42"/>
      <c r="Q318" s="40">
        <f t="shared" si="362"/>
        <v>0</v>
      </c>
      <c r="R318" s="40">
        <f t="shared" si="363"/>
        <v>0</v>
      </c>
      <c r="S318" s="40">
        <f t="shared" si="364"/>
        <v>0</v>
      </c>
      <c r="T318" s="40">
        <f t="shared" si="365"/>
        <v>0</v>
      </c>
      <c r="U318" s="40">
        <f t="shared" si="366"/>
        <v>0</v>
      </c>
      <c r="V318" s="40">
        <f t="shared" si="367"/>
        <v>0</v>
      </c>
      <c r="W318" s="40">
        <f t="shared" si="368"/>
        <v>0</v>
      </c>
      <c r="X318" s="40">
        <f t="shared" si="369"/>
        <v>0</v>
      </c>
      <c r="Y318" s="40">
        <f t="shared" si="210"/>
        <v>0</v>
      </c>
      <c r="Z318" s="40">
        <f t="shared" si="370"/>
        <v>0</v>
      </c>
      <c r="AA318" s="40">
        <f t="shared" si="371"/>
        <v>0</v>
      </c>
      <c r="AB318" s="40">
        <f t="shared" si="372"/>
        <v>0</v>
      </c>
      <c r="AC318" s="81">
        <f>SUM(Table1[[#This Row],[Jan]:[Dec]])</f>
        <v>0</v>
      </c>
      <c r="AD318" s="82">
        <f t="shared" si="373"/>
        <v>0</v>
      </c>
      <c r="AE318" s="82">
        <f t="shared" si="374"/>
        <v>0</v>
      </c>
      <c r="AF318" s="82">
        <f t="shared" si="375"/>
        <v>0</v>
      </c>
      <c r="AG318" s="82">
        <f t="shared" si="376"/>
        <v>0</v>
      </c>
      <c r="AH318" s="82">
        <f t="shared" si="377"/>
        <v>0</v>
      </c>
      <c r="AI318" s="82">
        <f t="shared" si="378"/>
        <v>0</v>
      </c>
      <c r="AJ318" s="82">
        <f t="shared" si="379"/>
        <v>0</v>
      </c>
      <c r="AK318" s="82">
        <f t="shared" si="380"/>
        <v>0</v>
      </c>
      <c r="AL318" s="82">
        <f t="shared" si="381"/>
        <v>0</v>
      </c>
      <c r="AM318" s="82">
        <f t="shared" si="382"/>
        <v>0</v>
      </c>
      <c r="AN318" s="82">
        <f t="shared" si="383"/>
        <v>0</v>
      </c>
      <c r="AO318" s="82">
        <f t="shared" si="384"/>
        <v>0</v>
      </c>
      <c r="AP318" s="83">
        <f t="shared" si="385"/>
        <v>0</v>
      </c>
      <c r="AQ318" s="83">
        <f t="shared" si="386"/>
        <v>0</v>
      </c>
      <c r="AR318" s="83">
        <f t="shared" si="387"/>
        <v>0</v>
      </c>
      <c r="AS318" s="83">
        <f t="shared" si="388"/>
        <v>0</v>
      </c>
      <c r="AT318" s="83" t="b">
        <f t="shared" si="389"/>
        <v>1</v>
      </c>
      <c r="AU318" s="83">
        <f t="shared" si="390"/>
        <v>0</v>
      </c>
      <c r="AV318" s="83">
        <f t="shared" si="391"/>
        <v>0</v>
      </c>
      <c r="AW318" s="83">
        <f t="shared" si="392"/>
        <v>0</v>
      </c>
      <c r="AX318" s="83">
        <f t="shared" si="393"/>
        <v>0</v>
      </c>
      <c r="AY318" s="83">
        <f t="shared" si="394"/>
        <v>0</v>
      </c>
      <c r="AZ318" s="84">
        <f>IFERROR(IF($E318="REC",INDEX(A_Type_Volume!$B:$B,MATCH($D318,A_Type_Volume!$A:$A,0),1),IF($E318="VAM",INDEX(C_Type_Volume!$B:$B,MATCH($D318,C_Type_Volume!$A:$A,0),1),"X")),"")</f>
        <v>0</v>
      </c>
      <c r="BA318" s="84">
        <f>IFERROR(IF($E318="REC",INDEX(A_Type_Volume!$C:$C,MATCH($D318,A_Type_Volume!$A:$A,0),1),IF($E318="VAM",INDEX(C_Type_Volume!$C:$C,MATCH($D318,C_Type_Volume!$A:$A,0),1),"X")),"")</f>
        <v>75157</v>
      </c>
      <c r="BB318" s="84">
        <f>IFERROR(IF($E318="REC",INDEX(A_Type_Volume!$D:$D,MATCH($D318,A_Type_Volume!$A:$A,0),1),IF($E318="VAM",INDEX(C_Type_Volume!$D:$D,MATCH($D318,C_Type_Volume!$A:$A,0),1),"X")),"")</f>
        <v>75275</v>
      </c>
      <c r="BC318" s="84">
        <f>IFERROR(IF($E318="REC",INDEX(A_Type_Volume!$E:$E,MATCH($D318,A_Type_Volume!$A:$A,0),1),IF($E318="VAM",INDEX(C_Type_Volume!$E:$E,MATCH($D318,C_Type_Volume!$A:$A,0),1),"X")),"")</f>
        <v>0</v>
      </c>
      <c r="BD318" s="84">
        <f>IFERROR(IF($E318="REC",INDEX(A_Type_Volume!$F:$F,MATCH($D318,A_Type_Volume!$A:$A,0),1),IF($E318="VAM",INDEX(C_Type_Volume!$F:$F,MATCH($D318,C_Type_Volume!$A:$A,0),1),"X")),"")</f>
        <v>0</v>
      </c>
      <c r="BE318" s="84">
        <f>IFERROR(IF($E318="REC",INDEX(A_Type_Volume!$G:$G,MATCH($D318,A_Type_Volume!$A:$A,0),1),IF($E318="VAM",INDEX(C_Type_Volume!$G:$G,MATCH($D318,C_Type_Volume!$A:$A,0),1),"X")),"")</f>
        <v>0</v>
      </c>
      <c r="BF318" s="84">
        <f>IFERROR(IF($E318="REC",INDEX(A_Type_Volume!$H:$H,MATCH($D318,A_Type_Volume!$A:$A,0),1),IF($E318="VAM",INDEX(C_Type_Volume!$H:$H,MATCH($D318,C_Type_Volume!$A:$A,0),1),"X")),"")</f>
        <v>0</v>
      </c>
      <c r="BG318" s="84">
        <f>IFERROR(IF($E318="REC",INDEX(A_Type_Volume!$I:$I,MATCH($D318,A_Type_Volume!$A:$A,0),1),IF($E318="VAM",INDEX(C_Type_Volume!$I:$I,MATCH($D318,C_Type_Volume!$A:$A,0),1),"X")),"")</f>
        <v>0</v>
      </c>
      <c r="BH318" s="84">
        <f>IFERROR(IF($E318="REC",INDEX(A_Type_Volume!$J:$J,MATCH($D318,A_Type_Volume!$A:$A,0),1),IF($E318="VAM",INDEX(C_Type_Volume!$J:$J,MATCH($D318,C_Type_Volume!$A:$A,0),1),"X")),"")</f>
        <v>0</v>
      </c>
      <c r="BI318" s="84">
        <f>IFERROR(IF($E318="REC",INDEX(A_Type_Volume!$K:$K,MATCH($D318,A_Type_Volume!$A:$A,0),1),IF($E318="VAM",INDEX(C_Type_Volume!$K:$K,MATCH($D318,C_Type_Volume!$A:$A,0),1),"X")),"")</f>
        <v>0</v>
      </c>
      <c r="BJ318" s="84">
        <f>IFERROR(IF($E318="REC",INDEX(A_Type_Volume!$L:$L,MATCH($D318,A_Type_Volume!$A:$A,0),1),IF($E318="VAM",INDEX(C_Type_Volume!$L:$L,MATCH($D318,C_Type_Volume!$A:$A,0),1),"X")),"")</f>
        <v>0</v>
      </c>
      <c r="BK318" s="84">
        <f>IFERROR(IF($E318="REC",INDEX(A_Type_Volume!M:M,MATCH($D318,A_Type_Volume!$A:$A,0),1),IF($E318="VAM",INDEX(C_Type_Volume!M:M,MATCH($D318,C_Type_Volume!$A:$A,0),1),"X")),"")</f>
        <v>0</v>
      </c>
      <c r="BL318" s="38">
        <f>SUM(Table1[[#This Row],[Jan_AVF]:[Dec_AVF]])</f>
        <v>150432</v>
      </c>
      <c r="BM318" s="85">
        <f t="shared" si="395"/>
        <v>0</v>
      </c>
      <c r="BN318" s="85">
        <f t="shared" si="396"/>
        <v>0</v>
      </c>
      <c r="BO318" s="85">
        <f t="shared" si="397"/>
        <v>0</v>
      </c>
      <c r="BP318" s="85">
        <f t="shared" si="398"/>
        <v>0</v>
      </c>
      <c r="BQ318" s="85">
        <f t="shared" si="399"/>
        <v>0</v>
      </c>
      <c r="BR318" s="85">
        <f t="shared" si="400"/>
        <v>0</v>
      </c>
      <c r="BS318" s="85">
        <f t="shared" si="401"/>
        <v>0</v>
      </c>
      <c r="BT318" s="85">
        <f t="shared" si="402"/>
        <v>0</v>
      </c>
      <c r="BU318" s="85">
        <f t="shared" si="403"/>
        <v>0</v>
      </c>
      <c r="BV318" s="85">
        <f t="shared" si="404"/>
        <v>0</v>
      </c>
      <c r="BW318" s="85">
        <f t="shared" si="405"/>
        <v>0</v>
      </c>
      <c r="BX318" s="85">
        <f t="shared" si="406"/>
        <v>0</v>
      </c>
      <c r="BY318" s="83">
        <f t="shared" si="407"/>
        <v>0</v>
      </c>
      <c r="BZ318" s="83">
        <f t="shared" si="408"/>
        <v>0</v>
      </c>
      <c r="CA318" s="83">
        <f t="shared" si="409"/>
        <v>0</v>
      </c>
      <c r="CB318" s="83">
        <f t="shared" si="410"/>
        <v>0</v>
      </c>
      <c r="CC318" s="83">
        <f>IFERROR(Table1[[#This Row],[Labor
Saving]]*Table1[[#This Row],[Annual Volume]],"")</f>
        <v>0</v>
      </c>
      <c r="CD318" s="83">
        <f>IFERROR(Table1[[#This Row],[Annual Volume]]*Table1[[#This Row],[Yield
Saving]],"")</f>
        <v>0</v>
      </c>
      <c r="CE318" s="83">
        <f>IFERROR(Table1[[#This Row],[Annual Volume]]*Table1[[#This Row],[Material
Saving]],"")</f>
        <v>0</v>
      </c>
      <c r="CF318" s="83">
        <f>IFERROR(Table1[[#This Row],[OH
Saving]]*Table1[[#This Row],[Annual Volume]],"")</f>
        <v>0</v>
      </c>
      <c r="CG318" s="83">
        <f>SUM(Table1[[#This Row],[Labor_ASV]:[OH_ASV]])</f>
        <v>0</v>
      </c>
    </row>
    <row r="319" spans="1:85" x14ac:dyDescent="0.3">
      <c r="A319" t="str">
        <f>Table1[[#This Row],[Project Name]]&amp;Table1[[#This Row],[Part Number]]</f>
        <v>New Etching Chemical Hydroflauric AcidV6</v>
      </c>
      <c r="B319" t="str">
        <f>IFERROR(Table1[[#This Row],[Project Number]]&amp;Table1[[#This Row],[Part Number]],"")</f>
        <v>AME25-068V6</v>
      </c>
      <c r="C319" s="47" t="s">
        <v>115</v>
      </c>
      <c r="D319" s="75" t="s">
        <v>218</v>
      </c>
      <c r="E319" s="76" t="s">
        <v>60</v>
      </c>
      <c r="F319" s="77">
        <f>INDEX(Proj_Reg!G:G,MATCH($C319,Proj_Reg!$B:$B,0),1)</f>
        <v>46266</v>
      </c>
      <c r="G319" s="77">
        <f>INDEX(Proj_Reg!H:H,MATCH($C319,Proj_Reg!$B:$B,0),1)</f>
        <v>46600</v>
      </c>
      <c r="H319" s="77" t="str">
        <f>IF(INDEX(Proj_Reg!C:C,MATCH($C319,Proj_Reg!$B:$B,0),1)=0,"",INDEX(Proj_Reg!C:C,MATCH($C319,Proj_Reg!$B:$B,0),1))</f>
        <v>Wet Etching</v>
      </c>
      <c r="I319" s="77" t="str">
        <f>IF(INDEX(Proj_Reg!D:D,MATCH($C319,Proj_Reg!$B:$B,0),1)=0,"",INDEX(Proj_Reg!D:D,MATCH($C319,Proj_Reg!$B:$B,0),1))</f>
        <v>XWP</v>
      </c>
      <c r="J319" s="77" t="str">
        <f>INDEX(Proj_Reg!E:E,MATCH($C319,Proj_Reg!$B:$B,0),1)</f>
        <v>New Etching Chemical Hydroflauric Acid</v>
      </c>
      <c r="K319" s="14"/>
      <c r="L319" s="21"/>
      <c r="M319" s="21"/>
      <c r="N319" s="21"/>
      <c r="O319" s="79">
        <f>SUM(Table1[[#This Row],[Labor
Saving]:[OH
Saving]])</f>
        <v>0</v>
      </c>
      <c r="P319" s="42"/>
      <c r="Q319" s="40">
        <f t="shared" si="362"/>
        <v>0</v>
      </c>
      <c r="R319" s="40">
        <f t="shared" si="363"/>
        <v>0</v>
      </c>
      <c r="S319" s="40">
        <f t="shared" si="364"/>
        <v>0</v>
      </c>
      <c r="T319" s="40">
        <f t="shared" si="365"/>
        <v>0</v>
      </c>
      <c r="U319" s="40">
        <f t="shared" si="366"/>
        <v>0</v>
      </c>
      <c r="V319" s="40">
        <f t="shared" si="367"/>
        <v>0</v>
      </c>
      <c r="W319" s="40">
        <f t="shared" si="368"/>
        <v>0</v>
      </c>
      <c r="X319" s="40">
        <f t="shared" si="369"/>
        <v>0</v>
      </c>
      <c r="Y319" s="40">
        <f t="shared" si="210"/>
        <v>0</v>
      </c>
      <c r="Z319" s="40">
        <f t="shared" si="370"/>
        <v>0</v>
      </c>
      <c r="AA319" s="40">
        <f t="shared" si="371"/>
        <v>0</v>
      </c>
      <c r="AB319" s="40">
        <f t="shared" si="372"/>
        <v>0</v>
      </c>
      <c r="AC319" s="81">
        <f>SUM(Table1[[#This Row],[Jan]:[Dec]])</f>
        <v>0</v>
      </c>
      <c r="AD319" s="82">
        <f t="shared" si="373"/>
        <v>0</v>
      </c>
      <c r="AE319" s="82">
        <f t="shared" si="374"/>
        <v>0</v>
      </c>
      <c r="AF319" s="82">
        <f t="shared" si="375"/>
        <v>0</v>
      </c>
      <c r="AG319" s="82">
        <f t="shared" si="376"/>
        <v>0</v>
      </c>
      <c r="AH319" s="82">
        <f t="shared" si="377"/>
        <v>0</v>
      </c>
      <c r="AI319" s="82">
        <f t="shared" si="378"/>
        <v>0</v>
      </c>
      <c r="AJ319" s="82">
        <f t="shared" si="379"/>
        <v>0</v>
      </c>
      <c r="AK319" s="82">
        <f t="shared" si="380"/>
        <v>0</v>
      </c>
      <c r="AL319" s="82">
        <f t="shared" si="381"/>
        <v>0</v>
      </c>
      <c r="AM319" s="82">
        <f t="shared" si="382"/>
        <v>0</v>
      </c>
      <c r="AN319" s="82">
        <f t="shared" si="383"/>
        <v>0</v>
      </c>
      <c r="AO319" s="82">
        <f t="shared" si="384"/>
        <v>0</v>
      </c>
      <c r="AP319" s="83">
        <f t="shared" si="385"/>
        <v>0</v>
      </c>
      <c r="AQ319" s="83">
        <f t="shared" si="386"/>
        <v>0</v>
      </c>
      <c r="AR319" s="83">
        <f t="shared" si="387"/>
        <v>0</v>
      </c>
      <c r="AS319" s="83">
        <f t="shared" si="388"/>
        <v>0</v>
      </c>
      <c r="AT319" s="83" t="b">
        <f t="shared" si="389"/>
        <v>1</v>
      </c>
      <c r="AU319" s="83">
        <f t="shared" si="390"/>
        <v>0</v>
      </c>
      <c r="AV319" s="83">
        <f t="shared" si="391"/>
        <v>0</v>
      </c>
      <c r="AW319" s="83">
        <f t="shared" si="392"/>
        <v>0</v>
      </c>
      <c r="AX319" s="83">
        <f t="shared" si="393"/>
        <v>0</v>
      </c>
      <c r="AY319" s="83">
        <f t="shared" si="394"/>
        <v>0</v>
      </c>
      <c r="AZ319" s="84">
        <f>IFERROR(IF($E319="REC",INDEX(A_Type_Volume!$B:$B,MATCH($D319,A_Type_Volume!$A:$A,0),1),IF($E319="VAM",INDEX(C_Type_Volume!$B:$B,MATCH($D319,C_Type_Volume!$A:$A,0),1),"X")),"")</f>
        <v>0</v>
      </c>
      <c r="BA319" s="84">
        <f>IFERROR(IF($E319="REC",INDEX(A_Type_Volume!$C:$C,MATCH($D319,A_Type_Volume!$A:$A,0),1),IF($E319="VAM",INDEX(C_Type_Volume!$C:$C,MATCH($D319,C_Type_Volume!$A:$A,0),1),"X")),"")</f>
        <v>75157</v>
      </c>
      <c r="BB319" s="84">
        <f>IFERROR(IF($E319="REC",INDEX(A_Type_Volume!$D:$D,MATCH($D319,A_Type_Volume!$A:$A,0),1),IF($E319="VAM",INDEX(C_Type_Volume!$D:$D,MATCH($D319,C_Type_Volume!$A:$A,0),1),"X")),"")</f>
        <v>75275</v>
      </c>
      <c r="BC319" s="84">
        <f>IFERROR(IF($E319="REC",INDEX(A_Type_Volume!$E:$E,MATCH($D319,A_Type_Volume!$A:$A,0),1),IF($E319="VAM",INDEX(C_Type_Volume!$E:$E,MATCH($D319,C_Type_Volume!$A:$A,0),1),"X")),"")</f>
        <v>0</v>
      </c>
      <c r="BD319" s="84">
        <f>IFERROR(IF($E319="REC",INDEX(A_Type_Volume!$F:$F,MATCH($D319,A_Type_Volume!$A:$A,0),1),IF($E319="VAM",INDEX(C_Type_Volume!$F:$F,MATCH($D319,C_Type_Volume!$A:$A,0),1),"X")),"")</f>
        <v>0</v>
      </c>
      <c r="BE319" s="84">
        <f>IFERROR(IF($E319="REC",INDEX(A_Type_Volume!$G:$G,MATCH($D319,A_Type_Volume!$A:$A,0),1),IF($E319="VAM",INDEX(C_Type_Volume!$G:$G,MATCH($D319,C_Type_Volume!$A:$A,0),1),"X")),"")</f>
        <v>0</v>
      </c>
      <c r="BF319" s="84">
        <f>IFERROR(IF($E319="REC",INDEX(A_Type_Volume!$H:$H,MATCH($D319,A_Type_Volume!$A:$A,0),1),IF($E319="VAM",INDEX(C_Type_Volume!$H:$H,MATCH($D319,C_Type_Volume!$A:$A,0),1),"X")),"")</f>
        <v>0</v>
      </c>
      <c r="BG319" s="84">
        <f>IFERROR(IF($E319="REC",INDEX(A_Type_Volume!$I:$I,MATCH($D319,A_Type_Volume!$A:$A,0),1),IF($E319="VAM",INDEX(C_Type_Volume!$I:$I,MATCH($D319,C_Type_Volume!$A:$A,0),1),"X")),"")</f>
        <v>0</v>
      </c>
      <c r="BH319" s="84">
        <f>IFERROR(IF($E319="REC",INDEX(A_Type_Volume!$J:$J,MATCH($D319,A_Type_Volume!$A:$A,0),1),IF($E319="VAM",INDEX(C_Type_Volume!$J:$J,MATCH($D319,C_Type_Volume!$A:$A,0),1),"X")),"")</f>
        <v>0</v>
      </c>
      <c r="BI319" s="84">
        <f>IFERROR(IF($E319="REC",INDEX(A_Type_Volume!$K:$K,MATCH($D319,A_Type_Volume!$A:$A,0),1),IF($E319="VAM",INDEX(C_Type_Volume!$K:$K,MATCH($D319,C_Type_Volume!$A:$A,0),1),"X")),"")</f>
        <v>0</v>
      </c>
      <c r="BJ319" s="84">
        <f>IFERROR(IF($E319="REC",INDEX(A_Type_Volume!$L:$L,MATCH($D319,A_Type_Volume!$A:$A,0),1),IF($E319="VAM",INDEX(C_Type_Volume!$L:$L,MATCH($D319,C_Type_Volume!$A:$A,0),1),"X")),"")</f>
        <v>0</v>
      </c>
      <c r="BK319" s="84">
        <f>IFERROR(IF($E319="REC",INDEX(A_Type_Volume!M:M,MATCH($D319,A_Type_Volume!$A:$A,0),1),IF($E319="VAM",INDEX(C_Type_Volume!M:M,MATCH($D319,C_Type_Volume!$A:$A,0),1),"X")),"")</f>
        <v>0</v>
      </c>
      <c r="BL319" s="38">
        <f>SUM(Table1[[#This Row],[Jan_AVF]:[Dec_AVF]])</f>
        <v>150432</v>
      </c>
      <c r="BM319" s="85">
        <f t="shared" si="395"/>
        <v>0</v>
      </c>
      <c r="BN319" s="85">
        <f t="shared" si="396"/>
        <v>0</v>
      </c>
      <c r="BO319" s="85">
        <f t="shared" si="397"/>
        <v>0</v>
      </c>
      <c r="BP319" s="85">
        <f t="shared" si="398"/>
        <v>0</v>
      </c>
      <c r="BQ319" s="85">
        <f t="shared" si="399"/>
        <v>0</v>
      </c>
      <c r="BR319" s="85">
        <f t="shared" si="400"/>
        <v>0</v>
      </c>
      <c r="BS319" s="85">
        <f t="shared" si="401"/>
        <v>0</v>
      </c>
      <c r="BT319" s="85">
        <f t="shared" si="402"/>
        <v>0</v>
      </c>
      <c r="BU319" s="85">
        <f t="shared" si="403"/>
        <v>0</v>
      </c>
      <c r="BV319" s="85">
        <f t="shared" si="404"/>
        <v>0</v>
      </c>
      <c r="BW319" s="85">
        <f t="shared" si="405"/>
        <v>0</v>
      </c>
      <c r="BX319" s="85">
        <f t="shared" si="406"/>
        <v>0</v>
      </c>
      <c r="BY319" s="83">
        <f t="shared" si="407"/>
        <v>0</v>
      </c>
      <c r="BZ319" s="83">
        <f t="shared" si="408"/>
        <v>0</v>
      </c>
      <c r="CA319" s="83">
        <f t="shared" si="409"/>
        <v>0</v>
      </c>
      <c r="CB319" s="83">
        <f t="shared" si="410"/>
        <v>0</v>
      </c>
      <c r="CC319" s="83">
        <f>IFERROR(Table1[[#This Row],[Labor
Saving]]*Table1[[#This Row],[Annual Volume]],"")</f>
        <v>0</v>
      </c>
      <c r="CD319" s="83">
        <f>IFERROR(Table1[[#This Row],[Annual Volume]]*Table1[[#This Row],[Yield
Saving]],"")</f>
        <v>0</v>
      </c>
      <c r="CE319" s="83">
        <f>IFERROR(Table1[[#This Row],[Annual Volume]]*Table1[[#This Row],[Material
Saving]],"")</f>
        <v>0</v>
      </c>
      <c r="CF319" s="83">
        <f>IFERROR(Table1[[#This Row],[OH
Saving]]*Table1[[#This Row],[Annual Volume]],"")</f>
        <v>0</v>
      </c>
      <c r="CG319" s="83">
        <f>SUM(Table1[[#This Row],[Labor_ASV]:[OH_ASV]])</f>
        <v>0</v>
      </c>
    </row>
  </sheetData>
  <pageMargins left="0.7" right="0.7" top="0.75" bottom="0.75" header="0.3" footer="0.3"/>
  <pageSetup orientation="portrait" horizontalDpi="0" verticalDpi="0" r:id="rId1"/>
  <legacy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79998168889431442"/>
  </sheetPr>
  <dimension ref="A1:BE159"/>
  <sheetViews>
    <sheetView showGridLines="0" zoomScale="85" zoomScaleNormal="85" workbookViewId="0">
      <selection activeCell="I31" sqref="I31"/>
    </sheetView>
  </sheetViews>
  <sheetFormatPr defaultRowHeight="14.4" x14ac:dyDescent="0.3"/>
  <cols>
    <col min="1" max="1" width="38.88671875" customWidth="1"/>
    <col min="2" max="2" width="17.21875" customWidth="1"/>
    <col min="3" max="3" width="16.44140625" customWidth="1"/>
    <col min="4" max="4" width="19.88671875" customWidth="1"/>
    <col min="5" max="5" width="14.88671875" customWidth="1"/>
    <col min="6" max="6" width="17.88671875" customWidth="1"/>
    <col min="7" max="7" width="1.88671875" customWidth="1"/>
    <col min="9" max="9" width="26.5546875" customWidth="1"/>
    <col min="10" max="11" width="12.109375" bestFit="1" customWidth="1"/>
    <col min="12" max="12" width="13.21875" bestFit="1" customWidth="1"/>
    <col min="13" max="13" width="12.109375" bestFit="1" customWidth="1"/>
    <col min="14" max="14" width="13.21875" bestFit="1" customWidth="1"/>
    <col min="17" max="17" width="16.109375" customWidth="1"/>
    <col min="18" max="18" width="17.21875" customWidth="1"/>
    <col min="19" max="19" width="16.44140625" customWidth="1"/>
    <col min="20" max="20" width="19.88671875" customWidth="1"/>
    <col min="21" max="21" width="14.88671875" customWidth="1"/>
    <col min="22" max="22" width="17.88671875" customWidth="1"/>
    <col min="23" max="23" width="1.6640625" customWidth="1"/>
    <col min="24" max="24" width="20.88671875" customWidth="1"/>
    <col min="25" max="28" width="11.33203125" customWidth="1"/>
    <col min="29" max="29" width="17.5546875" customWidth="1"/>
    <col min="32" max="32" width="13.44140625" customWidth="1"/>
    <col min="33" max="33" width="17.44140625" customWidth="1"/>
    <col min="34" max="34" width="16.6640625" customWidth="1"/>
    <col min="35" max="35" width="20.109375" customWidth="1"/>
    <col min="36" max="36" width="15.109375" customWidth="1"/>
    <col min="37" max="37" width="17" customWidth="1"/>
    <col min="38" max="38" width="1.6640625" customWidth="1"/>
    <col min="39" max="39" width="15.77734375" customWidth="1"/>
    <col min="40" max="40" width="29.21875" bestFit="1" customWidth="1"/>
    <col min="41" max="45" width="13.88671875" customWidth="1"/>
    <col min="48" max="48" width="16.33203125" customWidth="1"/>
    <col min="49" max="49" width="13.44140625" customWidth="1"/>
    <col min="50" max="53" width="21" customWidth="1"/>
    <col min="54" max="57" width="15" customWidth="1"/>
    <col min="58" max="58" width="11" bestFit="1" customWidth="1"/>
  </cols>
  <sheetData>
    <row r="1" spans="1:57" x14ac:dyDescent="0.3">
      <c r="H1" s="1"/>
      <c r="I1">
        <v>0</v>
      </c>
      <c r="X1" s="129" t="s">
        <v>22</v>
      </c>
      <c r="Y1" s="129"/>
      <c r="Z1" s="129"/>
      <c r="AA1" s="129"/>
      <c r="AB1" s="129"/>
      <c r="AC1" s="129"/>
      <c r="AN1" s="129" t="s">
        <v>22</v>
      </c>
      <c r="AO1" s="129"/>
      <c r="AP1" s="129"/>
      <c r="AQ1" s="129"/>
      <c r="AR1" s="129"/>
      <c r="AS1" s="129"/>
    </row>
    <row r="2" spans="1:57" x14ac:dyDescent="0.3">
      <c r="A2" s="26" t="s">
        <v>162</v>
      </c>
      <c r="B2" t="s">
        <v>163</v>
      </c>
      <c r="C2" t="s">
        <v>164</v>
      </c>
      <c r="D2" t="s">
        <v>165</v>
      </c>
      <c r="E2" t="s">
        <v>168</v>
      </c>
      <c r="F2" t="s">
        <v>167</v>
      </c>
      <c r="H2" s="33" t="s">
        <v>169</v>
      </c>
      <c r="I2" s="33" t="s">
        <v>3</v>
      </c>
      <c r="J2" s="33" t="s">
        <v>4</v>
      </c>
      <c r="K2" s="33" t="s">
        <v>5</v>
      </c>
      <c r="L2" s="33" t="s">
        <v>6</v>
      </c>
      <c r="M2" s="33" t="s">
        <v>166</v>
      </c>
      <c r="N2" s="33" t="s">
        <v>7</v>
      </c>
      <c r="Q2" s="26" t="s">
        <v>162</v>
      </c>
      <c r="R2" t="s">
        <v>163</v>
      </c>
      <c r="S2" t="s">
        <v>164</v>
      </c>
      <c r="T2" t="s">
        <v>165</v>
      </c>
      <c r="U2" t="s">
        <v>168</v>
      </c>
      <c r="V2" t="s">
        <v>167</v>
      </c>
      <c r="X2" s="33" t="s">
        <v>1</v>
      </c>
      <c r="Y2" s="33" t="s">
        <v>4</v>
      </c>
      <c r="Z2" s="33" t="s">
        <v>5</v>
      </c>
      <c r="AA2" s="33" t="s">
        <v>6</v>
      </c>
      <c r="AB2" s="33" t="s">
        <v>199</v>
      </c>
      <c r="AC2" s="33" t="s">
        <v>7</v>
      </c>
      <c r="AF2" s="26" t="s">
        <v>162</v>
      </c>
      <c r="AG2" t="s">
        <v>163</v>
      </c>
      <c r="AH2" t="s">
        <v>164</v>
      </c>
      <c r="AI2" t="s">
        <v>165</v>
      </c>
      <c r="AJ2" t="s">
        <v>168</v>
      </c>
      <c r="AK2" t="s">
        <v>167</v>
      </c>
      <c r="AN2" s="33" t="s">
        <v>2</v>
      </c>
      <c r="AO2" s="33" t="s">
        <v>4</v>
      </c>
      <c r="AP2" s="33" t="s">
        <v>5</v>
      </c>
      <c r="AQ2" s="33" t="s">
        <v>6</v>
      </c>
      <c r="AR2" s="33" t="s">
        <v>166</v>
      </c>
      <c r="AS2" s="33" t="s">
        <v>7</v>
      </c>
      <c r="AW2" s="26" t="s">
        <v>162</v>
      </c>
      <c r="AX2" t="s">
        <v>184</v>
      </c>
      <c r="AY2" t="s">
        <v>185</v>
      </c>
      <c r="AZ2" t="s">
        <v>202</v>
      </c>
      <c r="BA2" t="s">
        <v>203</v>
      </c>
      <c r="BB2" t="s">
        <v>186</v>
      </c>
      <c r="BC2" t="s">
        <v>187</v>
      </c>
      <c r="BD2" t="s">
        <v>190</v>
      </c>
      <c r="BE2" t="s">
        <v>191</v>
      </c>
    </row>
    <row r="3" spans="1:57" s="29" customFormat="1" x14ac:dyDescent="0.3">
      <c r="A3" s="27" t="s">
        <v>492</v>
      </c>
      <c r="B3" s="29">
        <v>1601.7785023385584</v>
      </c>
      <c r="C3" s="29">
        <v>0</v>
      </c>
      <c r="D3" s="29">
        <v>1242071.3414970986</v>
      </c>
      <c r="E3" s="29">
        <v>0</v>
      </c>
      <c r="F3" s="29">
        <v>1243673.1199994371</v>
      </c>
      <c r="G3"/>
      <c r="H3" s="34">
        <v>1</v>
      </c>
      <c r="I3" s="30" t="str">
        <f t="shared" ref="I3:I12" ca="1" si="0">OFFSET(A3,$I$1,0)</f>
        <v>Aut Visual 2</v>
      </c>
      <c r="J3" s="31">
        <f t="shared" ref="J3:J12" ca="1" si="1">OFFSET(B3,$I$1,0)</f>
        <v>1601.7785023385584</v>
      </c>
      <c r="K3" s="31">
        <f t="shared" ref="K3:K12" ca="1" si="2">OFFSET(C3,$I$1,0)</f>
        <v>0</v>
      </c>
      <c r="L3" s="31">
        <f t="shared" ref="L3:L12" ca="1" si="3">OFFSET(D3,$I$1,0)</f>
        <v>1242071.3414970986</v>
      </c>
      <c r="M3" s="31">
        <f t="shared" ref="M3:M12" ca="1" si="4">OFFSET(E3,$I$1,0)</f>
        <v>0</v>
      </c>
      <c r="N3" s="31">
        <f t="shared" ref="N3:N12" ca="1" si="5">OFFSET(F3,$I$1,0)</f>
        <v>1243673.1199994371</v>
      </c>
      <c r="O3"/>
      <c r="P3"/>
      <c r="Q3" s="27" t="s">
        <v>487</v>
      </c>
      <c r="R3" s="29">
        <v>759984.27567153925</v>
      </c>
      <c r="S3" s="29">
        <v>366413.2181987564</v>
      </c>
      <c r="T3" s="29">
        <v>565280.38598297909</v>
      </c>
      <c r="U3" s="29">
        <v>0</v>
      </c>
      <c r="V3" s="29">
        <v>1691677.8798532735</v>
      </c>
      <c r="X3" s="30" t="str">
        <f ca="1">OFFSET(Q3,0,0)</f>
        <v>Wet Etching</v>
      </c>
      <c r="Y3" s="31">
        <f t="shared" ref="Y3:AC8" ca="1" si="6">OFFSET(R3,0,0)</f>
        <v>759984.27567153925</v>
      </c>
      <c r="Z3" s="31">
        <f t="shared" ca="1" si="6"/>
        <v>366413.2181987564</v>
      </c>
      <c r="AA3" s="31">
        <f t="shared" ca="1" si="6"/>
        <v>565280.38598297909</v>
      </c>
      <c r="AB3" s="31">
        <f t="shared" ca="1" si="6"/>
        <v>0</v>
      </c>
      <c r="AC3" s="31">
        <f t="shared" ca="1" si="6"/>
        <v>1691677.8798532735</v>
      </c>
      <c r="AF3" s="27" t="s">
        <v>436</v>
      </c>
      <c r="AG3" s="29">
        <v>1193828.4470899776</v>
      </c>
      <c r="AH3" s="29">
        <v>369977.72029104066</v>
      </c>
      <c r="AI3" s="29">
        <v>757646.15272723557</v>
      </c>
      <c r="AJ3" s="29">
        <v>0</v>
      </c>
      <c r="AK3" s="29">
        <v>2321452.3201082535</v>
      </c>
      <c r="AN3" s="30" t="str">
        <f t="shared" ref="AN3:AS3" ca="1" si="7">OFFSET(AF3,0,0)</f>
        <v>XWP</v>
      </c>
      <c r="AO3" s="35">
        <f t="shared" ca="1" si="7"/>
        <v>1193828.4470899776</v>
      </c>
      <c r="AP3" s="35">
        <f t="shared" ca="1" si="7"/>
        <v>369977.72029104066</v>
      </c>
      <c r="AQ3" s="35">
        <f t="shared" ca="1" si="7"/>
        <v>757646.15272723557</v>
      </c>
      <c r="AR3" s="35">
        <f t="shared" ca="1" si="7"/>
        <v>0</v>
      </c>
      <c r="AS3" s="35">
        <f t="shared" ca="1" si="7"/>
        <v>2321452.3201082535</v>
      </c>
      <c r="AW3" s="27" t="s">
        <v>436</v>
      </c>
      <c r="AX3" s="29">
        <v>263865.24962476885</v>
      </c>
      <c r="AY3" s="29">
        <v>233706.44192229692</v>
      </c>
      <c r="AZ3" s="29">
        <v>563170.23080060806</v>
      </c>
      <c r="BA3" s="29">
        <v>1260712.6457605802</v>
      </c>
      <c r="BB3" s="29">
        <v>2004023.5530073631</v>
      </c>
      <c r="BC3" s="29">
        <v>1858718.8689608919</v>
      </c>
      <c r="BD3" s="29">
        <v>1784037.1198196614</v>
      </c>
      <c r="BE3" s="29">
        <v>1514414.4640614833</v>
      </c>
    </row>
    <row r="4" spans="1:57" s="29" customFormat="1" x14ac:dyDescent="0.3">
      <c r="A4" s="27" t="s">
        <v>493</v>
      </c>
      <c r="B4" s="29">
        <v>466323.49940569093</v>
      </c>
      <c r="C4" s="29">
        <v>0</v>
      </c>
      <c r="D4" s="29">
        <v>542395.07000000007</v>
      </c>
      <c r="E4" s="29">
        <v>0</v>
      </c>
      <c r="F4" s="29">
        <v>1008718.569405691</v>
      </c>
      <c r="G4"/>
      <c r="H4" s="34">
        <v>2</v>
      </c>
      <c r="I4" s="30" t="str">
        <f t="shared" ca="1" si="0"/>
        <v>New Etching Chemical Potassium Iodide</v>
      </c>
      <c r="J4" s="31">
        <f t="shared" ca="1" si="1"/>
        <v>466323.49940569093</v>
      </c>
      <c r="K4" s="31">
        <f t="shared" ca="1" si="2"/>
        <v>0</v>
      </c>
      <c r="L4" s="31">
        <f t="shared" ca="1" si="3"/>
        <v>542395.07000000007</v>
      </c>
      <c r="M4" s="31">
        <f t="shared" ca="1" si="4"/>
        <v>0</v>
      </c>
      <c r="N4" s="31">
        <f t="shared" ca="1" si="5"/>
        <v>1008718.569405691</v>
      </c>
      <c r="O4"/>
      <c r="P4"/>
      <c r="Q4" s="27" t="s">
        <v>485</v>
      </c>
      <c r="R4" s="29">
        <v>22230.307465986556</v>
      </c>
      <c r="S4" s="29">
        <v>0</v>
      </c>
      <c r="T4" s="29">
        <v>1414598.5441431075</v>
      </c>
      <c r="U4" s="29">
        <v>0</v>
      </c>
      <c r="V4" s="29">
        <v>1436828.8516090941</v>
      </c>
      <c r="X4" s="30" t="str">
        <f t="shared" ref="X4:X8" ca="1" si="8">OFFSET(Q4,0,0)</f>
        <v>Visual Inspection</v>
      </c>
      <c r="Y4" s="31">
        <f t="shared" ca="1" si="6"/>
        <v>22230.307465986556</v>
      </c>
      <c r="Z4" s="31">
        <f t="shared" ca="1" si="6"/>
        <v>0</v>
      </c>
      <c r="AA4" s="31">
        <f t="shared" ca="1" si="6"/>
        <v>1414598.5441431075</v>
      </c>
      <c r="AB4" s="31">
        <f t="shared" ca="1" si="6"/>
        <v>0</v>
      </c>
      <c r="AC4" s="31">
        <f t="shared" ca="1" si="6"/>
        <v>1436828.8516090941</v>
      </c>
      <c r="AF4" s="27" t="s">
        <v>491</v>
      </c>
      <c r="AG4" s="29">
        <v>1601.7785023385584</v>
      </c>
      <c r="AH4" s="29">
        <v>0</v>
      </c>
      <c r="AI4" s="29">
        <v>1242071.3414970986</v>
      </c>
      <c r="AJ4" s="29">
        <v>0</v>
      </c>
      <c r="AK4" s="29">
        <v>1243673.1199994371</v>
      </c>
      <c r="AN4" s="30" t="str">
        <f t="shared" ref="AN4:AN9" ca="1" si="9">OFFSET(AF4,0,0)</f>
        <v>XCI</v>
      </c>
      <c r="AO4" s="35">
        <f t="shared" ref="AO4:AS9" ca="1" si="10">OFFSET(AG4,0,0)</f>
        <v>1601.7785023385584</v>
      </c>
      <c r="AP4" s="35">
        <f t="shared" ca="1" si="10"/>
        <v>0</v>
      </c>
      <c r="AQ4" s="35">
        <f t="shared" ca="1" si="10"/>
        <v>1242071.3414970986</v>
      </c>
      <c r="AR4" s="35">
        <f t="shared" ca="1" si="10"/>
        <v>0</v>
      </c>
      <c r="AS4" s="35">
        <f t="shared" ca="1" si="10"/>
        <v>1243673.1199994371</v>
      </c>
      <c r="AW4" s="27" t="s">
        <v>491</v>
      </c>
      <c r="AX4" s="29">
        <v>0</v>
      </c>
      <c r="AY4" s="29">
        <v>60867.397220696039</v>
      </c>
      <c r="AZ4" s="29">
        <v>617504.39969803719</v>
      </c>
      <c r="BA4" s="29">
        <v>565301.32308070397</v>
      </c>
      <c r="BB4" s="29">
        <v>544050.23343958217</v>
      </c>
      <c r="BC4" s="29">
        <v>591771.00139938877</v>
      </c>
      <c r="BD4" s="29">
        <v>617504.39969803719</v>
      </c>
      <c r="BE4" s="29">
        <v>565301.32308070397</v>
      </c>
    </row>
    <row r="5" spans="1:57" s="29" customFormat="1" x14ac:dyDescent="0.3">
      <c r="A5" s="27" t="s">
        <v>465</v>
      </c>
      <c r="B5" s="29">
        <v>142724.30946412962</v>
      </c>
      <c r="C5" s="29">
        <v>0</v>
      </c>
      <c r="D5" s="29">
        <v>138102.62000000002</v>
      </c>
      <c r="E5" s="29">
        <v>0</v>
      </c>
      <c r="F5" s="29">
        <v>280826.92946412967</v>
      </c>
      <c r="G5"/>
      <c r="H5" s="34">
        <v>3</v>
      </c>
      <c r="I5" s="30" t="str">
        <f t="shared" ca="1" si="0"/>
        <v>Diamond blade Supplier X</v>
      </c>
      <c r="J5" s="31">
        <f t="shared" ca="1" si="1"/>
        <v>142724.30946412962</v>
      </c>
      <c r="K5" s="31">
        <f t="shared" ca="1" si="2"/>
        <v>0</v>
      </c>
      <c r="L5" s="31">
        <f t="shared" ca="1" si="3"/>
        <v>138102.62000000002</v>
      </c>
      <c r="M5" s="31">
        <f t="shared" ca="1" si="4"/>
        <v>0</v>
      </c>
      <c r="N5" s="31">
        <f t="shared" ca="1" si="5"/>
        <v>280826.92946412967</v>
      </c>
      <c r="O5"/>
      <c r="P5"/>
      <c r="Q5" s="27" t="s">
        <v>458</v>
      </c>
      <c r="R5" s="29">
        <v>532462.12272930285</v>
      </c>
      <c r="S5" s="29">
        <v>0</v>
      </c>
      <c r="T5" s="29">
        <v>428214.81257342751</v>
      </c>
      <c r="U5" s="29">
        <v>0</v>
      </c>
      <c r="V5" s="29">
        <v>960676.93530273042</v>
      </c>
      <c r="X5" s="30" t="str">
        <f t="shared" ca="1" si="8"/>
        <v>Wafer Saw Dicing</v>
      </c>
      <c r="Y5" s="31">
        <f t="shared" ca="1" si="6"/>
        <v>532462.12272930285</v>
      </c>
      <c r="Z5" s="31">
        <f t="shared" ca="1" si="6"/>
        <v>0</v>
      </c>
      <c r="AA5" s="31">
        <f t="shared" ca="1" si="6"/>
        <v>428214.81257342751</v>
      </c>
      <c r="AB5" s="31">
        <f t="shared" ca="1" si="6"/>
        <v>0</v>
      </c>
      <c r="AC5" s="31">
        <f t="shared" ca="1" si="6"/>
        <v>960676.93530273042</v>
      </c>
      <c r="AF5" s="27" t="s">
        <v>459</v>
      </c>
      <c r="AG5" s="29">
        <v>553090.65169295087</v>
      </c>
      <c r="AH5" s="29">
        <v>0</v>
      </c>
      <c r="AI5" s="29">
        <v>600742.01521943614</v>
      </c>
      <c r="AJ5" s="29">
        <v>0</v>
      </c>
      <c r="AK5" s="29">
        <v>1153832.6669123874</v>
      </c>
      <c r="AN5" s="30" t="str">
        <f t="shared" ca="1" si="9"/>
        <v>XCD</v>
      </c>
      <c r="AO5" s="35">
        <f t="shared" ca="1" si="10"/>
        <v>553090.65169295087</v>
      </c>
      <c r="AP5" s="35">
        <f t="shared" ca="1" si="10"/>
        <v>0</v>
      </c>
      <c r="AQ5" s="35">
        <f t="shared" ca="1" si="10"/>
        <v>600742.01521943614</v>
      </c>
      <c r="AR5" s="35">
        <f t="shared" ca="1" si="10"/>
        <v>0</v>
      </c>
      <c r="AS5" s="35">
        <f t="shared" ca="1" si="10"/>
        <v>1153832.6669123874</v>
      </c>
      <c r="AW5" s="27" t="s">
        <v>459</v>
      </c>
      <c r="AX5" s="29">
        <v>74985.574387626039</v>
      </c>
      <c r="AY5" s="29">
        <v>352974.63781180733</v>
      </c>
      <c r="AZ5" s="29">
        <v>350062.47295166011</v>
      </c>
      <c r="BA5" s="29">
        <v>375809.98176129372</v>
      </c>
      <c r="BB5" s="29">
        <v>740210.55343638186</v>
      </c>
      <c r="BC5" s="29">
        <v>675165.48751000722</v>
      </c>
      <c r="BD5" s="29">
        <v>556114.07708614471</v>
      </c>
      <c r="BE5" s="29">
        <v>447008.6792387038</v>
      </c>
    </row>
    <row r="6" spans="1:57" s="29" customFormat="1" x14ac:dyDescent="0.3">
      <c r="A6" s="27" t="s">
        <v>495</v>
      </c>
      <c r="B6" s="29">
        <v>203284.76699999999</v>
      </c>
      <c r="C6" s="29">
        <v>0</v>
      </c>
      <c r="D6" s="29">
        <v>0</v>
      </c>
      <c r="E6" s="29">
        <v>0</v>
      </c>
      <c r="F6" s="29">
        <v>203284.76699999999</v>
      </c>
      <c r="G6"/>
      <c r="H6" s="34">
        <v>4</v>
      </c>
      <c r="I6" s="30" t="str">
        <f t="shared" ca="1" si="0"/>
        <v>New Etching Chemical Iodine</v>
      </c>
      <c r="J6" s="31">
        <f t="shared" ca="1" si="1"/>
        <v>203284.76699999999</v>
      </c>
      <c r="K6" s="31">
        <f t="shared" ca="1" si="2"/>
        <v>0</v>
      </c>
      <c r="L6" s="31">
        <f t="shared" ca="1" si="3"/>
        <v>0</v>
      </c>
      <c r="M6" s="31">
        <f t="shared" ca="1" si="4"/>
        <v>0</v>
      </c>
      <c r="N6" s="31">
        <f t="shared" ca="1" si="5"/>
        <v>203284.76699999999</v>
      </c>
      <c r="O6"/>
      <c r="P6"/>
      <c r="Q6" s="27" t="s">
        <v>435</v>
      </c>
      <c r="R6" s="29">
        <v>433844.17141843803</v>
      </c>
      <c r="S6" s="29">
        <v>3564.5020922842482</v>
      </c>
      <c r="T6" s="29">
        <v>192365.76674425649</v>
      </c>
      <c r="U6" s="29">
        <v>0</v>
      </c>
      <c r="V6" s="29">
        <v>629774.44025497872</v>
      </c>
      <c r="X6" s="30" t="str">
        <f t="shared" ca="1" si="8"/>
        <v>Sputtering</v>
      </c>
      <c r="Y6" s="31">
        <f t="shared" ca="1" si="6"/>
        <v>433844.17141843803</v>
      </c>
      <c r="Z6" s="31">
        <f t="shared" ca="1" si="6"/>
        <v>3564.5020922842482</v>
      </c>
      <c r="AA6" s="31">
        <f t="shared" ca="1" si="6"/>
        <v>192365.76674425649</v>
      </c>
      <c r="AB6" s="31">
        <f t="shared" ca="1" si="6"/>
        <v>0</v>
      </c>
      <c r="AC6" s="31">
        <f t="shared" ca="1" si="6"/>
        <v>629774.44025497872</v>
      </c>
      <c r="AF6"/>
      <c r="AG6"/>
      <c r="AH6"/>
      <c r="AI6"/>
      <c r="AJ6"/>
      <c r="AK6"/>
      <c r="AW6"/>
      <c r="AX6"/>
      <c r="AY6"/>
      <c r="AZ6"/>
      <c r="BA6"/>
      <c r="BB6"/>
      <c r="BC6"/>
      <c r="BD6"/>
      <c r="BE6"/>
    </row>
    <row r="7" spans="1:57" s="29" customFormat="1" x14ac:dyDescent="0.3">
      <c r="A7" s="27" t="s">
        <v>498</v>
      </c>
      <c r="B7" s="29">
        <v>43275.073628312879</v>
      </c>
      <c r="C7" s="29">
        <v>137338.39531146368</v>
      </c>
      <c r="D7" s="29">
        <v>19756.95763104186</v>
      </c>
      <c r="E7" s="29">
        <v>0</v>
      </c>
      <c r="F7" s="29">
        <v>200370.42657081844</v>
      </c>
      <c r="G7"/>
      <c r="H7" s="34">
        <v>5</v>
      </c>
      <c r="I7" s="30" t="str">
        <f t="shared" ca="1" si="0"/>
        <v>New Etching Chemical Diammonium Cerium</v>
      </c>
      <c r="J7" s="31">
        <f t="shared" ca="1" si="1"/>
        <v>43275.073628312879</v>
      </c>
      <c r="K7" s="31">
        <f t="shared" ca="1" si="2"/>
        <v>137338.39531146368</v>
      </c>
      <c r="L7" s="31">
        <f t="shared" ca="1" si="3"/>
        <v>19756.95763104186</v>
      </c>
      <c r="M7" s="31">
        <f t="shared" ca="1" si="4"/>
        <v>0</v>
      </c>
      <c r="N7" s="31">
        <f t="shared" ca="1" si="5"/>
        <v>200370.42657081844</v>
      </c>
      <c r="O7"/>
      <c r="P7"/>
      <c r="Q7"/>
      <c r="R7"/>
      <c r="S7"/>
      <c r="T7"/>
      <c r="U7"/>
      <c r="V7"/>
      <c r="X7" s="30"/>
      <c r="Y7" s="31"/>
      <c r="Z7" s="31"/>
      <c r="AA7" s="31"/>
      <c r="AB7" s="31"/>
      <c r="AC7" s="31"/>
      <c r="AF7"/>
      <c r="AG7"/>
      <c r="AH7"/>
      <c r="AI7"/>
      <c r="AJ7"/>
      <c r="AK7"/>
      <c r="AW7"/>
      <c r="AX7"/>
      <c r="AY7"/>
      <c r="AZ7"/>
      <c r="BA7"/>
      <c r="BB7"/>
      <c r="BC7"/>
      <c r="BD7"/>
      <c r="BE7"/>
    </row>
    <row r="8" spans="1:57" s="29" customFormat="1" x14ac:dyDescent="0.3">
      <c r="A8" s="27" t="s">
        <v>486</v>
      </c>
      <c r="B8" s="29">
        <v>0</v>
      </c>
      <c r="C8" s="29">
        <v>0</v>
      </c>
      <c r="D8" s="29">
        <v>172527.20264600893</v>
      </c>
      <c r="E8" s="29">
        <v>0</v>
      </c>
      <c r="F8" s="29">
        <v>172527.20264600893</v>
      </c>
      <c r="G8"/>
      <c r="H8" s="34">
        <v>6</v>
      </c>
      <c r="I8" s="30" t="str">
        <f t="shared" ca="1" si="0"/>
        <v>Sampling Size Reduction</v>
      </c>
      <c r="J8" s="31">
        <f t="shared" ca="1" si="1"/>
        <v>0</v>
      </c>
      <c r="K8" s="31">
        <f t="shared" ca="1" si="2"/>
        <v>0</v>
      </c>
      <c r="L8" s="31">
        <f t="shared" ca="1" si="3"/>
        <v>172527.20264600893</v>
      </c>
      <c r="M8" s="31">
        <f t="shared" ca="1" si="4"/>
        <v>0</v>
      </c>
      <c r="N8" s="31">
        <f t="shared" ca="1" si="5"/>
        <v>172527.20264600893</v>
      </c>
      <c r="O8"/>
      <c r="P8"/>
      <c r="Q8"/>
      <c r="R8"/>
      <c r="S8"/>
      <c r="T8"/>
      <c r="U8"/>
      <c r="V8"/>
      <c r="X8" s="30"/>
      <c r="Y8" s="31"/>
      <c r="Z8" s="31"/>
      <c r="AA8" s="31"/>
      <c r="AB8" s="31"/>
      <c r="AC8" s="31"/>
      <c r="AF8"/>
      <c r="AG8"/>
      <c r="AH8"/>
      <c r="AI8"/>
      <c r="AJ8"/>
      <c r="AK8"/>
      <c r="AW8"/>
      <c r="AX8"/>
      <c r="AY8"/>
      <c r="AZ8"/>
      <c r="BA8"/>
      <c r="BB8"/>
      <c r="BC8"/>
      <c r="BD8"/>
      <c r="BE8"/>
    </row>
    <row r="9" spans="1:57" s="29" customFormat="1" x14ac:dyDescent="0.3">
      <c r="A9" s="27" t="s">
        <v>477</v>
      </c>
      <c r="B9" s="29">
        <v>62659.887638505599</v>
      </c>
      <c r="C9" s="29">
        <v>0</v>
      </c>
      <c r="D9" s="29">
        <v>76255.19009528929</v>
      </c>
      <c r="E9" s="29">
        <v>0</v>
      </c>
      <c r="F9" s="29">
        <v>138915.07773379487</v>
      </c>
      <c r="G9"/>
      <c r="H9" s="34">
        <v>7</v>
      </c>
      <c r="I9" s="30" t="str">
        <f t="shared" ca="1" si="0"/>
        <v>Chip Cleaning Solvent 1</v>
      </c>
      <c r="J9" s="31">
        <f t="shared" ca="1" si="1"/>
        <v>62659.887638505599</v>
      </c>
      <c r="K9" s="31">
        <f t="shared" ca="1" si="2"/>
        <v>0</v>
      </c>
      <c r="L9" s="31">
        <f t="shared" ca="1" si="3"/>
        <v>76255.19009528929</v>
      </c>
      <c r="M9" s="31">
        <f t="shared" ca="1" si="4"/>
        <v>0</v>
      </c>
      <c r="N9" s="31">
        <f t="shared" ca="1" si="5"/>
        <v>138915.07773379487</v>
      </c>
      <c r="O9"/>
      <c r="P9"/>
      <c r="Q9"/>
      <c r="R9"/>
      <c r="S9"/>
      <c r="T9"/>
      <c r="U9"/>
      <c r="V9"/>
      <c r="Y9" s="29">
        <f ca="1">SUM(Y3:Y8)</f>
        <v>1748520.8772852665</v>
      </c>
      <c r="Z9" s="29">
        <f t="shared" ref="Z9:AC9" ca="1" si="11">SUM(Z3:Z8)</f>
        <v>369977.72029104066</v>
      </c>
      <c r="AA9" s="29">
        <f t="shared" ca="1" si="11"/>
        <v>2600459.5094437706</v>
      </c>
      <c r="AB9" s="29">
        <f t="shared" ca="1" si="11"/>
        <v>0</v>
      </c>
      <c r="AC9" s="174">
        <f t="shared" ca="1" si="11"/>
        <v>4718958.1070200773</v>
      </c>
      <c r="AF9"/>
      <c r="AG9"/>
      <c r="AH9"/>
      <c r="AI9"/>
      <c r="AJ9"/>
      <c r="AK9"/>
      <c r="AW9"/>
      <c r="AX9"/>
      <c r="AY9"/>
      <c r="AZ9"/>
      <c r="BA9"/>
      <c r="BB9"/>
      <c r="BC9"/>
      <c r="BD9"/>
      <c r="BE9"/>
    </row>
    <row r="10" spans="1:57" s="29" customFormat="1" x14ac:dyDescent="0.3">
      <c r="A10" s="27" t="s">
        <v>444</v>
      </c>
      <c r="B10" s="29">
        <v>92892.078310689438</v>
      </c>
      <c r="C10" s="29">
        <v>0</v>
      </c>
      <c r="D10" s="29">
        <v>38820.749914610715</v>
      </c>
      <c r="E10" s="29">
        <v>0</v>
      </c>
      <c r="F10" s="29">
        <v>131712.82822530015</v>
      </c>
      <c r="G10"/>
      <c r="H10" s="34">
        <v>8</v>
      </c>
      <c r="I10" s="30" t="str">
        <f t="shared" ca="1" si="0"/>
        <v>Pt Target Supplier X</v>
      </c>
      <c r="J10" s="31">
        <f t="shared" ca="1" si="1"/>
        <v>92892.078310689438</v>
      </c>
      <c r="K10" s="31">
        <f t="shared" ca="1" si="2"/>
        <v>0</v>
      </c>
      <c r="L10" s="31">
        <f t="shared" ca="1" si="3"/>
        <v>38820.749914610715</v>
      </c>
      <c r="M10" s="31">
        <f t="shared" ca="1" si="4"/>
        <v>0</v>
      </c>
      <c r="N10" s="31">
        <f t="shared" ca="1" si="5"/>
        <v>131712.82822530015</v>
      </c>
      <c r="O10"/>
      <c r="P10"/>
      <c r="Q10"/>
      <c r="R10"/>
      <c r="S10"/>
      <c r="T10"/>
      <c r="U10"/>
      <c r="V10"/>
      <c r="AF10"/>
      <c r="AG10"/>
      <c r="AH10"/>
      <c r="AI10"/>
      <c r="AJ10"/>
      <c r="AK10"/>
      <c r="AW10"/>
      <c r="AX10"/>
      <c r="AY10"/>
      <c r="AZ10"/>
      <c r="BA10"/>
      <c r="BB10"/>
      <c r="BC10"/>
      <c r="BD10"/>
      <c r="BE10"/>
    </row>
    <row r="11" spans="1:57" s="29" customFormat="1" x14ac:dyDescent="0.3">
      <c r="A11" s="27" t="s">
        <v>489</v>
      </c>
      <c r="B11" s="29">
        <v>7607.5620297951591</v>
      </c>
      <c r="C11" s="29">
        <v>121230.93000000001</v>
      </c>
      <c r="D11" s="29">
        <v>0</v>
      </c>
      <c r="E11" s="29">
        <v>0</v>
      </c>
      <c r="F11" s="29">
        <v>128838.49202979516</v>
      </c>
      <c r="G11"/>
      <c r="H11" s="34">
        <v>9</v>
      </c>
      <c r="I11" s="30" t="str">
        <f t="shared" ca="1" si="0"/>
        <v>TiW etching increase Frequency usage</v>
      </c>
      <c r="J11" s="31">
        <f t="shared" ca="1" si="1"/>
        <v>7607.5620297951591</v>
      </c>
      <c r="K11" s="31">
        <f t="shared" ca="1" si="2"/>
        <v>121230.93000000001</v>
      </c>
      <c r="L11" s="31">
        <f t="shared" ca="1" si="3"/>
        <v>0</v>
      </c>
      <c r="M11" s="31">
        <f t="shared" ca="1" si="4"/>
        <v>0</v>
      </c>
      <c r="N11" s="31">
        <f t="shared" ca="1" si="5"/>
        <v>128838.49202979516</v>
      </c>
      <c r="O11"/>
      <c r="P11"/>
      <c r="Q11"/>
      <c r="R11"/>
      <c r="S11"/>
      <c r="T11"/>
      <c r="U11"/>
      <c r="V11"/>
      <c r="X11" s="131" t="s">
        <v>183</v>
      </c>
      <c r="Y11" s="131"/>
      <c r="Z11" s="131"/>
      <c r="AA11" s="131"/>
      <c r="AB11" s="131"/>
      <c r="AC11" s="131"/>
      <c r="AF11"/>
      <c r="AG11"/>
      <c r="AH11"/>
      <c r="AI11"/>
      <c r="AJ11"/>
      <c r="AK11"/>
      <c r="AN11" s="129" t="s">
        <v>183</v>
      </c>
      <c r="AO11" s="129"/>
      <c r="AP11" s="129"/>
      <c r="AQ11" s="129"/>
      <c r="AR11" s="129"/>
      <c r="AS11" s="129"/>
      <c r="AW11"/>
      <c r="AX11"/>
      <c r="AY11"/>
      <c r="AZ11"/>
      <c r="BA11"/>
      <c r="BB11"/>
      <c r="BC11"/>
      <c r="BD11"/>
      <c r="BE11"/>
    </row>
    <row r="12" spans="1:57" s="29" customFormat="1" x14ac:dyDescent="0.3">
      <c r="A12" s="27" t="s">
        <v>463</v>
      </c>
      <c r="B12" s="29">
        <v>113037.61885632001</v>
      </c>
      <c r="C12" s="29">
        <v>0</v>
      </c>
      <c r="D12" s="29">
        <v>-3390.3375068623777</v>
      </c>
      <c r="E12" s="29">
        <v>0</v>
      </c>
      <c r="F12" s="29">
        <v>109647.28134945763</v>
      </c>
      <c r="G12"/>
      <c r="H12" s="34">
        <v>10</v>
      </c>
      <c r="I12" s="30" t="str">
        <f t="shared" ca="1" si="0"/>
        <v>Diamond blade Supplier D</v>
      </c>
      <c r="J12" s="31">
        <f t="shared" ca="1" si="1"/>
        <v>113037.61885632001</v>
      </c>
      <c r="K12" s="31">
        <f t="shared" ca="1" si="2"/>
        <v>0</v>
      </c>
      <c r="L12" s="31">
        <f t="shared" ca="1" si="3"/>
        <v>-3390.3375068623777</v>
      </c>
      <c r="M12" s="31">
        <f t="shared" ca="1" si="4"/>
        <v>0</v>
      </c>
      <c r="N12" s="31">
        <f t="shared" ca="1" si="5"/>
        <v>109647.28134945763</v>
      </c>
      <c r="O12"/>
      <c r="P12"/>
      <c r="Q12" s="26" t="s">
        <v>162</v>
      </c>
      <c r="R12" t="s">
        <v>178</v>
      </c>
      <c r="S12" t="s">
        <v>179</v>
      </c>
      <c r="T12" t="s">
        <v>180</v>
      </c>
      <c r="U12" t="s">
        <v>181</v>
      </c>
      <c r="V12" t="s">
        <v>182</v>
      </c>
      <c r="W12"/>
      <c r="X12" s="33" t="s">
        <v>1</v>
      </c>
      <c r="Y12" s="33" t="s">
        <v>4</v>
      </c>
      <c r="Z12" s="33" t="s">
        <v>5</v>
      </c>
      <c r="AA12" s="33" t="s">
        <v>6</v>
      </c>
      <c r="AB12" s="33" t="s">
        <v>199</v>
      </c>
      <c r="AC12" s="33" t="s">
        <v>7</v>
      </c>
      <c r="AF12" s="26" t="s">
        <v>162</v>
      </c>
      <c r="AG12" t="s">
        <v>178</v>
      </c>
      <c r="AH12" t="s">
        <v>179</v>
      </c>
      <c r="AI12" t="s">
        <v>180</v>
      </c>
      <c r="AJ12" t="s">
        <v>181</v>
      </c>
      <c r="AK12" t="s">
        <v>182</v>
      </c>
      <c r="AL12"/>
      <c r="AM12"/>
      <c r="AN12" s="33" t="s">
        <v>2</v>
      </c>
      <c r="AO12" s="33" t="s">
        <v>4</v>
      </c>
      <c r="AP12" s="33" t="s">
        <v>5</v>
      </c>
      <c r="AQ12" s="33" t="s">
        <v>6</v>
      </c>
      <c r="AR12" s="33" t="s">
        <v>166</v>
      </c>
      <c r="AS12" s="33" t="s">
        <v>7</v>
      </c>
      <c r="AX12" s="130" t="s">
        <v>198</v>
      </c>
      <c r="AY12" s="130"/>
      <c r="AZ12" s="130"/>
      <c r="BA12" s="130"/>
      <c r="BB12" s="130" t="s">
        <v>170</v>
      </c>
      <c r="BC12" s="130"/>
      <c r="BD12" s="130"/>
      <c r="BE12" s="130"/>
    </row>
    <row r="13" spans="1:57" s="29" customFormat="1" x14ac:dyDescent="0.3">
      <c r="A13" s="27" t="s">
        <v>470</v>
      </c>
      <c r="B13" s="29">
        <v>33314.207712223957</v>
      </c>
      <c r="C13" s="29">
        <v>0</v>
      </c>
      <c r="D13" s="29">
        <v>38748.770000000004</v>
      </c>
      <c r="E13" s="29">
        <v>0</v>
      </c>
      <c r="F13" s="29">
        <v>72062.977712223961</v>
      </c>
      <c r="G13"/>
      <c r="H13" s="1"/>
      <c r="I13"/>
      <c r="J13"/>
      <c r="K13"/>
      <c r="L13"/>
      <c r="M13"/>
      <c r="N13"/>
      <c r="O13"/>
      <c r="P13"/>
      <c r="Q13" s="27" t="s">
        <v>435</v>
      </c>
      <c r="R13" s="29">
        <v>719113.55212145671</v>
      </c>
      <c r="S13" s="29">
        <v>3777.5921791835626</v>
      </c>
      <c r="T13" s="29">
        <v>373347.43821330951</v>
      </c>
      <c r="U13" s="29">
        <v>0</v>
      </c>
      <c r="V13" s="29">
        <v>1096238.5825139498</v>
      </c>
      <c r="X13" s="30" t="str">
        <f ca="1">OFFSET(Q13,0,0)</f>
        <v>Sputtering</v>
      </c>
      <c r="Y13" s="31">
        <f t="shared" ref="Y13:Y18" ca="1" si="12">OFFSET(R13,0,0)</f>
        <v>719113.55212145671</v>
      </c>
      <c r="Z13" s="31">
        <f t="shared" ref="Z13:Z18" ca="1" si="13">OFFSET(S13,0,0)</f>
        <v>3777.5921791835626</v>
      </c>
      <c r="AA13" s="31">
        <f t="shared" ref="AA13:AA18" ca="1" si="14">OFFSET(T13,0,0)</f>
        <v>373347.43821330951</v>
      </c>
      <c r="AB13" s="31">
        <f t="shared" ref="AB13:AB18" ca="1" si="15">OFFSET(U13,0,0)</f>
        <v>0</v>
      </c>
      <c r="AC13" s="31">
        <f t="shared" ref="AC13:AC18" ca="1" si="16">OFFSET(V13,0,0)</f>
        <v>1096238.5825139498</v>
      </c>
      <c r="AF13" s="27" t="s">
        <v>436</v>
      </c>
      <c r="AG13" s="29">
        <v>3604604.6728613265</v>
      </c>
      <c r="AH13" s="29">
        <v>1117469.8202981513</v>
      </c>
      <c r="AI13" s="29">
        <v>2439119.5126899201</v>
      </c>
      <c r="AJ13" s="29">
        <v>0</v>
      </c>
      <c r="AK13" s="29">
        <v>7161194.0058493968</v>
      </c>
      <c r="AN13" s="30" t="str">
        <f ca="1">OFFSET(AF13,0,0)</f>
        <v>XWP</v>
      </c>
      <c r="AO13" s="35">
        <f t="shared" ref="AO13:AO19" ca="1" si="17">OFFSET(AG13,0,0)</f>
        <v>3604604.6728613265</v>
      </c>
      <c r="AP13" s="35">
        <f t="shared" ref="AP13:AP19" ca="1" si="18">OFFSET(AH13,0,0)</f>
        <v>1117469.8202981513</v>
      </c>
      <c r="AQ13" s="35">
        <f t="shared" ref="AQ13:AQ19" ca="1" si="19">OFFSET(AI13,0,0)</f>
        <v>2439119.5126899201</v>
      </c>
      <c r="AR13" s="35">
        <f t="shared" ref="AR13:AR19" ca="1" si="20">OFFSET(AJ13,0,0)</f>
        <v>0</v>
      </c>
      <c r="AS13" s="35">
        <f t="shared" ref="AS13:AS19" ca="1" si="21">OFFSET(AK13,0,0)</f>
        <v>7161194.0058493968</v>
      </c>
      <c r="AW13"/>
      <c r="AX13" s="33" t="s">
        <v>192</v>
      </c>
      <c r="AY13" s="33" t="s">
        <v>193</v>
      </c>
      <c r="AZ13" s="33" t="s">
        <v>194</v>
      </c>
      <c r="BA13" s="33" t="s">
        <v>195</v>
      </c>
      <c r="BB13" s="33" t="s">
        <v>192</v>
      </c>
      <c r="BC13" s="33" t="s">
        <v>193</v>
      </c>
      <c r="BD13" s="33" t="s">
        <v>194</v>
      </c>
      <c r="BE13" s="33" t="s">
        <v>195</v>
      </c>
    </row>
    <row r="14" spans="1:57" s="29" customFormat="1" x14ac:dyDescent="0.3">
      <c r="A14" s="27" t="s">
        <v>438</v>
      </c>
      <c r="B14" s="29">
        <v>33902.375950892652</v>
      </c>
      <c r="C14" s="29">
        <v>0</v>
      </c>
      <c r="D14" s="29">
        <v>36443.334969539021</v>
      </c>
      <c r="E14" s="29">
        <v>0</v>
      </c>
      <c r="F14" s="29">
        <v>70345.71092043168</v>
      </c>
      <c r="G14"/>
      <c r="H14" s="33" t="s">
        <v>169</v>
      </c>
      <c r="I14" s="33" t="s">
        <v>3</v>
      </c>
      <c r="J14" s="33" t="s">
        <v>4</v>
      </c>
      <c r="K14" s="33" t="s">
        <v>5</v>
      </c>
      <c r="L14" s="33" t="s">
        <v>6</v>
      </c>
      <c r="M14" s="33" t="s">
        <v>199</v>
      </c>
      <c r="N14" s="33" t="s">
        <v>7</v>
      </c>
      <c r="O14"/>
      <c r="P14"/>
      <c r="Q14" s="27" t="s">
        <v>458</v>
      </c>
      <c r="R14" s="29">
        <v>1106837.1008884064</v>
      </c>
      <c r="S14" s="29">
        <v>0</v>
      </c>
      <c r="T14" s="29">
        <v>1024020.2456200778</v>
      </c>
      <c r="U14" s="29">
        <v>0</v>
      </c>
      <c r="V14" s="29">
        <v>2130857.3465084839</v>
      </c>
      <c r="X14" s="30" t="str">
        <f t="shared" ref="X14:X18" ca="1" si="22">OFFSET(Q14,0,0)</f>
        <v>Wafer Saw Dicing</v>
      </c>
      <c r="Y14" s="31">
        <f t="shared" ca="1" si="12"/>
        <v>1106837.1008884064</v>
      </c>
      <c r="Z14" s="31">
        <f t="shared" ca="1" si="13"/>
        <v>0</v>
      </c>
      <c r="AA14" s="31">
        <f t="shared" ca="1" si="14"/>
        <v>1024020.2456200778</v>
      </c>
      <c r="AB14" s="31">
        <f t="shared" ca="1" si="15"/>
        <v>0</v>
      </c>
      <c r="AC14" s="31">
        <f t="shared" ca="1" si="16"/>
        <v>2130857.3465084839</v>
      </c>
      <c r="AF14" s="27" t="s">
        <v>491</v>
      </c>
      <c r="AG14" s="29">
        <v>2491.364384593966</v>
      </c>
      <c r="AH14" s="29">
        <v>0</v>
      </c>
      <c r="AI14" s="29">
        <v>2316135.5932331183</v>
      </c>
      <c r="AJ14" s="29">
        <v>0</v>
      </c>
      <c r="AK14" s="29">
        <v>2318626.9576177122</v>
      </c>
      <c r="AN14" s="30" t="str">
        <f t="shared" ref="AN14:AN19" ca="1" si="23">OFFSET(AF14,0,0)</f>
        <v>XCI</v>
      </c>
      <c r="AO14" s="35">
        <f t="shared" ca="1" si="17"/>
        <v>2491.364384593966</v>
      </c>
      <c r="AP14" s="35">
        <f t="shared" ca="1" si="18"/>
        <v>0</v>
      </c>
      <c r="AQ14" s="35">
        <f t="shared" ca="1" si="19"/>
        <v>2316135.5932331183</v>
      </c>
      <c r="AR14" s="35">
        <f t="shared" ca="1" si="20"/>
        <v>0</v>
      </c>
      <c r="AS14" s="35">
        <f t="shared" ca="1" si="21"/>
        <v>2318626.9576177122</v>
      </c>
      <c r="AW14" s="39" t="s">
        <v>436</v>
      </c>
      <c r="AX14" s="31">
        <f ca="1">OFFSET(AX3,0,0)</f>
        <v>263865.24962476885</v>
      </c>
      <c r="AY14" s="31">
        <f t="shared" ref="AY14:BE14" ca="1" si="24">OFFSET(AY3,0,0)</f>
        <v>233706.44192229692</v>
      </c>
      <c r="AZ14" s="31">
        <f t="shared" ca="1" si="24"/>
        <v>563170.23080060806</v>
      </c>
      <c r="BA14" s="31">
        <f t="shared" ca="1" si="24"/>
        <v>1260712.6457605802</v>
      </c>
      <c r="BB14" s="31">
        <f t="shared" ca="1" si="24"/>
        <v>2004023.5530073631</v>
      </c>
      <c r="BC14" s="31">
        <f t="shared" ca="1" si="24"/>
        <v>1858718.8689608919</v>
      </c>
      <c r="BD14" s="31">
        <f t="shared" ca="1" si="24"/>
        <v>1784037.1198196614</v>
      </c>
      <c r="BE14" s="31">
        <f t="shared" ca="1" si="24"/>
        <v>1514414.4640614833</v>
      </c>
    </row>
    <row r="15" spans="1:57" s="29" customFormat="1" x14ac:dyDescent="0.3">
      <c r="A15" s="27" t="s">
        <v>457</v>
      </c>
      <c r="B15" s="29">
        <v>50997.595803750017</v>
      </c>
      <c r="C15" s="29">
        <v>0</v>
      </c>
      <c r="D15" s="29">
        <v>17323.399013688209</v>
      </c>
      <c r="E15" s="29">
        <v>0</v>
      </c>
      <c r="F15" s="29">
        <v>68320.99481743823</v>
      </c>
      <c r="G15"/>
      <c r="H15" s="32">
        <v>10</v>
      </c>
      <c r="I15" s="30" t="str">
        <f ca="1">INDEX(I$3:I$12,MATCH($H15,$H$3:$H$12,0),1)</f>
        <v>Diamond blade Supplier D</v>
      </c>
      <c r="J15" s="31">
        <f ca="1">INDEX(J$3:J$12,MATCH($H15,$H$3:$H$12,0),1)</f>
        <v>113037.61885632001</v>
      </c>
      <c r="K15" s="31">
        <f t="shared" ref="K15:N15" ca="1" si="25">INDEX(K$3:K$12,MATCH($H15,$H$3:$H$12,0),1)</f>
        <v>0</v>
      </c>
      <c r="L15" s="31">
        <f t="shared" ca="1" si="25"/>
        <v>-3390.3375068623777</v>
      </c>
      <c r="M15" s="31">
        <f t="shared" ca="1" si="25"/>
        <v>0</v>
      </c>
      <c r="N15" s="31">
        <f t="shared" ca="1" si="25"/>
        <v>109647.28134945763</v>
      </c>
      <c r="O15"/>
      <c r="P15"/>
      <c r="Q15" s="27" t="s">
        <v>485</v>
      </c>
      <c r="R15" s="29">
        <v>70229.309243281954</v>
      </c>
      <c r="S15" s="29">
        <v>0</v>
      </c>
      <c r="T15" s="29">
        <v>2536039.0991371833</v>
      </c>
      <c r="U15" s="29">
        <v>0</v>
      </c>
      <c r="V15" s="29">
        <v>2606268.4083804651</v>
      </c>
      <c r="X15" s="30" t="str">
        <f t="shared" ca="1" si="22"/>
        <v>Visual Inspection</v>
      </c>
      <c r="Y15" s="31">
        <f t="shared" ca="1" si="12"/>
        <v>70229.309243281954</v>
      </c>
      <c r="Z15" s="31">
        <f t="shared" ca="1" si="13"/>
        <v>0</v>
      </c>
      <c r="AA15" s="31">
        <f t="shared" ca="1" si="14"/>
        <v>2536039.0991371833</v>
      </c>
      <c r="AB15" s="31">
        <f t="shared" ca="1" si="15"/>
        <v>0</v>
      </c>
      <c r="AC15" s="31">
        <f t="shared" ca="1" si="16"/>
        <v>2606268.4083804651</v>
      </c>
      <c r="AF15" s="27" t="s">
        <v>459</v>
      </c>
      <c r="AG15" s="29">
        <v>1174575.0457470939</v>
      </c>
      <c r="AH15" s="29">
        <v>0</v>
      </c>
      <c r="AI15" s="29">
        <v>1243923.7515241427</v>
      </c>
      <c r="AJ15" s="29">
        <v>0</v>
      </c>
      <c r="AK15" s="29">
        <v>2418498.7972712377</v>
      </c>
      <c r="AN15" s="30" t="str">
        <f t="shared" ca="1" si="23"/>
        <v>XCD</v>
      </c>
      <c r="AO15" s="35">
        <f t="shared" ca="1" si="17"/>
        <v>1174575.0457470939</v>
      </c>
      <c r="AP15" s="35">
        <f t="shared" ca="1" si="18"/>
        <v>0</v>
      </c>
      <c r="AQ15" s="35">
        <f t="shared" ca="1" si="19"/>
        <v>1243923.7515241427</v>
      </c>
      <c r="AR15" s="35">
        <f t="shared" ca="1" si="20"/>
        <v>0</v>
      </c>
      <c r="AS15" s="35">
        <f t="shared" ca="1" si="21"/>
        <v>2418498.7972712377</v>
      </c>
      <c r="AW15" s="39" t="s">
        <v>491</v>
      </c>
      <c r="AX15" s="31">
        <f t="shared" ref="AX15:BE16" ca="1" si="26">OFFSET(AX4,0,0)</f>
        <v>0</v>
      </c>
      <c r="AY15" s="31">
        <f t="shared" ca="1" si="26"/>
        <v>60867.397220696039</v>
      </c>
      <c r="AZ15" s="31">
        <f t="shared" ca="1" si="26"/>
        <v>617504.39969803719</v>
      </c>
      <c r="BA15" s="31">
        <f t="shared" ca="1" si="26"/>
        <v>565301.32308070397</v>
      </c>
      <c r="BB15" s="31">
        <f t="shared" ca="1" si="26"/>
        <v>544050.23343958217</v>
      </c>
      <c r="BC15" s="31">
        <f t="shared" ca="1" si="26"/>
        <v>591771.00139938877</v>
      </c>
      <c r="BD15" s="31">
        <f t="shared" ca="1" si="26"/>
        <v>617504.39969803719</v>
      </c>
      <c r="BE15" s="31">
        <f t="shared" ca="1" si="26"/>
        <v>565301.32308070397</v>
      </c>
    </row>
    <row r="16" spans="1:57" s="29" customFormat="1" x14ac:dyDescent="0.3">
      <c r="A16" s="27" t="s">
        <v>469</v>
      </c>
      <c r="B16" s="29">
        <v>29816.767500998998</v>
      </c>
      <c r="C16" s="29">
        <v>0</v>
      </c>
      <c r="D16" s="29">
        <v>34885.410000000003</v>
      </c>
      <c r="E16" s="29">
        <v>0</v>
      </c>
      <c r="F16" s="29">
        <v>64702.177500998994</v>
      </c>
      <c r="G16"/>
      <c r="H16" s="34">
        <v>9</v>
      </c>
      <c r="I16" s="30" t="str">
        <f t="shared" ref="I16:N24" ca="1" si="27">INDEX(I$3:I$12,MATCH($H16,$H$3:$H$12,0),1)</f>
        <v>TiW etching increase Frequency usage</v>
      </c>
      <c r="J16" s="31">
        <f t="shared" ca="1" si="27"/>
        <v>7607.5620297951591</v>
      </c>
      <c r="K16" s="31">
        <f t="shared" ca="1" si="27"/>
        <v>121230.93000000001</v>
      </c>
      <c r="L16" s="31">
        <f t="shared" ca="1" si="27"/>
        <v>0</v>
      </c>
      <c r="M16" s="31">
        <f t="shared" ca="1" si="27"/>
        <v>0</v>
      </c>
      <c r="N16" s="31">
        <f t="shared" ca="1" si="27"/>
        <v>128838.49202979516</v>
      </c>
      <c r="O16"/>
      <c r="P16"/>
      <c r="Q16" s="27" t="s">
        <v>487</v>
      </c>
      <c r="R16" s="29">
        <v>2885491.1207398698</v>
      </c>
      <c r="S16" s="29">
        <v>1113692.2281189677</v>
      </c>
      <c r="T16" s="29">
        <v>2065772.0744766099</v>
      </c>
      <c r="U16" s="29">
        <v>0</v>
      </c>
      <c r="V16" s="29">
        <v>6064955.4233354498</v>
      </c>
      <c r="X16" s="30" t="str">
        <f t="shared" ca="1" si="22"/>
        <v>Wet Etching</v>
      </c>
      <c r="Y16" s="31">
        <f t="shared" ca="1" si="12"/>
        <v>2885491.1207398698</v>
      </c>
      <c r="Z16" s="31">
        <f t="shared" ca="1" si="13"/>
        <v>1113692.2281189677</v>
      </c>
      <c r="AA16" s="31">
        <f t="shared" ca="1" si="14"/>
        <v>2065772.0744766099</v>
      </c>
      <c r="AB16" s="31">
        <f t="shared" ca="1" si="15"/>
        <v>0</v>
      </c>
      <c r="AC16" s="31">
        <f t="shared" ca="1" si="16"/>
        <v>6064955.4233354498</v>
      </c>
      <c r="AF16"/>
      <c r="AG16"/>
      <c r="AH16"/>
      <c r="AI16"/>
      <c r="AJ16"/>
      <c r="AK16"/>
      <c r="AW16" s="39" t="s">
        <v>459</v>
      </c>
      <c r="AX16" s="31">
        <f t="shared" ca="1" si="26"/>
        <v>74985.574387626039</v>
      </c>
      <c r="AY16" s="31">
        <f t="shared" ca="1" si="26"/>
        <v>352974.63781180733</v>
      </c>
      <c r="AZ16" s="31">
        <f t="shared" ca="1" si="26"/>
        <v>350062.47295166011</v>
      </c>
      <c r="BA16" s="31">
        <f t="shared" ca="1" si="26"/>
        <v>375809.98176129372</v>
      </c>
      <c r="BB16" s="31">
        <f t="shared" ca="1" si="26"/>
        <v>740210.55343638186</v>
      </c>
      <c r="BC16" s="31">
        <f t="shared" ca="1" si="26"/>
        <v>675165.48751000722</v>
      </c>
      <c r="BD16" s="31">
        <f t="shared" ca="1" si="26"/>
        <v>556114.07708614471</v>
      </c>
      <c r="BE16" s="31">
        <f t="shared" ca="1" si="26"/>
        <v>447008.6792387038</v>
      </c>
    </row>
    <row r="17" spans="1:57" s="29" customFormat="1" x14ac:dyDescent="0.3">
      <c r="A17" s="27" t="s">
        <v>494</v>
      </c>
      <c r="B17" s="29">
        <v>18948.798017634199</v>
      </c>
      <c r="C17" s="29">
        <v>44266.559271329075</v>
      </c>
      <c r="D17" s="29">
        <v>0</v>
      </c>
      <c r="E17" s="29">
        <v>0</v>
      </c>
      <c r="F17" s="29">
        <v>63215.357288963271</v>
      </c>
      <c r="G17"/>
      <c r="H17" s="34">
        <v>8</v>
      </c>
      <c r="I17" s="30" t="str">
        <f t="shared" ca="1" si="27"/>
        <v>Pt Target Supplier X</v>
      </c>
      <c r="J17" s="31">
        <f t="shared" ca="1" si="27"/>
        <v>92892.078310689438</v>
      </c>
      <c r="K17" s="31">
        <f t="shared" ca="1" si="27"/>
        <v>0</v>
      </c>
      <c r="L17" s="31">
        <f t="shared" ca="1" si="27"/>
        <v>38820.749914610715</v>
      </c>
      <c r="M17" s="31">
        <f t="shared" ca="1" si="27"/>
        <v>0</v>
      </c>
      <c r="N17" s="31">
        <f t="shared" ca="1" si="27"/>
        <v>131712.82822530015</v>
      </c>
      <c r="O17"/>
      <c r="P17"/>
      <c r="Q17"/>
      <c r="R17"/>
      <c r="S17"/>
      <c r="T17"/>
      <c r="U17"/>
      <c r="V17"/>
      <c r="X17" s="30"/>
      <c r="Y17" s="31"/>
      <c r="Z17" s="31"/>
      <c r="AA17" s="31"/>
      <c r="AB17" s="31"/>
      <c r="AC17" s="31"/>
      <c r="AF17"/>
      <c r="AG17"/>
      <c r="AH17"/>
      <c r="AI17"/>
      <c r="AJ17"/>
      <c r="AK17"/>
      <c r="AW17" s="29" t="s">
        <v>7</v>
      </c>
      <c r="AX17" s="29">
        <f ca="1">SUM(AX14:AX16)</f>
        <v>338850.82401239488</v>
      </c>
      <c r="AY17" s="29">
        <f ca="1">SUM(AY14:AY16)</f>
        <v>647548.47695480031</v>
      </c>
      <c r="AZ17" s="29">
        <f ca="1">SUM(AZ14:AZ16)</f>
        <v>1530737.1034503055</v>
      </c>
      <c r="BA17" s="29">
        <f ca="1">SUM(BA14:BA16)</f>
        <v>2201823.950602578</v>
      </c>
      <c r="BB17" s="29">
        <f ca="1">SUM(BB14:BB16)</f>
        <v>3288284.339883327</v>
      </c>
      <c r="BC17" s="29">
        <f ca="1">SUM(BC14:BC16)</f>
        <v>3125655.3578702877</v>
      </c>
      <c r="BD17" s="29">
        <f ca="1">SUM(BD14:BD16)</f>
        <v>2957655.5966038429</v>
      </c>
      <c r="BE17" s="29">
        <f ca="1">SUM(BE14:BE16)</f>
        <v>2526724.4663808914</v>
      </c>
    </row>
    <row r="18" spans="1:57" s="29" customFormat="1" x14ac:dyDescent="0.3">
      <c r="A18" s="27" t="s">
        <v>474</v>
      </c>
      <c r="B18" s="29">
        <v>29742.408783024002</v>
      </c>
      <c r="C18" s="29">
        <v>0</v>
      </c>
      <c r="D18" s="29">
        <v>32641.840645697353</v>
      </c>
      <c r="E18" s="29">
        <v>0</v>
      </c>
      <c r="F18" s="29">
        <v>62384.249428721356</v>
      </c>
      <c r="G18"/>
      <c r="H18" s="34">
        <v>7</v>
      </c>
      <c r="I18" s="30" t="str">
        <f t="shared" ca="1" si="27"/>
        <v>Chip Cleaning Solvent 1</v>
      </c>
      <c r="J18" s="31">
        <f t="shared" ca="1" si="27"/>
        <v>62659.887638505599</v>
      </c>
      <c r="K18" s="31">
        <f t="shared" ca="1" si="27"/>
        <v>0</v>
      </c>
      <c r="L18" s="31">
        <f t="shared" ca="1" si="27"/>
        <v>76255.19009528929</v>
      </c>
      <c r="M18" s="31">
        <f t="shared" ca="1" si="27"/>
        <v>0</v>
      </c>
      <c r="N18" s="31">
        <f t="shared" ca="1" si="27"/>
        <v>138915.07773379487</v>
      </c>
      <c r="O18"/>
      <c r="P18"/>
      <c r="Q18"/>
      <c r="R18"/>
      <c r="S18"/>
      <c r="T18"/>
      <c r="U18"/>
      <c r="V18"/>
      <c r="X18" s="30"/>
      <c r="Y18" s="31"/>
      <c r="Z18" s="31"/>
      <c r="AA18" s="31"/>
      <c r="AB18" s="31"/>
      <c r="AC18" s="31"/>
      <c r="AF18"/>
      <c r="AG18"/>
      <c r="AH18"/>
      <c r="AI18"/>
      <c r="AJ18"/>
      <c r="AK18"/>
    </row>
    <row r="19" spans="1:57" s="29" customFormat="1" x14ac:dyDescent="0.3">
      <c r="A19" s="27" t="s">
        <v>464</v>
      </c>
      <c r="B19" s="29">
        <v>27205.109713639376</v>
      </c>
      <c r="C19" s="29">
        <v>0</v>
      </c>
      <c r="D19" s="29">
        <v>31091.942934052164</v>
      </c>
      <c r="E19" s="29">
        <v>0</v>
      </c>
      <c r="F19" s="29">
        <v>58297.052647691526</v>
      </c>
      <c r="G19"/>
      <c r="H19" s="34">
        <v>6</v>
      </c>
      <c r="I19" s="30" t="str">
        <f t="shared" ca="1" si="27"/>
        <v>Sampling Size Reduction</v>
      </c>
      <c r="J19" s="31">
        <f t="shared" ca="1" si="27"/>
        <v>0</v>
      </c>
      <c r="K19" s="31">
        <f t="shared" ca="1" si="27"/>
        <v>0</v>
      </c>
      <c r="L19" s="31">
        <f t="shared" ca="1" si="27"/>
        <v>172527.20264600893</v>
      </c>
      <c r="M19" s="31">
        <f t="shared" ca="1" si="27"/>
        <v>0</v>
      </c>
      <c r="N19" s="31">
        <f t="shared" ca="1" si="27"/>
        <v>172527.20264600893</v>
      </c>
      <c r="O19"/>
      <c r="P19"/>
      <c r="Q19"/>
      <c r="R19"/>
      <c r="S19"/>
      <c r="T19"/>
      <c r="U19"/>
      <c r="V19"/>
      <c r="AC19" s="174">
        <f ca="1">SUM(AC13:AC18)</f>
        <v>11898319.760738349</v>
      </c>
      <c r="AF19"/>
      <c r="AG19"/>
      <c r="AH19"/>
      <c r="AI19"/>
      <c r="AJ19"/>
      <c r="AK19"/>
    </row>
    <row r="20" spans="1:57" s="29" customFormat="1" x14ac:dyDescent="0.3">
      <c r="A20" s="27" t="s">
        <v>441</v>
      </c>
      <c r="B20" s="29">
        <v>46959.372689930999</v>
      </c>
      <c r="C20" s="29">
        <v>0</v>
      </c>
      <c r="D20" s="29">
        <v>10243.966167113047</v>
      </c>
      <c r="E20" s="29">
        <v>0</v>
      </c>
      <c r="F20" s="29">
        <v>57203.338857044044</v>
      </c>
      <c r="G20"/>
      <c r="H20" s="34">
        <v>5</v>
      </c>
      <c r="I20" s="30" t="str">
        <f t="shared" ca="1" si="27"/>
        <v>New Etching Chemical Diammonium Cerium</v>
      </c>
      <c r="J20" s="31">
        <f t="shared" ca="1" si="27"/>
        <v>43275.073628312879</v>
      </c>
      <c r="K20" s="31">
        <f t="shared" ca="1" si="27"/>
        <v>137338.39531146368</v>
      </c>
      <c r="L20" s="31">
        <f t="shared" ca="1" si="27"/>
        <v>19756.95763104186</v>
      </c>
      <c r="M20" s="31">
        <f t="shared" ca="1" si="27"/>
        <v>0</v>
      </c>
      <c r="N20" s="31">
        <f t="shared" ca="1" si="27"/>
        <v>200370.42657081844</v>
      </c>
      <c r="O20"/>
      <c r="P20"/>
      <c r="Q20"/>
      <c r="R20"/>
      <c r="S20"/>
      <c r="T20"/>
      <c r="U20"/>
      <c r="V20"/>
      <c r="AF20"/>
      <c r="AG20"/>
      <c r="AH20"/>
      <c r="AI20"/>
      <c r="AJ20"/>
      <c r="AK20"/>
    </row>
    <row r="21" spans="1:57" s="29" customFormat="1" x14ac:dyDescent="0.3">
      <c r="A21" s="27" t="s">
        <v>447</v>
      </c>
      <c r="B21" s="29">
        <v>39944.794336053608</v>
      </c>
      <c r="C21" s="29">
        <v>0</v>
      </c>
      <c r="D21" s="29">
        <v>10880.1127374844</v>
      </c>
      <c r="E21" s="29">
        <v>0</v>
      </c>
      <c r="F21" s="29">
        <v>50824.907073538008</v>
      </c>
      <c r="G21"/>
      <c r="H21" s="34">
        <v>4</v>
      </c>
      <c r="I21" s="30" t="str">
        <f t="shared" ca="1" si="27"/>
        <v>New Etching Chemical Iodine</v>
      </c>
      <c r="J21" s="31">
        <f t="shared" ca="1" si="27"/>
        <v>203284.76699999999</v>
      </c>
      <c r="K21" s="31">
        <f t="shared" ca="1" si="27"/>
        <v>0</v>
      </c>
      <c r="L21" s="31">
        <f t="shared" ca="1" si="27"/>
        <v>0</v>
      </c>
      <c r="M21" s="31">
        <f t="shared" ca="1" si="27"/>
        <v>0</v>
      </c>
      <c r="N21" s="31">
        <f t="shared" ca="1" si="27"/>
        <v>203284.76699999999</v>
      </c>
      <c r="O21"/>
      <c r="P21"/>
      <c r="Q21"/>
      <c r="R21"/>
      <c r="S21"/>
      <c r="T21"/>
      <c r="U21"/>
      <c r="V21"/>
      <c r="AF21"/>
      <c r="AG21"/>
      <c r="AH21"/>
      <c r="AI21"/>
      <c r="AJ21"/>
      <c r="AK21"/>
    </row>
    <row r="22" spans="1:57" s="29" customFormat="1" x14ac:dyDescent="0.3">
      <c r="A22" s="27" t="s">
        <v>445</v>
      </c>
      <c r="B22" s="29">
        <v>37294.910073595194</v>
      </c>
      <c r="C22" s="29">
        <v>0</v>
      </c>
      <c r="D22" s="29">
        <v>13342.351690069037</v>
      </c>
      <c r="E22" s="29">
        <v>0</v>
      </c>
      <c r="F22" s="29">
        <v>50637.261763664224</v>
      </c>
      <c r="G22"/>
      <c r="H22" s="34">
        <v>3</v>
      </c>
      <c r="I22" s="30" t="str">
        <f t="shared" ca="1" si="27"/>
        <v>Diamond blade Supplier X</v>
      </c>
      <c r="J22" s="31">
        <f t="shared" ca="1" si="27"/>
        <v>142724.30946412962</v>
      </c>
      <c r="K22" s="31">
        <f t="shared" ca="1" si="27"/>
        <v>0</v>
      </c>
      <c r="L22" s="31">
        <f t="shared" ca="1" si="27"/>
        <v>138102.62000000002</v>
      </c>
      <c r="M22" s="31">
        <f t="shared" ca="1" si="27"/>
        <v>0</v>
      </c>
      <c r="N22" s="31">
        <f t="shared" ca="1" si="27"/>
        <v>280826.92946412967</v>
      </c>
      <c r="O22"/>
      <c r="P22"/>
      <c r="Q22"/>
      <c r="R22"/>
      <c r="S22"/>
      <c r="T22"/>
      <c r="U22"/>
      <c r="V22"/>
      <c r="AN22" s="129"/>
      <c r="AO22" s="129"/>
      <c r="AP22" s="129"/>
      <c r="AQ22" s="129"/>
      <c r="AR22" s="129"/>
      <c r="AS22" s="129"/>
    </row>
    <row r="23" spans="1:57" s="29" customFormat="1" x14ac:dyDescent="0.3">
      <c r="A23" s="27" t="s">
        <v>437</v>
      </c>
      <c r="B23" s="29">
        <v>30533.431079999998</v>
      </c>
      <c r="C23" s="29">
        <v>0</v>
      </c>
      <c r="D23" s="29">
        <v>19416.335401500826</v>
      </c>
      <c r="E23" s="29">
        <v>0</v>
      </c>
      <c r="F23" s="29">
        <v>49949.766481500825</v>
      </c>
      <c r="G23"/>
      <c r="H23" s="34">
        <v>2</v>
      </c>
      <c r="I23" s="30" t="str">
        <f t="shared" ca="1" si="27"/>
        <v>New Etching Chemical Potassium Iodide</v>
      </c>
      <c r="J23" s="31">
        <f t="shared" ca="1" si="27"/>
        <v>466323.49940569093</v>
      </c>
      <c r="K23" s="31">
        <f t="shared" ca="1" si="27"/>
        <v>0</v>
      </c>
      <c r="L23" s="31">
        <f t="shared" ca="1" si="27"/>
        <v>542395.07000000007</v>
      </c>
      <c r="M23" s="31">
        <f t="shared" ca="1" si="27"/>
        <v>0</v>
      </c>
      <c r="N23" s="31">
        <f t="shared" ca="1" si="27"/>
        <v>1008718.569405691</v>
      </c>
      <c r="O23"/>
      <c r="P23"/>
      <c r="Q23"/>
      <c r="R23"/>
      <c r="S23"/>
      <c r="T23"/>
      <c r="U23"/>
      <c r="V23"/>
      <c r="AN23" s="33" t="s">
        <v>2</v>
      </c>
      <c r="AO23" s="33" t="s">
        <v>4</v>
      </c>
      <c r="AP23" s="33" t="s">
        <v>5</v>
      </c>
      <c r="AQ23" s="33" t="s">
        <v>6</v>
      </c>
      <c r="AR23" s="33" t="s">
        <v>166</v>
      </c>
      <c r="AS23" s="33" t="s">
        <v>7</v>
      </c>
    </row>
    <row r="24" spans="1:57" s="29" customFormat="1" x14ac:dyDescent="0.3">
      <c r="A24" s="27" t="s">
        <v>478</v>
      </c>
      <c r="B24" s="29">
        <v>16081.349941</v>
      </c>
      <c r="C24" s="29">
        <v>0</v>
      </c>
      <c r="D24" s="29">
        <v>21493.330240782827</v>
      </c>
      <c r="E24" s="29">
        <v>0</v>
      </c>
      <c r="F24" s="29">
        <v>37574.680181782824</v>
      </c>
      <c r="G24"/>
      <c r="H24" s="34">
        <v>1</v>
      </c>
      <c r="I24" s="30" t="str">
        <f t="shared" ca="1" si="27"/>
        <v>Aut Visual 2</v>
      </c>
      <c r="J24" s="31">
        <f t="shared" ca="1" si="27"/>
        <v>1601.7785023385584</v>
      </c>
      <c r="K24" s="31">
        <f t="shared" ca="1" si="27"/>
        <v>0</v>
      </c>
      <c r="L24" s="31">
        <f t="shared" ca="1" si="27"/>
        <v>1242071.3414970986</v>
      </c>
      <c r="M24" s="31">
        <f t="shared" ca="1" si="27"/>
        <v>0</v>
      </c>
      <c r="N24" s="31">
        <f t="shared" ca="1" si="27"/>
        <v>1243673.1199994371</v>
      </c>
      <c r="O24"/>
      <c r="P24"/>
      <c r="Q24"/>
      <c r="R24"/>
      <c r="S24"/>
      <c r="T24"/>
      <c r="U24"/>
      <c r="V24"/>
      <c r="AN24" s="41" t="str">
        <f ca="1">AN3</f>
        <v>XWP</v>
      </c>
      <c r="AO24" s="31">
        <f ca="1">AO3</f>
        <v>1193828.4470899776</v>
      </c>
      <c r="AP24" s="31">
        <f t="shared" ref="AP24:AR24" ca="1" si="28">AP3</f>
        <v>369977.72029104066</v>
      </c>
      <c r="AQ24" s="31">
        <f t="shared" ca="1" si="28"/>
        <v>757646.15272723557</v>
      </c>
      <c r="AR24" s="31">
        <f t="shared" ca="1" si="28"/>
        <v>0</v>
      </c>
      <c r="AS24" s="31">
        <f t="shared" ref="AS24" ca="1" si="29">AS3</f>
        <v>2321452.3201082535</v>
      </c>
    </row>
    <row r="25" spans="1:57" s="29" customFormat="1" x14ac:dyDescent="0.3">
      <c r="A25" s="27" t="s">
        <v>442</v>
      </c>
      <c r="B25" s="29">
        <v>21832.033015648474</v>
      </c>
      <c r="C25" s="29">
        <v>0</v>
      </c>
      <c r="D25" s="29">
        <v>14445.563069786902</v>
      </c>
      <c r="E25" s="29">
        <v>0</v>
      </c>
      <c r="F25" s="29">
        <v>36277.596085435376</v>
      </c>
      <c r="G25"/>
      <c r="H25" s="1"/>
      <c r="I25"/>
      <c r="J25"/>
      <c r="K25"/>
      <c r="L25"/>
      <c r="M25"/>
      <c r="N25"/>
      <c r="O25"/>
      <c r="P25"/>
      <c r="Q25"/>
      <c r="R25"/>
      <c r="S25"/>
      <c r="T25"/>
      <c r="U25"/>
      <c r="V25"/>
      <c r="AN25" s="41" t="str">
        <f t="shared" ref="AN25:AN26" ca="1" si="30">AN4</f>
        <v>XCI</v>
      </c>
      <c r="AO25" s="31">
        <f t="shared" ref="AO25:AR26" ca="1" si="31">AO4</f>
        <v>1601.7785023385584</v>
      </c>
      <c r="AP25" s="31">
        <f t="shared" ca="1" si="31"/>
        <v>0</v>
      </c>
      <c r="AQ25" s="31">
        <f t="shared" ca="1" si="31"/>
        <v>1242071.3414970986</v>
      </c>
      <c r="AR25" s="31">
        <f t="shared" ca="1" si="31"/>
        <v>0</v>
      </c>
      <c r="AS25" s="31">
        <f t="shared" ref="AS25" ca="1" si="32">AS4</f>
        <v>1243673.1199994371</v>
      </c>
    </row>
    <row r="26" spans="1:57" s="29" customFormat="1" x14ac:dyDescent="0.3">
      <c r="A26" s="27" t="s">
        <v>510</v>
      </c>
      <c r="B26" s="29">
        <v>385.58998521307194</v>
      </c>
      <c r="C26" s="29">
        <v>31754.072704641963</v>
      </c>
      <c r="D26" s="29">
        <v>0</v>
      </c>
      <c r="E26" s="29">
        <v>0</v>
      </c>
      <c r="F26" s="29">
        <v>32139.662689855038</v>
      </c>
      <c r="G26"/>
      <c r="H26" s="1"/>
      <c r="I26"/>
      <c r="J26"/>
      <c r="K26"/>
      <c r="L26"/>
      <c r="M26"/>
      <c r="N26"/>
      <c r="O26"/>
      <c r="P26"/>
      <c r="Q26"/>
      <c r="R26"/>
      <c r="S26"/>
      <c r="T26"/>
      <c r="U26"/>
      <c r="V26"/>
      <c r="AN26" s="41" t="str">
        <f t="shared" ca="1" si="30"/>
        <v>XCD</v>
      </c>
      <c r="AO26" s="31">
        <f t="shared" ca="1" si="31"/>
        <v>553090.65169295087</v>
      </c>
      <c r="AP26" s="31">
        <f t="shared" ca="1" si="31"/>
        <v>0</v>
      </c>
      <c r="AQ26" s="31">
        <f t="shared" ca="1" si="31"/>
        <v>600742.01521943614</v>
      </c>
      <c r="AR26" s="31">
        <f t="shared" ca="1" si="31"/>
        <v>0</v>
      </c>
      <c r="AS26" s="31">
        <f t="shared" ref="AS26" ca="1" si="33">AS5</f>
        <v>1153832.6669123874</v>
      </c>
    </row>
    <row r="27" spans="1:57" s="29" customFormat="1" x14ac:dyDescent="0.3">
      <c r="A27" s="27" t="s">
        <v>440</v>
      </c>
      <c r="B27" s="29">
        <v>22094.048659556782</v>
      </c>
      <c r="C27" s="29">
        <v>0</v>
      </c>
      <c r="D27" s="29">
        <v>8723.158917043027</v>
      </c>
      <c r="E27" s="29">
        <v>0</v>
      </c>
      <c r="F27" s="29">
        <v>30817.207576599809</v>
      </c>
      <c r="G27"/>
      <c r="H27" s="1"/>
      <c r="I27"/>
      <c r="J27"/>
      <c r="K27"/>
      <c r="L27"/>
      <c r="M27"/>
      <c r="N27"/>
      <c r="O27"/>
      <c r="P27"/>
      <c r="Q27"/>
      <c r="R27"/>
      <c r="S27"/>
      <c r="T27"/>
      <c r="U27"/>
      <c r="V27"/>
      <c r="AN27" s="41" t="str">
        <f ca="1">AN13</f>
        <v>XWP</v>
      </c>
      <c r="AO27" s="31">
        <f ca="1">AO13</f>
        <v>3604604.6728613265</v>
      </c>
      <c r="AP27" s="31">
        <f t="shared" ref="AP27:AS27" ca="1" si="34">AP13</f>
        <v>1117469.8202981513</v>
      </c>
      <c r="AQ27" s="31">
        <f t="shared" ca="1" si="34"/>
        <v>2439119.5126899201</v>
      </c>
      <c r="AR27" s="31">
        <f t="shared" ca="1" si="34"/>
        <v>0</v>
      </c>
      <c r="AS27" s="31">
        <f t="shared" ca="1" si="34"/>
        <v>7161194.0058493968</v>
      </c>
    </row>
    <row r="28" spans="1:57" s="29" customFormat="1" x14ac:dyDescent="0.3">
      <c r="A28" s="27" t="s">
        <v>473</v>
      </c>
      <c r="B28" s="29">
        <v>10706.018089281602</v>
      </c>
      <c r="C28" s="29">
        <v>0</v>
      </c>
      <c r="D28" s="29">
        <v>13051.039982647331</v>
      </c>
      <c r="E28" s="29">
        <v>0</v>
      </c>
      <c r="F28" s="29">
        <v>23757.058071928936</v>
      </c>
      <c r="G28"/>
      <c r="H28" s="1"/>
      <c r="I28"/>
      <c r="J28"/>
      <c r="K28"/>
      <c r="L28"/>
      <c r="M28"/>
      <c r="N28"/>
      <c r="O28"/>
      <c r="P28"/>
      <c r="Q28"/>
      <c r="R28"/>
      <c r="S28"/>
      <c r="T28"/>
      <c r="U28"/>
      <c r="V28"/>
      <c r="AN28" s="41" t="str">
        <f ca="1">AN14</f>
        <v>XCI</v>
      </c>
      <c r="AO28" s="31">
        <f t="shared" ref="AO28:AS29" ca="1" si="35">AO14</f>
        <v>2491.364384593966</v>
      </c>
      <c r="AP28" s="31">
        <f t="shared" ca="1" si="35"/>
        <v>0</v>
      </c>
      <c r="AQ28" s="31">
        <f t="shared" ca="1" si="35"/>
        <v>2316135.5932331183</v>
      </c>
      <c r="AR28" s="31">
        <f t="shared" ca="1" si="35"/>
        <v>0</v>
      </c>
      <c r="AS28" s="31">
        <f t="shared" ca="1" si="35"/>
        <v>2318626.9576177122</v>
      </c>
    </row>
    <row r="29" spans="1:57" s="29" customFormat="1" x14ac:dyDescent="0.3">
      <c r="A29" s="27" t="s">
        <v>479</v>
      </c>
      <c r="B29" s="29">
        <v>14884.439300928003</v>
      </c>
      <c r="C29" s="29">
        <v>0</v>
      </c>
      <c r="D29" s="29">
        <v>6485.5537906743566</v>
      </c>
      <c r="E29" s="29">
        <v>0</v>
      </c>
      <c r="F29" s="29">
        <v>21369.993091602359</v>
      </c>
      <c r="G29"/>
      <c r="H29" s="1"/>
      <c r="I29"/>
      <c r="J29"/>
      <c r="K29"/>
      <c r="L29"/>
      <c r="M29"/>
      <c r="N29"/>
      <c r="O29"/>
      <c r="P29"/>
      <c r="Q29"/>
      <c r="R29"/>
      <c r="S29"/>
      <c r="T29"/>
      <c r="U29"/>
      <c r="V29"/>
      <c r="AN29" s="41" t="str">
        <f ca="1">AN15</f>
        <v>XCD</v>
      </c>
      <c r="AO29" s="31">
        <f t="shared" ca="1" si="35"/>
        <v>1174575.0457470939</v>
      </c>
      <c r="AP29" s="31">
        <f t="shared" ca="1" si="35"/>
        <v>0</v>
      </c>
      <c r="AQ29" s="31">
        <f t="shared" ca="1" si="35"/>
        <v>1243923.7515241427</v>
      </c>
      <c r="AR29" s="31">
        <f t="shared" ca="1" si="35"/>
        <v>0</v>
      </c>
      <c r="AS29" s="31">
        <f t="shared" ca="1" si="35"/>
        <v>2418498.7972712377</v>
      </c>
    </row>
    <row r="30" spans="1:57" s="29" customFormat="1" x14ac:dyDescent="0.3">
      <c r="A30" s="27" t="s">
        <v>484</v>
      </c>
      <c r="B30" s="29">
        <v>20628.528963647997</v>
      </c>
      <c r="C30" s="29">
        <v>0</v>
      </c>
      <c r="D30" s="29">
        <v>0</v>
      </c>
      <c r="E30" s="29">
        <v>0</v>
      </c>
      <c r="F30" s="29">
        <v>20628.528963647997</v>
      </c>
      <c r="G30"/>
      <c r="H30" s="1"/>
      <c r="I30"/>
      <c r="J30"/>
      <c r="K30"/>
      <c r="L30"/>
      <c r="M30"/>
      <c r="N30"/>
      <c r="O30"/>
      <c r="P30"/>
      <c r="Q30"/>
      <c r="R30"/>
      <c r="S30"/>
      <c r="T30"/>
      <c r="U30"/>
      <c r="V30"/>
      <c r="AO30" s="174">
        <f ca="1">SUM(AO27:AO29)</f>
        <v>4781671.0829930138</v>
      </c>
      <c r="AP30" s="174">
        <f t="shared" ref="AP30:AS30" ca="1" si="36">SUM(AP27:AP29)</f>
        <v>1117469.8202981513</v>
      </c>
      <c r="AQ30" s="174">
        <f t="shared" ca="1" si="36"/>
        <v>5999178.8574471809</v>
      </c>
      <c r="AR30" s="174">
        <f t="shared" ca="1" si="36"/>
        <v>0</v>
      </c>
      <c r="AS30" s="174">
        <f t="shared" ca="1" si="36"/>
        <v>11898319.760738347</v>
      </c>
    </row>
    <row r="31" spans="1:57" s="29" customFormat="1" x14ac:dyDescent="0.3">
      <c r="A31" s="27" t="s">
        <v>497</v>
      </c>
      <c r="B31" s="29">
        <v>5142.7076572982232</v>
      </c>
      <c r="C31" s="29">
        <v>11879.385771870291</v>
      </c>
      <c r="D31" s="29">
        <v>3128.3583519371064</v>
      </c>
      <c r="E31" s="29">
        <v>0</v>
      </c>
      <c r="F31" s="29">
        <v>20150.451781105618</v>
      </c>
      <c r="G31"/>
      <c r="H31" s="1"/>
      <c r="I31"/>
      <c r="J31"/>
      <c r="K31"/>
      <c r="L31"/>
      <c r="M31"/>
      <c r="N31"/>
      <c r="O31"/>
      <c r="P31"/>
      <c r="Q31"/>
      <c r="R31"/>
      <c r="S31"/>
      <c r="T31"/>
      <c r="U31"/>
      <c r="V31"/>
    </row>
    <row r="32" spans="1:57" s="29" customFormat="1" x14ac:dyDescent="0.3">
      <c r="A32" s="27" t="s">
        <v>509</v>
      </c>
      <c r="B32" s="29">
        <v>0</v>
      </c>
      <c r="C32" s="29">
        <v>17057.215</v>
      </c>
      <c r="D32" s="29">
        <v>0</v>
      </c>
      <c r="E32" s="29">
        <v>0</v>
      </c>
      <c r="F32" s="29">
        <v>17057.215</v>
      </c>
      <c r="G32"/>
      <c r="H32" s="1"/>
      <c r="I32"/>
      <c r="J32"/>
      <c r="K32"/>
      <c r="L32"/>
      <c r="M32"/>
      <c r="N32"/>
      <c r="O32"/>
      <c r="P32"/>
      <c r="Q32"/>
      <c r="R32"/>
      <c r="S32"/>
      <c r="T32"/>
      <c r="U32"/>
      <c r="V32"/>
      <c r="AW32"/>
      <c r="AX32"/>
      <c r="AY32"/>
      <c r="AZ32"/>
      <c r="BA32"/>
    </row>
    <row r="33" spans="1:53" s="29" customFormat="1" x14ac:dyDescent="0.3">
      <c r="A33" s="27" t="s">
        <v>512</v>
      </c>
      <c r="B33" s="29">
        <v>9752.3576740870412</v>
      </c>
      <c r="C33" s="29">
        <v>0</v>
      </c>
      <c r="D33" s="29">
        <v>5979.1922447716152</v>
      </c>
      <c r="E33" s="29">
        <v>0</v>
      </c>
      <c r="F33" s="29">
        <v>15731.549918858655</v>
      </c>
      <c r="G33"/>
      <c r="H33" s="1"/>
      <c r="I33"/>
      <c r="J33"/>
      <c r="K33"/>
      <c r="L33"/>
      <c r="M33"/>
      <c r="N33"/>
      <c r="O33"/>
      <c r="P33"/>
      <c r="Q33"/>
      <c r="R33"/>
      <c r="S33"/>
      <c r="T33"/>
      <c r="U33"/>
      <c r="V33"/>
      <c r="AW33"/>
      <c r="AX33"/>
      <c r="AY33"/>
      <c r="AZ33"/>
      <c r="BA33"/>
    </row>
    <row r="34" spans="1:53" s="29" customFormat="1" x14ac:dyDescent="0.3">
      <c r="A34" s="27" t="s">
        <v>515</v>
      </c>
      <c r="B34" s="29">
        <v>6148.4955505088019</v>
      </c>
      <c r="C34" s="29">
        <v>0</v>
      </c>
      <c r="D34" s="29">
        <v>9379.1920000000009</v>
      </c>
      <c r="E34" s="29">
        <v>0</v>
      </c>
      <c r="F34" s="29">
        <v>15527.687550508801</v>
      </c>
      <c r="G34"/>
      <c r="H34" s="1"/>
      <c r="I34"/>
      <c r="J34"/>
      <c r="K34"/>
      <c r="L34"/>
      <c r="M34"/>
      <c r="N34"/>
      <c r="O34"/>
      <c r="P34"/>
      <c r="Q34"/>
      <c r="R34"/>
      <c r="S34"/>
      <c r="T34"/>
      <c r="U34"/>
      <c r="V34"/>
      <c r="AW34"/>
      <c r="AX34"/>
      <c r="AY34"/>
      <c r="AZ34"/>
      <c r="BA34"/>
    </row>
    <row r="35" spans="1:53" s="29" customFormat="1" x14ac:dyDescent="0.3">
      <c r="A35" s="27" t="s">
        <v>513</v>
      </c>
      <c r="B35" s="29">
        <v>7841.4609096316817</v>
      </c>
      <c r="C35" s="29">
        <v>0</v>
      </c>
      <c r="D35" s="29">
        <v>7593.1133139994217</v>
      </c>
      <c r="E35" s="29">
        <v>0</v>
      </c>
      <c r="F35" s="29">
        <v>15434.574223631105</v>
      </c>
      <c r="G35"/>
      <c r="H35" s="1"/>
      <c r="I35"/>
      <c r="J35"/>
      <c r="K35"/>
      <c r="L35"/>
      <c r="M35"/>
      <c r="N35"/>
      <c r="O35"/>
      <c r="P35"/>
      <c r="Q35"/>
      <c r="R35"/>
      <c r="S35"/>
      <c r="T35"/>
      <c r="U35"/>
      <c r="V35"/>
      <c r="AW35"/>
      <c r="AX35"/>
      <c r="AY35"/>
      <c r="AZ35"/>
      <c r="BA35"/>
    </row>
    <row r="36" spans="1:53" s="29" customFormat="1" x14ac:dyDescent="0.3">
      <c r="A36" s="27" t="s">
        <v>467</v>
      </c>
      <c r="B36" s="29">
        <v>8837.9204004271978</v>
      </c>
      <c r="C36" s="29">
        <v>0</v>
      </c>
      <c r="D36" s="29">
        <v>6471.7839487878155</v>
      </c>
      <c r="E36" s="29">
        <v>0</v>
      </c>
      <c r="F36" s="29">
        <v>15309.704349215013</v>
      </c>
      <c r="G36"/>
      <c r="H36" s="1"/>
      <c r="I36"/>
      <c r="J36"/>
      <c r="K36"/>
      <c r="L36"/>
      <c r="M36"/>
      <c r="N36"/>
      <c r="O36"/>
      <c r="P36"/>
      <c r="Q36"/>
      <c r="R36"/>
      <c r="S36"/>
      <c r="T36"/>
      <c r="U36"/>
      <c r="V36"/>
      <c r="AW36"/>
      <c r="AX36"/>
      <c r="AY36"/>
      <c r="AZ36"/>
      <c r="BA36"/>
    </row>
    <row r="37" spans="1:53" s="29" customFormat="1" x14ac:dyDescent="0.3">
      <c r="A37" s="27" t="s">
        <v>461</v>
      </c>
      <c r="B37" s="29">
        <v>9157.2873953376038</v>
      </c>
      <c r="C37" s="29">
        <v>0</v>
      </c>
      <c r="D37" s="29">
        <v>6131.0990258312486</v>
      </c>
      <c r="E37" s="29">
        <v>0</v>
      </c>
      <c r="F37" s="29">
        <v>15288.386421168852</v>
      </c>
      <c r="G37"/>
      <c r="H37" s="1"/>
      <c r="I37"/>
      <c r="J37"/>
      <c r="K37"/>
      <c r="L37"/>
      <c r="M37"/>
      <c r="N37"/>
      <c r="O37"/>
      <c r="P37"/>
      <c r="Q37"/>
      <c r="R37"/>
      <c r="S37"/>
      <c r="T37"/>
      <c r="U37"/>
      <c r="V37"/>
      <c r="AW37"/>
      <c r="AX37"/>
      <c r="AY37"/>
      <c r="AZ37"/>
      <c r="BA37"/>
    </row>
    <row r="38" spans="1:53" s="29" customFormat="1" x14ac:dyDescent="0.3">
      <c r="A38" s="27" t="s">
        <v>446</v>
      </c>
      <c r="B38" s="29">
        <v>11815.803859125605</v>
      </c>
      <c r="C38" s="29">
        <v>0</v>
      </c>
      <c r="D38" s="29">
        <v>3144.4299750014156</v>
      </c>
      <c r="E38" s="29">
        <v>0</v>
      </c>
      <c r="F38" s="29">
        <v>14960.233834127021</v>
      </c>
      <c r="G38"/>
      <c r="H38" s="1"/>
      <c r="I38"/>
      <c r="J38"/>
      <c r="K38"/>
      <c r="L38"/>
      <c r="M38"/>
      <c r="N38"/>
      <c r="O38"/>
      <c r="P38"/>
      <c r="Q38"/>
      <c r="R38"/>
      <c r="S38"/>
      <c r="T38"/>
      <c r="U38"/>
      <c r="V38"/>
      <c r="AW38"/>
      <c r="AX38"/>
      <c r="AY38"/>
      <c r="AZ38"/>
      <c r="BA38"/>
    </row>
    <row r="39" spans="1:53" s="29" customFormat="1" x14ac:dyDescent="0.3">
      <c r="A39" s="27" t="s">
        <v>443</v>
      </c>
      <c r="B39" s="29">
        <v>10620.832035712798</v>
      </c>
      <c r="C39" s="29">
        <v>0</v>
      </c>
      <c r="D39" s="29">
        <v>3875.6481572826974</v>
      </c>
      <c r="E39" s="29">
        <v>0</v>
      </c>
      <c r="F39" s="29">
        <v>14496.480192995496</v>
      </c>
      <c r="G39"/>
      <c r="H39" s="1"/>
      <c r="I39"/>
      <c r="J39"/>
      <c r="K39"/>
      <c r="L39"/>
      <c r="M39"/>
      <c r="N39"/>
      <c r="O39"/>
      <c r="P39"/>
      <c r="Q39"/>
      <c r="R39"/>
      <c r="S39"/>
      <c r="T39"/>
      <c r="U39"/>
      <c r="V39"/>
      <c r="AW39"/>
      <c r="AX39"/>
      <c r="AY39"/>
      <c r="AZ39"/>
      <c r="BA39"/>
    </row>
    <row r="40" spans="1:53" s="29" customFormat="1" x14ac:dyDescent="0.3">
      <c r="A40" s="27" t="s">
        <v>475</v>
      </c>
      <c r="B40" s="29">
        <v>5698.0820846425895</v>
      </c>
      <c r="C40" s="29">
        <v>0</v>
      </c>
      <c r="D40" s="29">
        <v>8193.9957142138283</v>
      </c>
      <c r="E40" s="29">
        <v>0</v>
      </c>
      <c r="F40" s="29">
        <v>13892.077798856419</v>
      </c>
      <c r="G40"/>
      <c r="H40" s="1"/>
      <c r="I40"/>
      <c r="J40"/>
      <c r="K40"/>
      <c r="L40"/>
      <c r="M40"/>
      <c r="N40"/>
      <c r="O40"/>
      <c r="P40"/>
      <c r="Q40"/>
      <c r="R40"/>
      <c r="S40"/>
      <c r="T40"/>
      <c r="U40"/>
      <c r="V40"/>
      <c r="AW40"/>
      <c r="AX40"/>
      <c r="AY40"/>
      <c r="AZ40"/>
      <c r="BA40"/>
    </row>
    <row r="41" spans="1:53" s="29" customFormat="1" x14ac:dyDescent="0.3">
      <c r="A41" s="27" t="s">
        <v>451</v>
      </c>
      <c r="B41" s="29">
        <v>7388.4461901897603</v>
      </c>
      <c r="C41" s="29">
        <v>0</v>
      </c>
      <c r="D41" s="29">
        <v>3261.1647269016776</v>
      </c>
      <c r="E41" s="29">
        <v>0</v>
      </c>
      <c r="F41" s="29">
        <v>10649.610917091439</v>
      </c>
      <c r="G41"/>
      <c r="H41" s="1"/>
      <c r="I41"/>
      <c r="J41"/>
      <c r="K41"/>
      <c r="L41"/>
      <c r="M41"/>
      <c r="N41"/>
      <c r="O41"/>
      <c r="P41"/>
      <c r="Q41"/>
      <c r="R41"/>
      <c r="S41"/>
      <c r="T41"/>
      <c r="U41"/>
      <c r="V41"/>
      <c r="AW41"/>
      <c r="AX41"/>
      <c r="AY41"/>
      <c r="AZ41"/>
      <c r="BA41"/>
    </row>
    <row r="42" spans="1:53" s="29" customFormat="1" x14ac:dyDescent="0.3">
      <c r="A42" s="27" t="s">
        <v>448</v>
      </c>
      <c r="B42" s="29">
        <v>8434.2409971216002</v>
      </c>
      <c r="C42" s="29">
        <v>0</v>
      </c>
      <c r="D42" s="29">
        <v>2180.6048140573134</v>
      </c>
      <c r="E42" s="29">
        <v>0</v>
      </c>
      <c r="F42" s="29">
        <v>10614.845811178913</v>
      </c>
      <c r="G42"/>
      <c r="H42" s="1"/>
      <c r="I42"/>
      <c r="J42"/>
      <c r="K42"/>
      <c r="L42"/>
      <c r="M42"/>
      <c r="N42"/>
      <c r="O42"/>
      <c r="P42"/>
      <c r="Q42"/>
      <c r="R42"/>
      <c r="S42"/>
      <c r="T42"/>
      <c r="U42"/>
      <c r="V42"/>
      <c r="AW42"/>
      <c r="AX42"/>
      <c r="AY42"/>
      <c r="AZ42"/>
      <c r="BA42"/>
    </row>
    <row r="43" spans="1:53" s="29" customFormat="1" x14ac:dyDescent="0.3">
      <c r="A43" s="27" t="s">
        <v>508</v>
      </c>
      <c r="B43" s="29">
        <v>8504.80040448</v>
      </c>
      <c r="C43" s="29">
        <v>0</v>
      </c>
      <c r="D43" s="29">
        <v>0</v>
      </c>
      <c r="E43" s="29">
        <v>0</v>
      </c>
      <c r="F43" s="29">
        <v>8504.80040448</v>
      </c>
      <c r="G43"/>
      <c r="H43" s="1"/>
      <c r="I43"/>
      <c r="J43"/>
      <c r="K43"/>
      <c r="L43"/>
      <c r="M43"/>
      <c r="N43"/>
      <c r="O43"/>
      <c r="P43"/>
      <c r="Q43"/>
      <c r="R43"/>
      <c r="S43"/>
      <c r="T43"/>
      <c r="U43"/>
      <c r="V43"/>
      <c r="AW43"/>
      <c r="AX43"/>
      <c r="AY43"/>
      <c r="AZ43"/>
      <c r="BA43"/>
    </row>
    <row r="44" spans="1:53" s="29" customFormat="1" x14ac:dyDescent="0.3">
      <c r="A44" s="27" t="s">
        <v>453</v>
      </c>
      <c r="B44" s="29">
        <v>4652.2193166468014</v>
      </c>
      <c r="C44" s="29">
        <v>0</v>
      </c>
      <c r="D44" s="29">
        <v>2178.717757671895</v>
      </c>
      <c r="E44" s="29">
        <v>0</v>
      </c>
      <c r="F44" s="29">
        <v>6830.9370743186973</v>
      </c>
      <c r="G44"/>
      <c r="H44" s="1"/>
      <c r="I44"/>
      <c r="J44"/>
      <c r="K44"/>
      <c r="L44"/>
      <c r="M44"/>
      <c r="N44"/>
      <c r="O44"/>
      <c r="P44"/>
      <c r="Q44"/>
      <c r="R44"/>
      <c r="S44"/>
      <c r="T44"/>
      <c r="U44"/>
      <c r="V44"/>
      <c r="AW44"/>
      <c r="AX44"/>
      <c r="AY44"/>
      <c r="AZ44"/>
      <c r="BA44"/>
    </row>
    <row r="45" spans="1:53" s="29" customFormat="1" x14ac:dyDescent="0.3">
      <c r="A45" s="27" t="s">
        <v>481</v>
      </c>
      <c r="B45" s="29">
        <v>4982.3495771455973</v>
      </c>
      <c r="C45" s="29">
        <v>0</v>
      </c>
      <c r="D45" s="29">
        <v>887.45378292443525</v>
      </c>
      <c r="E45" s="29">
        <v>0</v>
      </c>
      <c r="F45" s="29">
        <v>5869.8033600700328</v>
      </c>
      <c r="G45"/>
      <c r="H45" s="1"/>
      <c r="I45"/>
      <c r="J45"/>
      <c r="K45"/>
      <c r="L45"/>
      <c r="M45"/>
      <c r="N45"/>
      <c r="O45"/>
      <c r="P45"/>
      <c r="Q45"/>
      <c r="R45"/>
      <c r="S45"/>
      <c r="T45"/>
      <c r="U45"/>
      <c r="V45"/>
      <c r="AW45"/>
      <c r="AX45"/>
      <c r="AY45"/>
      <c r="AZ45"/>
      <c r="BA45"/>
    </row>
    <row r="46" spans="1:53" s="29" customFormat="1" x14ac:dyDescent="0.3">
      <c r="A46" s="27" t="s">
        <v>460</v>
      </c>
      <c r="B46" s="29">
        <v>5394.6097806473272</v>
      </c>
      <c r="C46" s="29">
        <v>0</v>
      </c>
      <c r="D46" s="29">
        <v>-449.62987780602788</v>
      </c>
      <c r="E46" s="29">
        <v>0</v>
      </c>
      <c r="F46" s="29">
        <v>4944.979902841299</v>
      </c>
      <c r="G46"/>
      <c r="H46" s="1"/>
      <c r="I46"/>
      <c r="J46"/>
      <c r="K46"/>
      <c r="L46"/>
      <c r="M46"/>
      <c r="N46"/>
      <c r="O46"/>
      <c r="P46"/>
      <c r="Q46"/>
      <c r="R46"/>
      <c r="S46"/>
      <c r="T46"/>
      <c r="U46"/>
      <c r="V46"/>
      <c r="AW46"/>
      <c r="AX46"/>
      <c r="AY46"/>
      <c r="AZ46"/>
      <c r="BA46"/>
    </row>
    <row r="47" spans="1:53" s="29" customFormat="1" x14ac:dyDescent="0.3">
      <c r="A47" s="27" t="s">
        <v>514</v>
      </c>
      <c r="B47" s="29">
        <v>382.27195640838801</v>
      </c>
      <c r="C47" s="29">
        <v>3564.5020922842482</v>
      </c>
      <c r="D47" s="29">
        <v>0</v>
      </c>
      <c r="E47" s="29">
        <v>0</v>
      </c>
      <c r="F47" s="29">
        <v>3946.7740486926364</v>
      </c>
      <c r="G47"/>
      <c r="H47" s="1"/>
      <c r="I47"/>
      <c r="J47"/>
      <c r="K47"/>
      <c r="L47"/>
      <c r="M47"/>
      <c r="N47"/>
      <c r="O47"/>
      <c r="P47"/>
      <c r="Q47"/>
      <c r="R47"/>
      <c r="S47"/>
      <c r="T47"/>
      <c r="U47"/>
      <c r="V47"/>
      <c r="AW47"/>
      <c r="AX47"/>
      <c r="AY47"/>
      <c r="AZ47"/>
      <c r="BA47"/>
    </row>
    <row r="48" spans="1:53" s="29" customFormat="1" x14ac:dyDescent="0.3">
      <c r="A48" s="27" t="s">
        <v>506</v>
      </c>
      <c r="B48" s="29">
        <v>3815.6647211519999</v>
      </c>
      <c r="C48" s="29">
        <v>0</v>
      </c>
      <c r="D48" s="29">
        <v>0</v>
      </c>
      <c r="E48" s="29">
        <v>0</v>
      </c>
      <c r="F48" s="29">
        <v>3815.6647211519999</v>
      </c>
      <c r="G48"/>
      <c r="H48" s="1"/>
      <c r="I48"/>
      <c r="J48"/>
      <c r="K48"/>
      <c r="L48"/>
      <c r="M48"/>
      <c r="N48"/>
      <c r="O48"/>
      <c r="P48"/>
      <c r="Q48"/>
      <c r="R48"/>
      <c r="S48"/>
      <c r="T48"/>
      <c r="U48"/>
      <c r="V48"/>
      <c r="AW48"/>
      <c r="AX48"/>
      <c r="AY48"/>
      <c r="AZ48"/>
      <c r="BA48"/>
    </row>
    <row r="49" spans="1:53" s="29" customFormat="1" x14ac:dyDescent="0.3">
      <c r="A49" s="27" t="s">
        <v>502</v>
      </c>
      <c r="B49" s="29">
        <v>2440.8914962666659</v>
      </c>
      <c r="C49" s="29">
        <v>1103.8888371423445</v>
      </c>
      <c r="D49" s="29">
        <v>0</v>
      </c>
      <c r="E49" s="29">
        <v>0</v>
      </c>
      <c r="F49" s="29">
        <v>3544.7803334090104</v>
      </c>
      <c r="G49"/>
      <c r="H49" s="1"/>
      <c r="I49"/>
      <c r="J49"/>
      <c r="K49"/>
      <c r="L49"/>
      <c r="M49"/>
      <c r="N49"/>
      <c r="O49"/>
      <c r="P49"/>
      <c r="Q49"/>
      <c r="R49"/>
      <c r="S49"/>
      <c r="T49"/>
      <c r="U49"/>
      <c r="V49"/>
      <c r="AW49"/>
      <c r="AX49"/>
      <c r="AY49"/>
      <c r="AZ49"/>
      <c r="BA49"/>
    </row>
    <row r="50" spans="1:53" s="29" customFormat="1" x14ac:dyDescent="0.3">
      <c r="A50" s="27" t="s">
        <v>518</v>
      </c>
      <c r="B50" s="29">
        <v>1924.2355168402783</v>
      </c>
      <c r="C50" s="29">
        <v>0</v>
      </c>
      <c r="D50" s="29">
        <v>820.87717477085164</v>
      </c>
      <c r="E50" s="29">
        <v>0</v>
      </c>
      <c r="F50" s="29">
        <v>2745.1126916111298</v>
      </c>
      <c r="G50"/>
      <c r="H50" s="1"/>
      <c r="I50"/>
      <c r="J50"/>
      <c r="K50"/>
      <c r="L50"/>
      <c r="M50"/>
      <c r="N50"/>
      <c r="O50"/>
      <c r="P50"/>
      <c r="Q50"/>
      <c r="R50"/>
      <c r="S50"/>
      <c r="T50"/>
      <c r="U50"/>
      <c r="V50"/>
      <c r="AW50"/>
      <c r="AX50"/>
      <c r="AY50"/>
      <c r="AZ50"/>
      <c r="BA50"/>
    </row>
    <row r="51" spans="1:53" s="29" customFormat="1" x14ac:dyDescent="0.3">
      <c r="A51" s="27" t="s">
        <v>511</v>
      </c>
      <c r="B51" s="29">
        <v>1509.5568151800003</v>
      </c>
      <c r="C51" s="29">
        <v>0</v>
      </c>
      <c r="D51" s="29">
        <v>379.25850662856385</v>
      </c>
      <c r="E51" s="29">
        <v>0</v>
      </c>
      <c r="F51" s="29">
        <v>1888.815321808564</v>
      </c>
      <c r="G51"/>
      <c r="H51" s="1"/>
      <c r="I51"/>
      <c r="J51"/>
      <c r="K51"/>
      <c r="L51"/>
      <c r="M51"/>
      <c r="N51"/>
      <c r="O51"/>
      <c r="P51"/>
      <c r="Q51"/>
      <c r="R51"/>
      <c r="S51"/>
      <c r="T51"/>
      <c r="U51"/>
      <c r="V51"/>
      <c r="AW51"/>
      <c r="AX51"/>
      <c r="AY51"/>
      <c r="AZ51"/>
      <c r="BA51"/>
    </row>
    <row r="52" spans="1:53" s="29" customFormat="1" x14ac:dyDescent="0.3">
      <c r="A52" s="27" t="s">
        <v>490</v>
      </c>
      <c r="B52" s="29">
        <v>60.7239</v>
      </c>
      <c r="C52" s="29">
        <v>1760.9931000000001</v>
      </c>
      <c r="D52" s="29">
        <v>0</v>
      </c>
      <c r="E52" s="29">
        <v>0</v>
      </c>
      <c r="F52" s="29">
        <v>1821.7170000000001</v>
      </c>
      <c r="G52"/>
      <c r="H52" s="1"/>
      <c r="I52"/>
      <c r="J52"/>
      <c r="K52"/>
      <c r="L52"/>
      <c r="M52"/>
      <c r="N52"/>
      <c r="O52"/>
      <c r="P52"/>
      <c r="Q52"/>
      <c r="R52"/>
      <c r="S52"/>
      <c r="T52"/>
      <c r="U52"/>
      <c r="V52"/>
      <c r="AW52"/>
      <c r="AX52"/>
      <c r="AY52"/>
      <c r="AZ52"/>
      <c r="BA52"/>
    </row>
    <row r="53" spans="1:53" s="29" customFormat="1" x14ac:dyDescent="0.3">
      <c r="A53" s="27" t="s">
        <v>519</v>
      </c>
      <c r="B53" s="29">
        <v>913.56713700870625</v>
      </c>
      <c r="C53" s="29">
        <v>0</v>
      </c>
      <c r="D53" s="29">
        <v>906.90150633529208</v>
      </c>
      <c r="E53" s="29">
        <v>0</v>
      </c>
      <c r="F53" s="29">
        <v>1820.4686433439983</v>
      </c>
      <c r="G53"/>
      <c r="H53" s="1"/>
      <c r="I53"/>
      <c r="J53"/>
      <c r="K53"/>
      <c r="L53"/>
      <c r="M53"/>
      <c r="N53"/>
      <c r="O53"/>
      <c r="P53"/>
      <c r="Q53"/>
      <c r="R53"/>
      <c r="S53"/>
      <c r="T53"/>
      <c r="U53"/>
      <c r="V53"/>
      <c r="AW53"/>
      <c r="AX53"/>
      <c r="AY53"/>
      <c r="AZ53"/>
      <c r="BA53"/>
    </row>
    <row r="54" spans="1:53" s="29" customFormat="1" x14ac:dyDescent="0.3">
      <c r="A54" s="27" t="s">
        <v>480</v>
      </c>
      <c r="B54" s="29">
        <v>1720.7564857119989</v>
      </c>
      <c r="C54" s="29">
        <v>0</v>
      </c>
      <c r="D54" s="29">
        <v>-67.449142284514664</v>
      </c>
      <c r="E54" s="29">
        <v>0</v>
      </c>
      <c r="F54" s="29">
        <v>1653.3073434274843</v>
      </c>
      <c r="G54"/>
      <c r="H54" s="1"/>
      <c r="I54"/>
      <c r="J54"/>
      <c r="K54"/>
      <c r="L54"/>
      <c r="M54"/>
      <c r="N54"/>
      <c r="O54"/>
      <c r="P54"/>
      <c r="Q54"/>
      <c r="R54"/>
      <c r="S54"/>
      <c r="T54"/>
      <c r="U54"/>
      <c r="V54"/>
      <c r="AW54"/>
      <c r="AX54"/>
      <c r="AY54"/>
      <c r="AZ54"/>
      <c r="BA54"/>
    </row>
    <row r="55" spans="1:53" x14ac:dyDescent="0.3">
      <c r="A55" s="27" t="s">
        <v>476</v>
      </c>
      <c r="B55" s="29">
        <v>609.29481537600009</v>
      </c>
      <c r="C55" s="29">
        <v>0</v>
      </c>
      <c r="D55" s="29">
        <v>668.69177997125416</v>
      </c>
      <c r="E55" s="29">
        <v>0</v>
      </c>
      <c r="F55" s="29">
        <v>1277.9865953472543</v>
      </c>
      <c r="H55" s="1"/>
    </row>
    <row r="56" spans="1:53" x14ac:dyDescent="0.3">
      <c r="A56" s="27" t="s">
        <v>468</v>
      </c>
      <c r="B56" s="29">
        <v>1108.2843951295999</v>
      </c>
      <c r="C56" s="29">
        <v>0</v>
      </c>
      <c r="D56" s="29">
        <v>-36.568237277841732</v>
      </c>
      <c r="E56" s="29">
        <v>0</v>
      </c>
      <c r="F56" s="29">
        <v>1071.7161578517585</v>
      </c>
      <c r="H56" s="1"/>
    </row>
    <row r="57" spans="1:53" x14ac:dyDescent="0.3">
      <c r="A57" s="27" t="s">
        <v>517</v>
      </c>
      <c r="B57" s="29">
        <v>424.43018579099993</v>
      </c>
      <c r="C57" s="29">
        <v>0</v>
      </c>
      <c r="D57" s="29">
        <v>77.770082786926181</v>
      </c>
      <c r="E57" s="29">
        <v>0</v>
      </c>
      <c r="F57" s="29">
        <v>502.20026857792612</v>
      </c>
      <c r="H57" s="1"/>
    </row>
    <row r="58" spans="1:53" x14ac:dyDescent="0.3">
      <c r="A58" s="27" t="s">
        <v>483</v>
      </c>
      <c r="B58" s="29">
        <v>367.03414890239998</v>
      </c>
      <c r="C58" s="29">
        <v>0</v>
      </c>
      <c r="D58" s="29">
        <v>0</v>
      </c>
      <c r="E58" s="29">
        <v>0</v>
      </c>
      <c r="F58" s="29">
        <v>367.03414890239998</v>
      </c>
      <c r="H58" s="1"/>
    </row>
    <row r="59" spans="1:53" x14ac:dyDescent="0.3">
      <c r="A59" s="27" t="s">
        <v>507</v>
      </c>
      <c r="B59" s="29">
        <v>140.79000729599997</v>
      </c>
      <c r="C59" s="29">
        <v>0</v>
      </c>
      <c r="D59" s="29">
        <v>0</v>
      </c>
      <c r="E59" s="29">
        <v>0</v>
      </c>
      <c r="F59" s="29">
        <v>140.79000729599997</v>
      </c>
      <c r="H59" s="1"/>
    </row>
    <row r="60" spans="1:53" x14ac:dyDescent="0.3">
      <c r="A60" s="27" t="s">
        <v>503</v>
      </c>
      <c r="B60" s="29">
        <v>48.155418399999988</v>
      </c>
      <c r="C60" s="29">
        <v>21.778202308863115</v>
      </c>
      <c r="D60" s="29">
        <v>0</v>
      </c>
      <c r="E60" s="29">
        <v>0</v>
      </c>
      <c r="F60" s="29">
        <v>69.933620708863103</v>
      </c>
      <c r="H60" s="1"/>
    </row>
    <row r="61" spans="1:53" x14ac:dyDescent="0.3">
      <c r="A61" s="27" t="s">
        <v>499</v>
      </c>
      <c r="B61" s="29">
        <v>5.2519999999999998</v>
      </c>
      <c r="C61" s="29">
        <v>0</v>
      </c>
      <c r="D61" s="29">
        <v>0</v>
      </c>
      <c r="E61" s="29">
        <v>0</v>
      </c>
      <c r="F61" s="29">
        <v>5.2519999999999998</v>
      </c>
      <c r="H61" s="1"/>
    </row>
    <row r="62" spans="1:53" x14ac:dyDescent="0.3">
      <c r="A62" s="27" t="s">
        <v>488</v>
      </c>
      <c r="B62" s="29">
        <v>0</v>
      </c>
      <c r="C62" s="29">
        <v>0</v>
      </c>
      <c r="D62" s="29">
        <v>0</v>
      </c>
      <c r="E62" s="29">
        <v>0</v>
      </c>
      <c r="F62" s="29">
        <v>0</v>
      </c>
      <c r="H62" s="1"/>
    </row>
    <row r="63" spans="1:53" x14ac:dyDescent="0.3">
      <c r="A63" s="27" t="s">
        <v>505</v>
      </c>
      <c r="B63" s="29">
        <v>0</v>
      </c>
      <c r="C63" s="29">
        <v>0</v>
      </c>
      <c r="D63" s="29">
        <v>0</v>
      </c>
      <c r="E63" s="29">
        <v>0</v>
      </c>
      <c r="F63" s="29">
        <v>0</v>
      </c>
      <c r="H63" s="1"/>
    </row>
    <row r="64" spans="1:53" x14ac:dyDescent="0.3">
      <c r="A64" s="27" t="s">
        <v>496</v>
      </c>
      <c r="B64" s="29">
        <v>0</v>
      </c>
      <c r="C64" s="29">
        <v>0</v>
      </c>
      <c r="D64" s="29">
        <v>0</v>
      </c>
      <c r="E64" s="29">
        <v>0</v>
      </c>
      <c r="F64" s="29">
        <v>0</v>
      </c>
      <c r="H64" s="1"/>
    </row>
    <row r="65" spans="1:8" x14ac:dyDescent="0.3">
      <c r="A65" s="27" t="s">
        <v>520</v>
      </c>
      <c r="B65" s="29">
        <v>0</v>
      </c>
      <c r="C65" s="29">
        <v>0</v>
      </c>
      <c r="D65" s="29">
        <v>0</v>
      </c>
      <c r="E65" s="29">
        <v>0</v>
      </c>
      <c r="F65" s="29">
        <v>0</v>
      </c>
      <c r="H65" s="1"/>
    </row>
    <row r="66" spans="1:8" x14ac:dyDescent="0.3">
      <c r="A66" s="27" t="s">
        <v>501</v>
      </c>
      <c r="B66" s="29">
        <v>0</v>
      </c>
      <c r="C66" s="29">
        <v>0</v>
      </c>
      <c r="D66" s="29">
        <v>0</v>
      </c>
      <c r="E66" s="29">
        <v>0</v>
      </c>
      <c r="F66" s="29">
        <v>0</v>
      </c>
      <c r="H66" s="1"/>
    </row>
    <row r="67" spans="1:8" x14ac:dyDescent="0.3">
      <c r="A67" s="27" t="s">
        <v>521</v>
      </c>
      <c r="B67" s="29">
        <v>0</v>
      </c>
      <c r="C67" s="29">
        <v>0</v>
      </c>
      <c r="D67" s="29">
        <v>0</v>
      </c>
      <c r="E67" s="29">
        <v>0</v>
      </c>
      <c r="F67" s="29">
        <v>0</v>
      </c>
      <c r="H67" s="1"/>
    </row>
    <row r="68" spans="1:8" x14ac:dyDescent="0.3">
      <c r="A68" s="27" t="s">
        <v>450</v>
      </c>
      <c r="B68" s="29">
        <v>0</v>
      </c>
      <c r="C68" s="29">
        <v>0</v>
      </c>
      <c r="D68" s="29">
        <v>0</v>
      </c>
      <c r="E68" s="29">
        <v>0</v>
      </c>
      <c r="F68" s="29">
        <v>0</v>
      </c>
      <c r="H68" s="1"/>
    </row>
    <row r="69" spans="1:8" x14ac:dyDescent="0.3">
      <c r="A69" s="27" t="s">
        <v>516</v>
      </c>
      <c r="B69" s="29">
        <v>0</v>
      </c>
      <c r="C69" s="29">
        <v>0</v>
      </c>
      <c r="D69" s="29">
        <v>0</v>
      </c>
      <c r="E69" s="29">
        <v>0</v>
      </c>
      <c r="F69" s="29">
        <v>0</v>
      </c>
      <c r="H69" s="1"/>
    </row>
    <row r="70" spans="1:8" x14ac:dyDescent="0.3">
      <c r="A70" s="27" t="s">
        <v>439</v>
      </c>
      <c r="B70" s="29">
        <v>0</v>
      </c>
      <c r="C70" s="29">
        <v>0</v>
      </c>
      <c r="D70" s="29">
        <v>0</v>
      </c>
      <c r="E70" s="29">
        <v>0</v>
      </c>
      <c r="F70" s="29">
        <v>0</v>
      </c>
      <c r="H70" s="1"/>
    </row>
    <row r="71" spans="1:8" x14ac:dyDescent="0.3">
      <c r="A71" s="27" t="s">
        <v>449</v>
      </c>
      <c r="B71" s="29">
        <v>0</v>
      </c>
      <c r="C71" s="29">
        <v>0</v>
      </c>
      <c r="D71" s="29">
        <v>0</v>
      </c>
      <c r="E71" s="29">
        <v>0</v>
      </c>
      <c r="F71" s="29">
        <v>0</v>
      </c>
      <c r="H71" s="1"/>
    </row>
    <row r="72" spans="1:8" x14ac:dyDescent="0.3">
      <c r="A72" s="27" t="s">
        <v>471</v>
      </c>
      <c r="B72" s="29">
        <v>0</v>
      </c>
      <c r="C72" s="29">
        <v>0</v>
      </c>
      <c r="D72" s="29">
        <v>0</v>
      </c>
      <c r="E72" s="29">
        <v>0</v>
      </c>
      <c r="F72" s="29">
        <v>0</v>
      </c>
      <c r="H72" s="1"/>
    </row>
    <row r="73" spans="1:8" x14ac:dyDescent="0.3">
      <c r="A73" s="27" t="s">
        <v>452</v>
      </c>
      <c r="B73" s="29">
        <v>0</v>
      </c>
      <c r="C73" s="29">
        <v>0</v>
      </c>
      <c r="D73" s="29">
        <v>0</v>
      </c>
      <c r="E73" s="29">
        <v>0</v>
      </c>
      <c r="F73" s="29">
        <v>0</v>
      </c>
      <c r="H73" s="1"/>
    </row>
    <row r="74" spans="1:8" x14ac:dyDescent="0.3">
      <c r="A74" s="27" t="s">
        <v>504</v>
      </c>
      <c r="B74" s="29">
        <v>0</v>
      </c>
      <c r="C74" s="29">
        <v>0</v>
      </c>
      <c r="D74" s="29">
        <v>0</v>
      </c>
      <c r="E74" s="29">
        <v>0</v>
      </c>
      <c r="F74" s="29">
        <v>0</v>
      </c>
      <c r="H74" s="1"/>
    </row>
    <row r="75" spans="1:8" x14ac:dyDescent="0.3">
      <c r="A75" s="27" t="s">
        <v>142</v>
      </c>
      <c r="B75" s="29">
        <v>0</v>
      </c>
      <c r="C75" s="29">
        <v>0</v>
      </c>
      <c r="D75" s="29">
        <v>0</v>
      </c>
      <c r="E75" s="29">
        <v>0</v>
      </c>
      <c r="F75" s="29">
        <v>0</v>
      </c>
      <c r="H75" s="1"/>
    </row>
    <row r="76" spans="1:8" x14ac:dyDescent="0.3">
      <c r="A76" s="27" t="s">
        <v>482</v>
      </c>
      <c r="B76" s="29">
        <v>0</v>
      </c>
      <c r="C76" s="29">
        <v>0</v>
      </c>
      <c r="D76" s="29">
        <v>0</v>
      </c>
      <c r="E76" s="29">
        <v>0</v>
      </c>
      <c r="F76" s="29">
        <v>0</v>
      </c>
      <c r="H76" s="1"/>
    </row>
    <row r="77" spans="1:8" x14ac:dyDescent="0.3">
      <c r="H77" s="1"/>
    </row>
    <row r="78" spans="1:8" x14ac:dyDescent="0.3">
      <c r="H78" s="1"/>
    </row>
    <row r="79" spans="1:8" x14ac:dyDescent="0.3">
      <c r="H79" s="1"/>
    </row>
    <row r="80" spans="1:8" x14ac:dyDescent="0.3">
      <c r="H80" s="1"/>
    </row>
    <row r="81" spans="8:8" x14ac:dyDescent="0.3">
      <c r="H81" s="1"/>
    </row>
    <row r="82" spans="8:8" x14ac:dyDescent="0.3">
      <c r="H82" s="1"/>
    </row>
    <row r="83" spans="8:8" x14ac:dyDescent="0.3">
      <c r="H83" s="1"/>
    </row>
    <row r="84" spans="8:8" x14ac:dyDescent="0.3">
      <c r="H84" s="1"/>
    </row>
    <row r="85" spans="8:8" x14ac:dyDescent="0.3">
      <c r="H85" s="1"/>
    </row>
    <row r="86" spans="8:8" x14ac:dyDescent="0.3">
      <c r="H86" s="1"/>
    </row>
    <row r="87" spans="8:8" x14ac:dyDescent="0.3">
      <c r="H87" s="1"/>
    </row>
    <row r="88" spans="8:8" x14ac:dyDescent="0.3">
      <c r="H88" s="1"/>
    </row>
    <row r="89" spans="8:8" x14ac:dyDescent="0.3">
      <c r="H89" s="1"/>
    </row>
    <row r="90" spans="8:8" x14ac:dyDescent="0.3">
      <c r="H90" s="1"/>
    </row>
    <row r="91" spans="8:8" x14ac:dyDescent="0.3">
      <c r="H91" s="1"/>
    </row>
    <row r="92" spans="8:8" x14ac:dyDescent="0.3">
      <c r="H92" s="1"/>
    </row>
    <row r="93" spans="8:8" x14ac:dyDescent="0.3">
      <c r="H93" s="1"/>
    </row>
    <row r="94" spans="8:8" x14ac:dyDescent="0.3">
      <c r="H94" s="1"/>
    </row>
    <row r="95" spans="8:8" x14ac:dyDescent="0.3">
      <c r="H95" s="1"/>
    </row>
    <row r="96" spans="8:8" x14ac:dyDescent="0.3">
      <c r="H96" s="1"/>
    </row>
    <row r="97" spans="8:8" x14ac:dyDescent="0.3">
      <c r="H97" s="1"/>
    </row>
    <row r="98" spans="8:8" x14ac:dyDescent="0.3">
      <c r="H98" s="1"/>
    </row>
    <row r="99" spans="8:8" x14ac:dyDescent="0.3">
      <c r="H99" s="1"/>
    </row>
    <row r="100" spans="8:8" x14ac:dyDescent="0.3">
      <c r="H100" s="1"/>
    </row>
    <row r="101" spans="8:8" x14ac:dyDescent="0.3">
      <c r="H101" s="1"/>
    </row>
    <row r="102" spans="8:8" x14ac:dyDescent="0.3">
      <c r="H102" s="1"/>
    </row>
    <row r="103" spans="8:8" x14ac:dyDescent="0.3">
      <c r="H103" s="1"/>
    </row>
    <row r="104" spans="8:8" x14ac:dyDescent="0.3">
      <c r="H104" s="1"/>
    </row>
    <row r="105" spans="8:8" x14ac:dyDescent="0.3">
      <c r="H105" s="1"/>
    </row>
    <row r="106" spans="8:8" x14ac:dyDescent="0.3">
      <c r="H106" s="1"/>
    </row>
    <row r="107" spans="8:8" x14ac:dyDescent="0.3">
      <c r="H107" s="1"/>
    </row>
    <row r="108" spans="8:8" x14ac:dyDescent="0.3">
      <c r="H108" s="1"/>
    </row>
    <row r="109" spans="8:8" x14ac:dyDescent="0.3">
      <c r="H109" s="1"/>
    </row>
    <row r="110" spans="8:8" x14ac:dyDescent="0.3">
      <c r="H110" s="1"/>
    </row>
    <row r="111" spans="8:8" x14ac:dyDescent="0.3">
      <c r="H111" s="1"/>
    </row>
    <row r="112" spans="8:8" x14ac:dyDescent="0.3">
      <c r="H112" s="1"/>
    </row>
    <row r="113" spans="8:8" x14ac:dyDescent="0.3">
      <c r="H113" s="1"/>
    </row>
    <row r="114" spans="8:8" x14ac:dyDescent="0.3">
      <c r="H114" s="1"/>
    </row>
    <row r="115" spans="8:8" x14ac:dyDescent="0.3">
      <c r="H115" s="1"/>
    </row>
    <row r="116" spans="8:8" x14ac:dyDescent="0.3">
      <c r="H116" s="1"/>
    </row>
    <row r="117" spans="8:8" x14ac:dyDescent="0.3">
      <c r="H117" s="1"/>
    </row>
    <row r="118" spans="8:8" x14ac:dyDescent="0.3">
      <c r="H118" s="1"/>
    </row>
    <row r="119" spans="8:8" x14ac:dyDescent="0.3">
      <c r="H119" s="1"/>
    </row>
    <row r="120" spans="8:8" x14ac:dyDescent="0.3">
      <c r="H120" s="1"/>
    </row>
    <row r="121" spans="8:8" x14ac:dyDescent="0.3">
      <c r="H121" s="1"/>
    </row>
    <row r="122" spans="8:8" x14ac:dyDescent="0.3">
      <c r="H122" s="1"/>
    </row>
    <row r="123" spans="8:8" x14ac:dyDescent="0.3">
      <c r="H123" s="1"/>
    </row>
    <row r="124" spans="8:8" x14ac:dyDescent="0.3">
      <c r="H124" s="1"/>
    </row>
    <row r="125" spans="8:8" x14ac:dyDescent="0.3">
      <c r="H125" s="1"/>
    </row>
    <row r="126" spans="8:8" x14ac:dyDescent="0.3">
      <c r="H126" s="1"/>
    </row>
    <row r="127" spans="8:8" x14ac:dyDescent="0.3">
      <c r="H127" s="1"/>
    </row>
    <row r="128" spans="8:8" x14ac:dyDescent="0.3">
      <c r="H128" s="1"/>
    </row>
    <row r="129" spans="8:8" x14ac:dyDescent="0.3">
      <c r="H129" s="1"/>
    </row>
    <row r="130" spans="8:8" x14ac:dyDescent="0.3">
      <c r="H130" s="1"/>
    </row>
    <row r="131" spans="8:8" x14ac:dyDescent="0.3">
      <c r="H131" s="1"/>
    </row>
    <row r="132" spans="8:8" x14ac:dyDescent="0.3">
      <c r="H132" s="1"/>
    </row>
    <row r="133" spans="8:8" x14ac:dyDescent="0.3">
      <c r="H133" s="1"/>
    </row>
    <row r="134" spans="8:8" x14ac:dyDescent="0.3">
      <c r="H134" s="1"/>
    </row>
    <row r="135" spans="8:8" x14ac:dyDescent="0.3">
      <c r="H135" s="1"/>
    </row>
    <row r="136" spans="8:8" x14ac:dyDescent="0.3">
      <c r="H136" s="1"/>
    </row>
    <row r="137" spans="8:8" x14ac:dyDescent="0.3">
      <c r="H137" s="1"/>
    </row>
    <row r="138" spans="8:8" x14ac:dyDescent="0.3">
      <c r="H138" s="1"/>
    </row>
    <row r="139" spans="8:8" x14ac:dyDescent="0.3">
      <c r="H139" s="1"/>
    </row>
    <row r="140" spans="8:8" x14ac:dyDescent="0.3">
      <c r="H140" s="1"/>
    </row>
    <row r="141" spans="8:8" x14ac:dyDescent="0.3">
      <c r="H141" s="1"/>
    </row>
    <row r="142" spans="8:8" x14ac:dyDescent="0.3">
      <c r="H142" s="1"/>
    </row>
    <row r="143" spans="8:8" x14ac:dyDescent="0.3">
      <c r="H143" s="1"/>
    </row>
    <row r="144" spans="8:8" x14ac:dyDescent="0.3">
      <c r="H144" s="1"/>
    </row>
    <row r="145" spans="8:8" x14ac:dyDescent="0.3">
      <c r="H145" s="1"/>
    </row>
    <row r="146" spans="8:8" x14ac:dyDescent="0.3">
      <c r="H146" s="1"/>
    </row>
    <row r="147" spans="8:8" x14ac:dyDescent="0.3">
      <c r="H147" s="1"/>
    </row>
    <row r="148" spans="8:8" x14ac:dyDescent="0.3">
      <c r="H148" s="1"/>
    </row>
    <row r="149" spans="8:8" x14ac:dyDescent="0.3">
      <c r="H149" s="1"/>
    </row>
    <row r="150" spans="8:8" x14ac:dyDescent="0.3">
      <c r="H150" s="1"/>
    </row>
    <row r="151" spans="8:8" x14ac:dyDescent="0.3">
      <c r="H151" s="1"/>
    </row>
    <row r="152" spans="8:8" x14ac:dyDescent="0.3">
      <c r="H152" s="1"/>
    </row>
    <row r="153" spans="8:8" x14ac:dyDescent="0.3">
      <c r="H153" s="1"/>
    </row>
    <row r="154" spans="8:8" x14ac:dyDescent="0.3">
      <c r="H154" s="1"/>
    </row>
    <row r="155" spans="8:8" x14ac:dyDescent="0.3">
      <c r="H155" s="1"/>
    </row>
    <row r="156" spans="8:8" x14ac:dyDescent="0.3">
      <c r="H156" s="1"/>
    </row>
    <row r="157" spans="8:8" x14ac:dyDescent="0.3">
      <c r="H157" s="1"/>
    </row>
    <row r="158" spans="8:8" x14ac:dyDescent="0.3">
      <c r="H158" s="1"/>
    </row>
    <row r="159" spans="8:8" x14ac:dyDescent="0.3">
      <c r="H159" s="1"/>
    </row>
  </sheetData>
  <mergeCells count="7">
    <mergeCell ref="AX12:BA12"/>
    <mergeCell ref="BB12:BE12"/>
    <mergeCell ref="X1:AC1"/>
    <mergeCell ref="X11:AC11"/>
    <mergeCell ref="AN1:AS1"/>
    <mergeCell ref="AN11:AS11"/>
    <mergeCell ref="AN22:AS22"/>
  </mergeCells>
  <pageMargins left="0.7" right="0.7" top="0.75" bottom="0.75" header="0.3" footer="0.3"/>
  <pageSetup orientation="portrait" horizontalDpi="0" verticalDpi="0" r:id="rId7"/>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97"/>
  <sheetViews>
    <sheetView workbookViewId="0">
      <selection activeCell="N26" sqref="N26"/>
    </sheetView>
  </sheetViews>
  <sheetFormatPr defaultRowHeight="14.4" x14ac:dyDescent="0.3"/>
  <cols>
    <col min="1" max="1" width="19.77734375" style="71" customWidth="1"/>
    <col min="2" max="2" width="13" style="135" customWidth="1"/>
    <col min="3" max="13" width="8.88671875" style="132"/>
    <col min="14" max="14" width="8.88671875" customWidth="1"/>
  </cols>
  <sheetData>
    <row r="1" spans="1:13" s="136" customFormat="1" x14ac:dyDescent="0.3">
      <c r="A1" s="109" t="s">
        <v>9</v>
      </c>
      <c r="B1" s="134" t="s">
        <v>149</v>
      </c>
      <c r="C1" s="133" t="s">
        <v>150</v>
      </c>
      <c r="D1" s="133" t="s">
        <v>151</v>
      </c>
      <c r="E1" s="133" t="s">
        <v>152</v>
      </c>
      <c r="F1" s="133" t="s">
        <v>153</v>
      </c>
      <c r="G1" s="133" t="s">
        <v>154</v>
      </c>
      <c r="H1" s="133" t="s">
        <v>155</v>
      </c>
      <c r="I1" s="133" t="s">
        <v>156</v>
      </c>
      <c r="J1" s="133" t="s">
        <v>157</v>
      </c>
      <c r="K1" s="133" t="s">
        <v>158</v>
      </c>
      <c r="L1" s="133" t="s">
        <v>159</v>
      </c>
      <c r="M1" s="133" t="s">
        <v>160</v>
      </c>
    </row>
    <row r="2" spans="1:13" x14ac:dyDescent="0.3">
      <c r="A2" s="71" t="s">
        <v>239</v>
      </c>
      <c r="B2" s="135">
        <v>47746</v>
      </c>
      <c r="C2" s="132">
        <v>48982</v>
      </c>
      <c r="D2" s="132">
        <v>20528</v>
      </c>
      <c r="E2" s="132">
        <v>30879</v>
      </c>
      <c r="F2" s="132">
        <v>18493</v>
      </c>
      <c r="G2" s="132">
        <v>50133</v>
      </c>
      <c r="H2" s="132">
        <v>34588</v>
      </c>
      <c r="I2" s="132">
        <v>26698</v>
      </c>
      <c r="J2" s="132">
        <v>28004</v>
      </c>
      <c r="K2" s="132">
        <v>31701</v>
      </c>
      <c r="L2" s="132">
        <v>38087</v>
      </c>
      <c r="M2" s="132">
        <v>10854</v>
      </c>
    </row>
    <row r="3" spans="1:13" x14ac:dyDescent="0.3">
      <c r="A3" s="71" t="s">
        <v>240</v>
      </c>
      <c r="B3" s="135">
        <v>193555</v>
      </c>
      <c r="C3" s="132">
        <v>223034</v>
      </c>
      <c r="D3" s="132">
        <v>203369</v>
      </c>
      <c r="E3" s="132">
        <v>186567</v>
      </c>
      <c r="F3" s="132">
        <v>198173</v>
      </c>
      <c r="G3" s="132">
        <v>263368</v>
      </c>
      <c r="H3" s="132">
        <v>235171</v>
      </c>
      <c r="I3" s="132">
        <v>185560</v>
      </c>
      <c r="J3" s="132">
        <v>235674</v>
      </c>
      <c r="K3" s="132">
        <v>200362</v>
      </c>
      <c r="L3" s="132">
        <v>202313</v>
      </c>
      <c r="M3" s="132">
        <v>202350</v>
      </c>
    </row>
    <row r="4" spans="1:13" x14ac:dyDescent="0.3">
      <c r="A4" s="71" t="s">
        <v>241</v>
      </c>
      <c r="B4" s="135">
        <v>193555</v>
      </c>
      <c r="C4" s="132">
        <v>223034</v>
      </c>
      <c r="D4" s="132">
        <v>203369</v>
      </c>
      <c r="E4" s="132">
        <v>186567</v>
      </c>
      <c r="F4" s="132">
        <v>198173</v>
      </c>
      <c r="G4" s="132">
        <v>263368</v>
      </c>
      <c r="H4" s="132">
        <v>235171</v>
      </c>
      <c r="I4" s="132">
        <v>185560</v>
      </c>
      <c r="J4" s="132">
        <v>235674</v>
      </c>
      <c r="K4" s="132">
        <v>200362</v>
      </c>
      <c r="L4" s="132">
        <v>202313</v>
      </c>
      <c r="M4" s="132">
        <v>202350</v>
      </c>
    </row>
    <row r="5" spans="1:13" x14ac:dyDescent="0.3">
      <c r="A5" s="71" t="s">
        <v>242</v>
      </c>
      <c r="B5" s="135">
        <v>1434320</v>
      </c>
      <c r="C5" s="132">
        <v>1078022</v>
      </c>
      <c r="D5" s="132">
        <v>1099126</v>
      </c>
      <c r="E5" s="132">
        <v>997596</v>
      </c>
      <c r="F5" s="132">
        <v>1113643</v>
      </c>
      <c r="G5" s="132">
        <v>1116876</v>
      </c>
      <c r="H5" s="132">
        <v>1007838</v>
      </c>
      <c r="I5" s="132">
        <v>687710</v>
      </c>
      <c r="J5" s="132">
        <v>954350</v>
      </c>
      <c r="K5" s="132">
        <v>764215</v>
      </c>
      <c r="L5" s="132">
        <v>700065</v>
      </c>
      <c r="M5" s="132">
        <v>590192</v>
      </c>
    </row>
    <row r="6" spans="1:13" x14ac:dyDescent="0.3">
      <c r="A6" s="71" t="s">
        <v>243</v>
      </c>
      <c r="B6" s="135">
        <v>1434320</v>
      </c>
      <c r="C6" s="132">
        <v>1078022</v>
      </c>
      <c r="D6" s="132">
        <v>1099126</v>
      </c>
      <c r="E6" s="132">
        <v>997596</v>
      </c>
      <c r="F6" s="132">
        <v>1113643</v>
      </c>
      <c r="G6" s="132">
        <v>1116876</v>
      </c>
      <c r="H6" s="132">
        <v>1007838</v>
      </c>
      <c r="I6" s="132">
        <v>687710</v>
      </c>
      <c r="J6" s="132">
        <v>954350</v>
      </c>
      <c r="K6" s="132">
        <v>764215</v>
      </c>
      <c r="L6" s="132">
        <v>700065</v>
      </c>
      <c r="M6" s="132">
        <v>590192</v>
      </c>
    </row>
    <row r="7" spans="1:13" x14ac:dyDescent="0.3">
      <c r="A7" s="71" t="s">
        <v>244</v>
      </c>
      <c r="B7" s="135">
        <v>128754</v>
      </c>
      <c r="C7" s="132">
        <v>121787</v>
      </c>
      <c r="D7" s="132">
        <v>148422</v>
      </c>
      <c r="E7" s="132">
        <v>92782</v>
      </c>
      <c r="F7" s="132">
        <v>123265</v>
      </c>
      <c r="G7" s="132">
        <v>115832</v>
      </c>
      <c r="H7" s="132">
        <v>134937</v>
      </c>
      <c r="I7" s="132">
        <v>83305</v>
      </c>
      <c r="J7" s="132">
        <v>103716</v>
      </c>
      <c r="K7" s="132">
        <v>62190</v>
      </c>
      <c r="L7" s="132">
        <v>58078</v>
      </c>
      <c r="M7" s="132">
        <v>62044</v>
      </c>
    </row>
    <row r="8" spans="1:13" x14ac:dyDescent="0.3">
      <c r="A8" s="71" t="s">
        <v>245</v>
      </c>
      <c r="B8" s="135">
        <v>128754</v>
      </c>
      <c r="C8" s="132">
        <v>121787</v>
      </c>
      <c r="D8" s="132">
        <v>148422</v>
      </c>
      <c r="E8" s="132">
        <v>92782</v>
      </c>
      <c r="F8" s="132">
        <v>123265</v>
      </c>
      <c r="G8" s="132">
        <v>115832</v>
      </c>
      <c r="H8" s="132">
        <v>134937</v>
      </c>
      <c r="I8" s="132">
        <v>83305</v>
      </c>
      <c r="J8" s="132">
        <v>103716</v>
      </c>
      <c r="K8" s="132">
        <v>62190</v>
      </c>
      <c r="L8" s="132">
        <v>58078</v>
      </c>
      <c r="M8" s="132">
        <v>62044</v>
      </c>
    </row>
    <row r="9" spans="1:13" x14ac:dyDescent="0.3">
      <c r="A9" s="71" t="s">
        <v>246</v>
      </c>
      <c r="B9" s="135">
        <v>189000</v>
      </c>
      <c r="C9" s="132">
        <v>241500</v>
      </c>
      <c r="D9" s="132">
        <v>262500</v>
      </c>
      <c r="E9" s="132">
        <v>220500</v>
      </c>
      <c r="F9" s="132">
        <v>252000</v>
      </c>
      <c r="G9" s="132">
        <v>252000</v>
      </c>
      <c r="H9" s="132">
        <v>57000</v>
      </c>
      <c r="I9" s="132">
        <v>45000</v>
      </c>
      <c r="J9" s="132">
        <v>51000</v>
      </c>
      <c r="K9" s="132">
        <v>51000</v>
      </c>
      <c r="L9" s="132">
        <v>45000</v>
      </c>
      <c r="M9" s="132">
        <v>25200</v>
      </c>
    </row>
    <row r="10" spans="1:13" x14ac:dyDescent="0.3">
      <c r="A10" s="71" t="s">
        <v>247</v>
      </c>
      <c r="B10" s="135">
        <v>193497</v>
      </c>
      <c r="C10" s="132">
        <v>216289</v>
      </c>
      <c r="D10" s="132">
        <v>231675</v>
      </c>
      <c r="E10" s="132">
        <v>197803</v>
      </c>
      <c r="F10" s="132">
        <v>248219</v>
      </c>
      <c r="G10" s="132">
        <v>244947</v>
      </c>
      <c r="H10" s="132">
        <v>239480</v>
      </c>
      <c r="I10" s="132">
        <v>186591</v>
      </c>
      <c r="J10" s="132">
        <v>181099</v>
      </c>
      <c r="K10" s="132">
        <v>155178</v>
      </c>
      <c r="L10" s="132">
        <v>171852</v>
      </c>
      <c r="M10" s="132">
        <v>132769</v>
      </c>
    </row>
    <row r="11" spans="1:13" x14ac:dyDescent="0.3">
      <c r="A11" s="71" t="s">
        <v>248</v>
      </c>
      <c r="B11" s="135">
        <v>275638</v>
      </c>
      <c r="C11" s="132">
        <v>388856</v>
      </c>
      <c r="D11" s="132">
        <v>384875</v>
      </c>
      <c r="E11" s="132">
        <v>345666</v>
      </c>
      <c r="F11" s="132">
        <v>405189</v>
      </c>
      <c r="G11" s="132">
        <v>382989</v>
      </c>
      <c r="H11" s="132">
        <v>413576</v>
      </c>
      <c r="I11" s="132">
        <v>320506</v>
      </c>
      <c r="J11" s="132">
        <v>334853</v>
      </c>
      <c r="K11" s="132">
        <v>386300</v>
      </c>
      <c r="L11" s="132">
        <v>314404</v>
      </c>
      <c r="M11" s="132">
        <v>261000</v>
      </c>
    </row>
    <row r="12" spans="1:13" x14ac:dyDescent="0.3">
      <c r="A12" s="71" t="s">
        <v>249</v>
      </c>
      <c r="B12" s="135">
        <v>494532</v>
      </c>
      <c r="C12" s="132">
        <v>592721</v>
      </c>
      <c r="D12" s="132">
        <v>611013</v>
      </c>
      <c r="E12" s="132">
        <v>527557</v>
      </c>
      <c r="F12" s="132">
        <v>624427</v>
      </c>
      <c r="G12" s="132">
        <v>587928</v>
      </c>
      <c r="H12" s="132">
        <v>685587</v>
      </c>
      <c r="I12" s="132">
        <v>546677</v>
      </c>
      <c r="J12" s="132">
        <v>559318</v>
      </c>
      <c r="K12" s="132">
        <v>505159</v>
      </c>
      <c r="L12" s="132">
        <v>481920</v>
      </c>
      <c r="M12" s="132">
        <v>419140</v>
      </c>
    </row>
    <row r="13" spans="1:13" x14ac:dyDescent="0.3">
      <c r="A13" s="71" t="s">
        <v>250</v>
      </c>
      <c r="B13" s="135">
        <v>494532</v>
      </c>
      <c r="C13" s="132">
        <v>592721</v>
      </c>
      <c r="D13" s="132">
        <v>611013</v>
      </c>
      <c r="E13" s="132">
        <v>527557</v>
      </c>
      <c r="F13" s="132">
        <v>624427</v>
      </c>
      <c r="G13" s="132">
        <v>587928</v>
      </c>
      <c r="H13" s="132">
        <v>685587</v>
      </c>
      <c r="I13" s="132">
        <v>546677</v>
      </c>
      <c r="J13" s="132">
        <v>559318</v>
      </c>
      <c r="K13" s="132">
        <v>505159</v>
      </c>
      <c r="L13" s="132">
        <v>481920</v>
      </c>
      <c r="M13" s="132">
        <v>419140</v>
      </c>
    </row>
    <row r="14" spans="1:13" x14ac:dyDescent="0.3">
      <c r="A14" s="71" t="s">
        <v>251</v>
      </c>
      <c r="B14" s="135">
        <v>185134</v>
      </c>
      <c r="C14" s="132">
        <v>230396</v>
      </c>
      <c r="D14" s="132">
        <v>268501</v>
      </c>
      <c r="E14" s="132">
        <v>222965</v>
      </c>
      <c r="F14" s="132">
        <v>269413</v>
      </c>
      <c r="G14" s="132">
        <v>263175</v>
      </c>
      <c r="H14" s="132">
        <v>263859</v>
      </c>
      <c r="I14" s="132">
        <v>193052</v>
      </c>
      <c r="J14" s="132">
        <v>179257</v>
      </c>
      <c r="K14" s="132">
        <v>198248</v>
      </c>
      <c r="L14" s="132">
        <v>170922</v>
      </c>
      <c r="M14" s="132">
        <v>171478</v>
      </c>
    </row>
    <row r="15" spans="1:13" x14ac:dyDescent="0.3">
      <c r="A15" s="71" t="s">
        <v>252</v>
      </c>
      <c r="B15" s="135">
        <v>185134</v>
      </c>
      <c r="C15" s="132">
        <v>230396</v>
      </c>
      <c r="D15" s="132">
        <v>268501</v>
      </c>
      <c r="E15" s="132">
        <v>222965</v>
      </c>
      <c r="F15" s="132">
        <v>269413</v>
      </c>
      <c r="G15" s="132">
        <v>263175</v>
      </c>
      <c r="H15" s="132">
        <v>263859</v>
      </c>
      <c r="I15" s="132">
        <v>193052</v>
      </c>
      <c r="J15" s="132">
        <v>179257</v>
      </c>
      <c r="K15" s="132">
        <v>198248</v>
      </c>
      <c r="L15" s="132">
        <v>170922</v>
      </c>
      <c r="M15" s="132">
        <v>171478</v>
      </c>
    </row>
    <row r="16" spans="1:13" x14ac:dyDescent="0.3">
      <c r="A16" s="71" t="s">
        <v>253</v>
      </c>
      <c r="B16" s="135">
        <v>241500</v>
      </c>
      <c r="C16" s="132">
        <v>241500</v>
      </c>
      <c r="D16" s="132">
        <v>241500</v>
      </c>
      <c r="E16" s="132">
        <v>231000</v>
      </c>
      <c r="F16" s="132">
        <v>252000</v>
      </c>
      <c r="G16" s="132">
        <v>252000</v>
      </c>
      <c r="H16" s="132">
        <v>178500</v>
      </c>
      <c r="I16" s="132">
        <v>117000</v>
      </c>
      <c r="J16" s="132">
        <v>135000</v>
      </c>
      <c r="K16" s="132">
        <v>126000</v>
      </c>
      <c r="L16" s="132">
        <v>117000</v>
      </c>
      <c r="M16" s="132">
        <v>123015</v>
      </c>
    </row>
    <row r="17" spans="1:13" x14ac:dyDescent="0.3">
      <c r="A17" s="71" t="s">
        <v>254</v>
      </c>
      <c r="B17" s="135">
        <v>185678</v>
      </c>
      <c r="C17" s="132">
        <v>236471</v>
      </c>
      <c r="D17" s="132">
        <v>232314</v>
      </c>
      <c r="E17" s="132">
        <v>201153</v>
      </c>
      <c r="F17" s="132">
        <v>212833</v>
      </c>
      <c r="G17" s="132">
        <v>186755</v>
      </c>
      <c r="H17" s="132">
        <v>172743</v>
      </c>
      <c r="I17" s="132">
        <v>138246</v>
      </c>
      <c r="J17" s="132">
        <v>145010</v>
      </c>
      <c r="K17" s="132">
        <v>208321</v>
      </c>
      <c r="L17" s="132">
        <v>169550</v>
      </c>
      <c r="M17" s="132">
        <v>141303</v>
      </c>
    </row>
    <row r="18" spans="1:13" x14ac:dyDescent="0.3">
      <c r="A18" s="71" t="s">
        <v>255</v>
      </c>
      <c r="B18" s="135">
        <v>205988</v>
      </c>
      <c r="C18" s="132">
        <v>236471</v>
      </c>
      <c r="D18" s="132">
        <v>232314</v>
      </c>
      <c r="E18" s="132">
        <v>201153</v>
      </c>
      <c r="F18" s="132">
        <v>212833</v>
      </c>
      <c r="G18" s="132">
        <v>186755</v>
      </c>
      <c r="H18" s="132">
        <v>187764</v>
      </c>
      <c r="I18" s="132">
        <v>153606</v>
      </c>
      <c r="J18" s="132">
        <v>158820</v>
      </c>
      <c r="K18" s="132">
        <v>189383</v>
      </c>
      <c r="L18" s="132">
        <v>178969</v>
      </c>
      <c r="M18" s="132">
        <v>159023</v>
      </c>
    </row>
    <row r="19" spans="1:13" x14ac:dyDescent="0.3">
      <c r="A19" s="71" t="s">
        <v>256</v>
      </c>
      <c r="B19" s="135">
        <v>205988</v>
      </c>
      <c r="C19" s="132">
        <v>236471</v>
      </c>
      <c r="D19" s="132">
        <v>232314</v>
      </c>
      <c r="E19" s="132">
        <v>201153</v>
      </c>
      <c r="F19" s="132">
        <v>212833</v>
      </c>
      <c r="G19" s="132">
        <v>186755</v>
      </c>
      <c r="H19" s="132">
        <v>187764</v>
      </c>
      <c r="I19" s="132">
        <v>153606</v>
      </c>
      <c r="J19" s="132">
        <v>158820</v>
      </c>
      <c r="K19" s="132">
        <v>189383</v>
      </c>
      <c r="L19" s="132">
        <v>178969</v>
      </c>
      <c r="M19" s="132">
        <v>159023</v>
      </c>
    </row>
    <row r="20" spans="1:13" x14ac:dyDescent="0.3">
      <c r="A20" s="71" t="s">
        <v>257</v>
      </c>
      <c r="B20" s="135">
        <v>126725</v>
      </c>
      <c r="C20" s="132">
        <v>174051</v>
      </c>
      <c r="D20" s="132">
        <v>182840</v>
      </c>
      <c r="E20" s="132">
        <v>155688</v>
      </c>
      <c r="F20" s="132">
        <v>179681</v>
      </c>
      <c r="G20" s="132">
        <v>213234</v>
      </c>
      <c r="H20" s="132">
        <v>181769</v>
      </c>
      <c r="I20" s="132">
        <v>140305</v>
      </c>
      <c r="J20" s="132">
        <v>187177</v>
      </c>
      <c r="K20" s="132">
        <v>188697</v>
      </c>
      <c r="L20" s="132">
        <v>153578</v>
      </c>
      <c r="M20" s="132">
        <v>168949</v>
      </c>
    </row>
    <row r="21" spans="1:13" x14ac:dyDescent="0.3">
      <c r="A21" s="71" t="s">
        <v>258</v>
      </c>
      <c r="B21" s="135">
        <v>19608</v>
      </c>
      <c r="C21" s="132">
        <v>23579</v>
      </c>
      <c r="D21" s="132">
        <v>28161</v>
      </c>
      <c r="E21" s="132">
        <v>20894</v>
      </c>
      <c r="F21" s="132">
        <v>19567</v>
      </c>
      <c r="G21" s="132">
        <v>20129</v>
      </c>
      <c r="H21" s="132">
        <v>23179</v>
      </c>
      <c r="I21" s="132">
        <v>14492</v>
      </c>
      <c r="J21" s="132">
        <v>19899</v>
      </c>
      <c r="K21" s="132">
        <v>22737</v>
      </c>
      <c r="L21" s="132">
        <v>15658</v>
      </c>
      <c r="M21" s="132">
        <v>15420</v>
      </c>
    </row>
    <row r="22" spans="1:13" x14ac:dyDescent="0.3">
      <c r="A22" s="71" t="s">
        <v>259</v>
      </c>
      <c r="B22" s="135">
        <v>432229</v>
      </c>
      <c r="C22" s="132">
        <v>537886</v>
      </c>
      <c r="D22" s="132">
        <v>519202</v>
      </c>
      <c r="E22" s="132">
        <v>287507</v>
      </c>
      <c r="F22" s="132">
        <v>478075</v>
      </c>
      <c r="G22" s="132">
        <v>778030</v>
      </c>
      <c r="H22" s="132">
        <v>515118</v>
      </c>
      <c r="I22" s="132">
        <v>581456</v>
      </c>
      <c r="J22" s="132">
        <v>499550</v>
      </c>
      <c r="K22" s="132">
        <v>452946</v>
      </c>
      <c r="L22" s="132">
        <v>607639</v>
      </c>
      <c r="M22" s="132">
        <v>238939</v>
      </c>
    </row>
    <row r="23" spans="1:13" x14ac:dyDescent="0.3">
      <c r="A23" s="71" t="s">
        <v>260</v>
      </c>
      <c r="B23" s="135">
        <v>144935</v>
      </c>
      <c r="C23" s="132">
        <v>190803</v>
      </c>
      <c r="D23" s="132">
        <v>203899</v>
      </c>
      <c r="E23" s="132">
        <v>163952</v>
      </c>
      <c r="F23" s="132">
        <v>198728</v>
      </c>
      <c r="G23" s="132">
        <v>181772</v>
      </c>
      <c r="H23" s="132">
        <v>197070</v>
      </c>
      <c r="I23" s="132">
        <v>152116</v>
      </c>
      <c r="J23" s="132">
        <v>159559</v>
      </c>
      <c r="K23" s="132">
        <v>150957</v>
      </c>
      <c r="L23" s="132">
        <v>122862</v>
      </c>
      <c r="M23" s="132">
        <v>102393</v>
      </c>
    </row>
    <row r="24" spans="1:13" x14ac:dyDescent="0.3">
      <c r="A24" s="71" t="s">
        <v>261</v>
      </c>
      <c r="B24" s="135">
        <v>37986</v>
      </c>
      <c r="C24" s="132">
        <v>48894</v>
      </c>
      <c r="D24" s="132">
        <v>62463</v>
      </c>
      <c r="E24" s="132">
        <v>102090</v>
      </c>
      <c r="F24" s="132">
        <v>125834</v>
      </c>
      <c r="G24" s="132">
        <v>111253</v>
      </c>
      <c r="H24" s="132">
        <v>107294</v>
      </c>
      <c r="I24" s="132">
        <v>83598</v>
      </c>
      <c r="J24" s="132">
        <v>89239</v>
      </c>
      <c r="K24" s="132">
        <v>131136</v>
      </c>
      <c r="L24" s="132">
        <v>145227</v>
      </c>
      <c r="M24" s="132">
        <v>112199</v>
      </c>
    </row>
    <row r="25" spans="1:13" x14ac:dyDescent="0.3">
      <c r="A25" s="71" t="s">
        <v>262</v>
      </c>
      <c r="B25" s="135">
        <v>19548</v>
      </c>
      <c r="C25" s="132">
        <v>20941</v>
      </c>
      <c r="D25" s="132">
        <v>30747</v>
      </c>
      <c r="E25" s="132">
        <v>23484</v>
      </c>
      <c r="F25" s="132">
        <v>22497</v>
      </c>
      <c r="G25" s="132">
        <v>19429</v>
      </c>
      <c r="H25" s="132">
        <v>22343</v>
      </c>
      <c r="I25" s="132">
        <v>17486</v>
      </c>
      <c r="J25" s="132">
        <v>17706</v>
      </c>
      <c r="K25" s="132">
        <v>18549</v>
      </c>
      <c r="L25" s="132">
        <v>16020</v>
      </c>
      <c r="M25" s="132">
        <v>14174</v>
      </c>
    </row>
    <row r="26" spans="1:13" x14ac:dyDescent="0.3">
      <c r="A26" s="71" t="s">
        <v>263</v>
      </c>
      <c r="B26" s="135">
        <v>0</v>
      </c>
      <c r="C26" s="132">
        <v>0</v>
      </c>
      <c r="D26" s="132">
        <v>26687</v>
      </c>
      <c r="E26" s="132">
        <v>23041</v>
      </c>
      <c r="F26" s="132">
        <v>22189</v>
      </c>
      <c r="G26" s="132">
        <v>21130</v>
      </c>
      <c r="H26" s="132">
        <v>24299</v>
      </c>
      <c r="I26" s="132">
        <v>19017</v>
      </c>
      <c r="J26" s="132">
        <v>19256</v>
      </c>
      <c r="K26" s="132">
        <v>20173</v>
      </c>
      <c r="L26" s="132">
        <v>17422</v>
      </c>
      <c r="M26" s="132">
        <v>15415</v>
      </c>
    </row>
    <row r="27" spans="1:13" x14ac:dyDescent="0.3">
      <c r="A27" s="71" t="s">
        <v>264</v>
      </c>
      <c r="B27" s="135">
        <v>79817</v>
      </c>
      <c r="C27" s="132">
        <v>103996</v>
      </c>
      <c r="D27" s="132">
        <v>153736</v>
      </c>
      <c r="E27" s="132">
        <v>120615</v>
      </c>
      <c r="F27" s="132">
        <v>120946</v>
      </c>
      <c r="G27" s="132">
        <v>112739</v>
      </c>
      <c r="H27" s="132">
        <v>129650</v>
      </c>
      <c r="I27" s="132">
        <v>101466</v>
      </c>
      <c r="J27" s="132">
        <v>102742</v>
      </c>
      <c r="K27" s="132">
        <v>107634</v>
      </c>
      <c r="L27" s="132">
        <v>92957</v>
      </c>
      <c r="M27" s="132">
        <v>82249</v>
      </c>
    </row>
    <row r="28" spans="1:13" x14ac:dyDescent="0.3">
      <c r="A28" s="71" t="s">
        <v>265</v>
      </c>
      <c r="B28" s="135">
        <v>68858</v>
      </c>
      <c r="C28" s="132">
        <v>102471</v>
      </c>
      <c r="D28" s="132">
        <v>146159</v>
      </c>
      <c r="E28" s="132">
        <v>113672</v>
      </c>
      <c r="F28" s="132">
        <v>112764</v>
      </c>
      <c r="G28" s="132">
        <v>104589</v>
      </c>
      <c r="H28" s="132">
        <v>120278</v>
      </c>
      <c r="I28" s="132">
        <v>94130</v>
      </c>
      <c r="J28" s="132">
        <v>95314</v>
      </c>
      <c r="K28" s="132">
        <v>99853</v>
      </c>
      <c r="L28" s="132">
        <v>86237</v>
      </c>
      <c r="M28" s="132">
        <v>76303</v>
      </c>
    </row>
    <row r="29" spans="1:13" x14ac:dyDescent="0.3">
      <c r="A29" s="71" t="s">
        <v>266</v>
      </c>
      <c r="B29" s="135">
        <v>306959</v>
      </c>
      <c r="C29" s="132">
        <v>332127</v>
      </c>
      <c r="D29" s="132">
        <v>484943</v>
      </c>
      <c r="E29" s="132">
        <v>376646</v>
      </c>
      <c r="F29" s="132">
        <v>394596</v>
      </c>
      <c r="G29" s="132">
        <v>362701</v>
      </c>
      <c r="H29" s="132">
        <v>417106</v>
      </c>
      <c r="I29" s="132">
        <v>326431</v>
      </c>
      <c r="J29" s="132">
        <v>330537</v>
      </c>
      <c r="K29" s="132">
        <v>346277</v>
      </c>
      <c r="L29" s="132">
        <v>299057</v>
      </c>
      <c r="M29" s="132">
        <v>264608</v>
      </c>
    </row>
    <row r="30" spans="1:13" x14ac:dyDescent="0.3">
      <c r="A30" s="71" t="s">
        <v>267</v>
      </c>
      <c r="B30" s="135">
        <v>291978</v>
      </c>
      <c r="C30" s="132">
        <v>332413</v>
      </c>
      <c r="D30" s="132">
        <v>475398</v>
      </c>
      <c r="E30" s="132">
        <v>374653</v>
      </c>
      <c r="F30" s="132">
        <v>381298</v>
      </c>
      <c r="G30" s="132">
        <v>366776</v>
      </c>
      <c r="H30" s="132">
        <v>421793</v>
      </c>
      <c r="I30" s="132">
        <v>330099</v>
      </c>
      <c r="J30" s="132">
        <v>334251</v>
      </c>
      <c r="K30" s="132">
        <v>350167</v>
      </c>
      <c r="L30" s="132">
        <v>302417</v>
      </c>
      <c r="M30" s="132">
        <v>267581</v>
      </c>
    </row>
    <row r="31" spans="1:13" x14ac:dyDescent="0.3">
      <c r="A31" s="71" t="s">
        <v>268</v>
      </c>
      <c r="B31" s="135">
        <v>120781</v>
      </c>
      <c r="C31" s="132">
        <v>138916</v>
      </c>
      <c r="D31" s="132">
        <v>199406</v>
      </c>
      <c r="E31" s="132">
        <v>156971</v>
      </c>
      <c r="F31" s="132">
        <v>149545</v>
      </c>
      <c r="G31" s="132">
        <v>151533</v>
      </c>
      <c r="H31" s="132">
        <v>174263</v>
      </c>
      <c r="I31" s="132">
        <v>136380</v>
      </c>
      <c r="J31" s="132">
        <v>138095</v>
      </c>
      <c r="K31" s="132">
        <v>144671</v>
      </c>
      <c r="L31" s="132">
        <v>124943</v>
      </c>
      <c r="M31" s="132">
        <v>110551</v>
      </c>
    </row>
    <row r="32" spans="1:13" x14ac:dyDescent="0.3">
      <c r="A32" s="71" t="s">
        <v>269</v>
      </c>
      <c r="B32" s="135">
        <v>124961</v>
      </c>
      <c r="C32" s="132">
        <v>132227</v>
      </c>
      <c r="D32" s="132">
        <v>197167</v>
      </c>
      <c r="E32" s="132">
        <v>153223</v>
      </c>
      <c r="F32" s="132">
        <v>149099</v>
      </c>
      <c r="G32" s="132">
        <v>147330</v>
      </c>
      <c r="H32" s="132">
        <v>169429</v>
      </c>
      <c r="I32" s="132">
        <v>132597</v>
      </c>
      <c r="J32" s="132">
        <v>134265</v>
      </c>
      <c r="K32" s="132">
        <v>140658</v>
      </c>
      <c r="L32" s="132">
        <v>121478</v>
      </c>
      <c r="M32" s="132">
        <v>107484</v>
      </c>
    </row>
    <row r="33" spans="1:13" x14ac:dyDescent="0.3">
      <c r="A33" s="71" t="s">
        <v>270</v>
      </c>
      <c r="B33" s="135">
        <v>21588</v>
      </c>
      <c r="C33" s="132">
        <v>25233</v>
      </c>
      <c r="D33" s="132">
        <v>41903</v>
      </c>
      <c r="E33" s="132">
        <v>27200</v>
      </c>
      <c r="F33" s="132">
        <v>27089</v>
      </c>
      <c r="G33" s="132">
        <v>24338</v>
      </c>
      <c r="H33" s="132">
        <v>27989</v>
      </c>
      <c r="I33" s="132">
        <v>21905</v>
      </c>
      <c r="J33" s="132">
        <v>22180</v>
      </c>
      <c r="K33" s="132">
        <v>23236</v>
      </c>
      <c r="L33" s="132">
        <v>20068</v>
      </c>
      <c r="M33" s="132">
        <v>17756</v>
      </c>
    </row>
    <row r="34" spans="1:13" x14ac:dyDescent="0.3">
      <c r="A34" s="71" t="s">
        <v>271</v>
      </c>
      <c r="B34" s="135">
        <v>22493</v>
      </c>
      <c r="C34" s="132">
        <v>24865</v>
      </c>
      <c r="D34" s="132">
        <v>38554</v>
      </c>
      <c r="E34" s="132">
        <v>27627</v>
      </c>
      <c r="F34" s="132">
        <v>25533</v>
      </c>
      <c r="G34" s="132">
        <v>24836</v>
      </c>
      <c r="H34" s="132">
        <v>28561</v>
      </c>
      <c r="I34" s="132">
        <v>22352</v>
      </c>
      <c r="J34" s="132">
        <v>22633</v>
      </c>
      <c r="K34" s="132">
        <v>23711</v>
      </c>
      <c r="L34" s="132">
        <v>20478</v>
      </c>
      <c r="M34" s="132">
        <v>18119</v>
      </c>
    </row>
    <row r="35" spans="1:13" x14ac:dyDescent="0.3">
      <c r="A35" s="71" t="s">
        <v>272</v>
      </c>
      <c r="B35" s="135">
        <v>5587</v>
      </c>
      <c r="C35" s="132">
        <v>6267</v>
      </c>
      <c r="D35" s="132">
        <v>9670</v>
      </c>
      <c r="E35" s="132">
        <v>7765</v>
      </c>
      <c r="F35" s="132">
        <v>4130</v>
      </c>
      <c r="G35" s="132">
        <v>4909</v>
      </c>
      <c r="H35" s="132">
        <v>5646</v>
      </c>
      <c r="I35" s="132">
        <v>4418</v>
      </c>
      <c r="J35" s="132">
        <v>4474</v>
      </c>
      <c r="K35" s="132">
        <v>4687</v>
      </c>
      <c r="L35" s="132">
        <v>4048</v>
      </c>
      <c r="M35" s="132">
        <v>3582</v>
      </c>
    </row>
    <row r="36" spans="1:13" x14ac:dyDescent="0.3">
      <c r="A36" s="71" t="s">
        <v>273</v>
      </c>
      <c r="B36" s="135">
        <v>5429</v>
      </c>
      <c r="C36" s="132">
        <v>6322</v>
      </c>
      <c r="D36" s="132">
        <v>8540</v>
      </c>
      <c r="E36" s="132">
        <v>7306</v>
      </c>
      <c r="F36" s="132">
        <v>4114</v>
      </c>
      <c r="G36" s="132">
        <v>4605</v>
      </c>
      <c r="H36" s="132">
        <v>5295</v>
      </c>
      <c r="I36" s="132">
        <v>4144</v>
      </c>
      <c r="J36" s="132">
        <v>4196</v>
      </c>
      <c r="K36" s="132">
        <v>4396</v>
      </c>
      <c r="L36" s="132">
        <v>3797</v>
      </c>
      <c r="M36" s="132">
        <v>3359</v>
      </c>
    </row>
    <row r="37" spans="1:13" x14ac:dyDescent="0.3">
      <c r="A37" s="71" t="s">
        <v>274</v>
      </c>
      <c r="B37" s="135">
        <v>18601</v>
      </c>
      <c r="C37" s="132">
        <v>17399</v>
      </c>
      <c r="D37" s="132">
        <v>27733</v>
      </c>
      <c r="E37" s="132">
        <v>16542</v>
      </c>
      <c r="F37" s="132">
        <v>17089</v>
      </c>
      <c r="G37" s="132">
        <v>16734</v>
      </c>
      <c r="H37" s="132">
        <v>19244</v>
      </c>
      <c r="I37" s="132">
        <v>15060</v>
      </c>
      <c r="J37" s="132">
        <v>15250</v>
      </c>
      <c r="K37" s="132">
        <v>15976</v>
      </c>
      <c r="L37" s="132">
        <v>13797</v>
      </c>
      <c r="M37" s="132">
        <v>12208</v>
      </c>
    </row>
    <row r="38" spans="1:13" x14ac:dyDescent="0.3">
      <c r="A38" s="71" t="s">
        <v>275</v>
      </c>
      <c r="B38" s="135">
        <v>20152</v>
      </c>
      <c r="C38" s="132">
        <v>20096</v>
      </c>
      <c r="D38" s="132">
        <v>27440</v>
      </c>
      <c r="E38" s="132">
        <v>16526</v>
      </c>
      <c r="F38" s="132">
        <v>16950</v>
      </c>
      <c r="G38" s="132">
        <v>16172</v>
      </c>
      <c r="H38" s="132">
        <v>18598</v>
      </c>
      <c r="I38" s="132">
        <v>14555</v>
      </c>
      <c r="J38" s="132">
        <v>14738</v>
      </c>
      <c r="K38" s="132">
        <v>15440</v>
      </c>
      <c r="L38" s="132">
        <v>13334</v>
      </c>
      <c r="M38" s="132">
        <v>11798</v>
      </c>
    </row>
    <row r="39" spans="1:13" x14ac:dyDescent="0.3">
      <c r="A39" s="71" t="s">
        <v>276</v>
      </c>
      <c r="B39" s="135">
        <v>60412</v>
      </c>
      <c r="C39" s="132">
        <v>58681</v>
      </c>
      <c r="D39" s="132">
        <v>86632</v>
      </c>
      <c r="E39" s="132">
        <v>61311</v>
      </c>
      <c r="F39" s="132">
        <v>61868</v>
      </c>
      <c r="G39" s="132">
        <v>60661</v>
      </c>
      <c r="H39" s="132">
        <v>69761</v>
      </c>
      <c r="I39" s="132">
        <v>54595</v>
      </c>
      <c r="J39" s="132">
        <v>55282</v>
      </c>
      <c r="K39" s="132">
        <v>57914</v>
      </c>
      <c r="L39" s="132">
        <v>50017</v>
      </c>
      <c r="M39" s="132">
        <v>44255</v>
      </c>
    </row>
    <row r="40" spans="1:13" x14ac:dyDescent="0.3">
      <c r="A40" s="71" t="s">
        <v>277</v>
      </c>
      <c r="B40" s="135">
        <v>64118</v>
      </c>
      <c r="C40" s="132">
        <v>64254</v>
      </c>
      <c r="D40" s="132">
        <v>88181</v>
      </c>
      <c r="E40" s="132">
        <v>62134</v>
      </c>
      <c r="F40" s="132">
        <v>64164</v>
      </c>
      <c r="G40" s="132">
        <v>60485</v>
      </c>
      <c r="H40" s="132">
        <v>69558</v>
      </c>
      <c r="I40" s="132">
        <v>54436</v>
      </c>
      <c r="J40" s="132">
        <v>55121</v>
      </c>
      <c r="K40" s="132">
        <v>57746</v>
      </c>
      <c r="L40" s="132">
        <v>49872</v>
      </c>
      <c r="M40" s="132">
        <v>44127</v>
      </c>
    </row>
    <row r="41" spans="1:13" x14ac:dyDescent="0.3">
      <c r="A41" s="71" t="s">
        <v>278</v>
      </c>
      <c r="B41" s="135">
        <v>29933</v>
      </c>
      <c r="C41" s="132">
        <v>31405</v>
      </c>
      <c r="D41" s="132">
        <v>49794</v>
      </c>
      <c r="E41" s="132">
        <v>33463</v>
      </c>
      <c r="F41" s="132">
        <v>33715</v>
      </c>
      <c r="G41" s="132">
        <v>32954</v>
      </c>
      <c r="H41" s="132">
        <v>37897</v>
      </c>
      <c r="I41" s="132">
        <v>29658</v>
      </c>
      <c r="J41" s="132">
        <v>30032</v>
      </c>
      <c r="K41" s="132">
        <v>31462</v>
      </c>
      <c r="L41" s="132">
        <v>27171</v>
      </c>
      <c r="M41" s="132">
        <v>24041</v>
      </c>
    </row>
    <row r="42" spans="1:13" x14ac:dyDescent="0.3">
      <c r="A42" s="71" t="s">
        <v>279</v>
      </c>
      <c r="B42" s="135">
        <v>31025</v>
      </c>
      <c r="C42" s="132">
        <v>31405</v>
      </c>
      <c r="D42" s="132">
        <v>47952</v>
      </c>
      <c r="E42" s="132">
        <v>33874</v>
      </c>
      <c r="F42" s="132">
        <v>34331</v>
      </c>
      <c r="G42" s="132">
        <v>33740</v>
      </c>
      <c r="H42" s="132">
        <v>38801</v>
      </c>
      <c r="I42" s="132">
        <v>30366</v>
      </c>
      <c r="J42" s="132">
        <v>30748</v>
      </c>
      <c r="K42" s="132">
        <v>32212</v>
      </c>
      <c r="L42" s="132">
        <v>27820</v>
      </c>
      <c r="M42" s="132">
        <v>24615</v>
      </c>
    </row>
    <row r="43" spans="1:13" x14ac:dyDescent="0.3">
      <c r="A43" s="71" t="s">
        <v>280</v>
      </c>
      <c r="B43" s="135">
        <v>8187</v>
      </c>
      <c r="C43" s="132">
        <v>9088</v>
      </c>
      <c r="D43" s="132">
        <v>15175</v>
      </c>
      <c r="E43" s="132">
        <v>10374</v>
      </c>
      <c r="F43" s="132">
        <v>9677</v>
      </c>
      <c r="G43" s="132">
        <v>8038</v>
      </c>
      <c r="H43" s="132">
        <v>9244</v>
      </c>
      <c r="I43" s="132">
        <v>7234</v>
      </c>
      <c r="J43" s="132">
        <v>7325</v>
      </c>
      <c r="K43" s="132">
        <v>7674</v>
      </c>
      <c r="L43" s="132">
        <v>6627</v>
      </c>
      <c r="M43" s="132">
        <v>5864</v>
      </c>
    </row>
    <row r="44" spans="1:13" x14ac:dyDescent="0.3">
      <c r="A44" s="71" t="s">
        <v>281</v>
      </c>
      <c r="B44" s="135">
        <v>12022</v>
      </c>
      <c r="C44" s="132">
        <v>10436</v>
      </c>
      <c r="D44" s="132">
        <v>15238</v>
      </c>
      <c r="E44" s="132">
        <v>10690</v>
      </c>
      <c r="F44" s="132">
        <v>10139</v>
      </c>
      <c r="G44" s="132">
        <v>9498</v>
      </c>
      <c r="H44" s="132">
        <v>10923</v>
      </c>
      <c r="I44" s="132">
        <v>8548</v>
      </c>
      <c r="J44" s="132">
        <v>8656</v>
      </c>
      <c r="K44" s="132">
        <v>9068</v>
      </c>
      <c r="L44" s="132">
        <v>7831</v>
      </c>
      <c r="M44" s="132">
        <v>6929</v>
      </c>
    </row>
    <row r="45" spans="1:13" x14ac:dyDescent="0.3">
      <c r="A45" s="71" t="s">
        <v>282</v>
      </c>
      <c r="B45" s="135">
        <v>539275</v>
      </c>
      <c r="C45" s="132">
        <v>719052</v>
      </c>
      <c r="D45" s="132">
        <v>639982</v>
      </c>
      <c r="E45" s="132">
        <v>555941</v>
      </c>
      <c r="F45" s="132">
        <v>616481</v>
      </c>
      <c r="G45" s="132">
        <v>615736</v>
      </c>
      <c r="H45" s="132">
        <v>25796</v>
      </c>
      <c r="I45" s="132">
        <v>365380</v>
      </c>
      <c r="J45" s="132">
        <v>125745</v>
      </c>
      <c r="K45" s="132">
        <v>8645</v>
      </c>
      <c r="L45" s="132">
        <v>7485</v>
      </c>
      <c r="M45" s="132">
        <v>41465</v>
      </c>
    </row>
    <row r="46" spans="1:13" x14ac:dyDescent="0.3">
      <c r="A46" s="71" t="s">
        <v>283</v>
      </c>
      <c r="B46" s="135">
        <v>12213</v>
      </c>
      <c r="C46" s="132">
        <v>13478</v>
      </c>
      <c r="D46" s="132">
        <v>12831</v>
      </c>
      <c r="E46" s="132">
        <v>12207</v>
      </c>
      <c r="F46" s="132">
        <v>13817</v>
      </c>
      <c r="G46" s="132">
        <v>14063</v>
      </c>
      <c r="H46" s="132">
        <v>14110</v>
      </c>
      <c r="I46" s="132">
        <v>9537</v>
      </c>
      <c r="J46" s="132">
        <v>9764</v>
      </c>
      <c r="K46" s="132">
        <v>10103</v>
      </c>
      <c r="L46" s="132">
        <v>9092</v>
      </c>
      <c r="M46" s="132">
        <v>7172</v>
      </c>
    </row>
    <row r="47" spans="1:13" x14ac:dyDescent="0.3">
      <c r="A47" s="71" t="s">
        <v>284</v>
      </c>
      <c r="B47" s="135">
        <v>16526</v>
      </c>
      <c r="C47" s="132">
        <v>18238</v>
      </c>
      <c r="D47" s="132">
        <v>17363</v>
      </c>
      <c r="E47" s="132">
        <v>16518</v>
      </c>
      <c r="F47" s="132">
        <v>18697</v>
      </c>
      <c r="G47" s="132">
        <v>19030</v>
      </c>
      <c r="H47" s="132">
        <v>19094</v>
      </c>
      <c r="I47" s="132">
        <v>12905</v>
      </c>
      <c r="J47" s="132">
        <v>13213</v>
      </c>
      <c r="K47" s="132">
        <v>13671</v>
      </c>
      <c r="L47" s="132">
        <v>12303</v>
      </c>
      <c r="M47" s="132">
        <v>9704</v>
      </c>
    </row>
    <row r="48" spans="1:13" x14ac:dyDescent="0.3">
      <c r="A48" s="71" t="s">
        <v>285</v>
      </c>
      <c r="B48" s="135">
        <v>60514</v>
      </c>
      <c r="C48" s="132">
        <v>0</v>
      </c>
      <c r="D48" s="132">
        <v>15790</v>
      </c>
      <c r="E48" s="132">
        <v>28994</v>
      </c>
      <c r="F48" s="132">
        <v>18676</v>
      </c>
      <c r="G48" s="132">
        <v>33095</v>
      </c>
      <c r="H48" s="132">
        <v>16926</v>
      </c>
      <c r="I48" s="132">
        <v>16661</v>
      </c>
      <c r="J48" s="132">
        <v>20743</v>
      </c>
      <c r="K48" s="132">
        <v>10195</v>
      </c>
      <c r="L48" s="132">
        <v>9521</v>
      </c>
      <c r="M48" s="132">
        <v>6818</v>
      </c>
    </row>
    <row r="49" spans="1:13" x14ac:dyDescent="0.3">
      <c r="A49" s="71" t="s">
        <v>286</v>
      </c>
      <c r="B49" s="135">
        <v>60514</v>
      </c>
      <c r="C49" s="132">
        <v>0</v>
      </c>
      <c r="D49" s="132">
        <v>15790</v>
      </c>
      <c r="E49" s="132">
        <v>28994</v>
      </c>
      <c r="F49" s="132">
        <v>18676</v>
      </c>
      <c r="G49" s="132">
        <v>33095</v>
      </c>
      <c r="H49" s="132">
        <v>16926</v>
      </c>
      <c r="I49" s="132">
        <v>16661</v>
      </c>
      <c r="J49" s="132">
        <v>20743</v>
      </c>
      <c r="K49" s="132">
        <v>10195</v>
      </c>
      <c r="L49" s="132">
        <v>9521</v>
      </c>
      <c r="M49" s="132">
        <v>6818</v>
      </c>
    </row>
    <row r="50" spans="1:13" x14ac:dyDescent="0.3">
      <c r="A50" s="71" t="s">
        <v>287</v>
      </c>
      <c r="B50" s="135">
        <v>15129</v>
      </c>
      <c r="C50" s="132">
        <v>16025</v>
      </c>
      <c r="D50" s="132">
        <v>11842</v>
      </c>
      <c r="E50" s="132">
        <v>10873</v>
      </c>
      <c r="F50" s="132">
        <v>14007</v>
      </c>
      <c r="G50" s="132">
        <v>12411</v>
      </c>
      <c r="H50" s="132">
        <v>11848</v>
      </c>
      <c r="I50" s="132">
        <v>8331</v>
      </c>
      <c r="J50" s="132">
        <v>7260</v>
      </c>
      <c r="K50" s="132">
        <v>7137</v>
      </c>
      <c r="L50" s="132">
        <v>6665</v>
      </c>
      <c r="M50" s="132">
        <v>4773</v>
      </c>
    </row>
    <row r="51" spans="1:13" x14ac:dyDescent="0.3">
      <c r="A51" s="71" t="s">
        <v>288</v>
      </c>
      <c r="B51" s="135">
        <v>15129</v>
      </c>
      <c r="C51" s="132">
        <v>16025</v>
      </c>
      <c r="D51" s="132">
        <v>11842</v>
      </c>
      <c r="E51" s="132">
        <v>10873</v>
      </c>
      <c r="F51" s="132">
        <v>14007</v>
      </c>
      <c r="G51" s="132">
        <v>12411</v>
      </c>
      <c r="H51" s="132">
        <v>11848</v>
      </c>
      <c r="I51" s="132">
        <v>8331</v>
      </c>
      <c r="J51" s="132">
        <v>7260</v>
      </c>
      <c r="K51" s="132">
        <v>7137</v>
      </c>
      <c r="L51" s="132">
        <v>6665</v>
      </c>
      <c r="M51" s="132">
        <v>4773</v>
      </c>
    </row>
    <row r="52" spans="1:13" x14ac:dyDescent="0.3">
      <c r="A52" s="71" t="s">
        <v>289</v>
      </c>
      <c r="B52" s="135">
        <v>79949</v>
      </c>
      <c r="C52" s="132">
        <v>96141</v>
      </c>
      <c r="D52" s="132">
        <v>143473</v>
      </c>
      <c r="E52" s="132">
        <v>139148</v>
      </c>
      <c r="F52" s="132">
        <v>99689</v>
      </c>
      <c r="G52" s="132">
        <v>15923</v>
      </c>
      <c r="H52" s="132">
        <v>111361</v>
      </c>
      <c r="I52" s="132">
        <v>69623</v>
      </c>
      <c r="J52" s="132">
        <v>95604</v>
      </c>
      <c r="K52" s="132">
        <v>144822</v>
      </c>
      <c r="L52" s="132">
        <v>75226</v>
      </c>
      <c r="M52" s="132">
        <v>74082</v>
      </c>
    </row>
    <row r="53" spans="1:13" x14ac:dyDescent="0.3">
      <c r="A53" s="71" t="s">
        <v>290</v>
      </c>
      <c r="B53" s="135">
        <v>632256</v>
      </c>
      <c r="C53" s="132">
        <v>734887</v>
      </c>
      <c r="D53" s="132">
        <v>743478</v>
      </c>
      <c r="E53" s="132">
        <v>625525</v>
      </c>
      <c r="F53" s="132">
        <v>713514</v>
      </c>
      <c r="G53" s="132">
        <v>727708</v>
      </c>
      <c r="H53" s="132">
        <v>691684</v>
      </c>
      <c r="I53" s="132">
        <v>534040</v>
      </c>
      <c r="J53" s="132">
        <v>637583</v>
      </c>
      <c r="K53" s="132">
        <v>584430</v>
      </c>
      <c r="L53" s="132">
        <v>459465</v>
      </c>
      <c r="M53" s="132">
        <v>454091</v>
      </c>
    </row>
    <row r="54" spans="1:13" x14ac:dyDescent="0.3">
      <c r="A54" s="71" t="s">
        <v>291</v>
      </c>
      <c r="B54" s="135">
        <v>437923</v>
      </c>
      <c r="C54" s="132">
        <v>334093</v>
      </c>
      <c r="D54" s="132">
        <v>495989</v>
      </c>
      <c r="E54" s="132">
        <v>321532</v>
      </c>
      <c r="F54" s="132">
        <v>377165</v>
      </c>
      <c r="G54" s="132">
        <v>454259</v>
      </c>
      <c r="H54" s="132">
        <v>349854</v>
      </c>
      <c r="I54" s="132">
        <v>291888</v>
      </c>
      <c r="J54" s="132">
        <v>360560</v>
      </c>
      <c r="K54" s="132">
        <v>259150</v>
      </c>
      <c r="L54" s="132">
        <v>290454</v>
      </c>
      <c r="M54" s="132">
        <v>231522</v>
      </c>
    </row>
    <row r="55" spans="1:13" x14ac:dyDescent="0.3">
      <c r="A55" s="71" t="s">
        <v>292</v>
      </c>
      <c r="B55" s="135">
        <v>1421660</v>
      </c>
      <c r="C55" s="132">
        <v>1201487</v>
      </c>
      <c r="D55" s="132">
        <v>1261172</v>
      </c>
      <c r="E55" s="132">
        <v>1290266</v>
      </c>
      <c r="F55" s="132">
        <v>1531466</v>
      </c>
      <c r="G55" s="132">
        <v>1259806</v>
      </c>
      <c r="H55" s="132">
        <v>1418923</v>
      </c>
      <c r="I55" s="132">
        <v>968297</v>
      </c>
      <c r="J55" s="132">
        <v>1021859</v>
      </c>
      <c r="K55" s="132">
        <v>960468</v>
      </c>
      <c r="L55" s="132">
        <v>876790</v>
      </c>
      <c r="M55" s="132">
        <v>704324</v>
      </c>
    </row>
    <row r="56" spans="1:13" x14ac:dyDescent="0.3">
      <c r="A56" s="71" t="s">
        <v>293</v>
      </c>
      <c r="B56" s="135">
        <v>335575</v>
      </c>
      <c r="C56" s="132">
        <v>337974</v>
      </c>
      <c r="D56" s="132">
        <v>430223</v>
      </c>
      <c r="E56" s="132">
        <v>350908</v>
      </c>
      <c r="F56" s="132">
        <v>405026</v>
      </c>
      <c r="G56" s="132">
        <v>396641</v>
      </c>
      <c r="H56" s="132">
        <v>346573</v>
      </c>
      <c r="I56" s="132">
        <v>253570</v>
      </c>
      <c r="J56" s="132">
        <v>240535</v>
      </c>
      <c r="K56" s="132">
        <v>339478</v>
      </c>
      <c r="L56" s="132">
        <v>292685</v>
      </c>
      <c r="M56" s="132">
        <v>293636</v>
      </c>
    </row>
    <row r="57" spans="1:13" x14ac:dyDescent="0.3">
      <c r="A57" s="71" t="s">
        <v>294</v>
      </c>
      <c r="B57" s="135">
        <v>335575</v>
      </c>
      <c r="C57" s="132">
        <v>337974</v>
      </c>
      <c r="D57" s="132">
        <v>430223</v>
      </c>
      <c r="E57" s="132">
        <v>350908</v>
      </c>
      <c r="F57" s="132">
        <v>405026</v>
      </c>
      <c r="G57" s="132">
        <v>396641</v>
      </c>
      <c r="H57" s="132">
        <v>346573</v>
      </c>
      <c r="I57" s="132">
        <v>253570</v>
      </c>
      <c r="J57" s="132">
        <v>240535</v>
      </c>
      <c r="K57" s="132">
        <v>339478</v>
      </c>
      <c r="L57" s="132">
        <v>292685</v>
      </c>
      <c r="M57" s="132">
        <v>293636</v>
      </c>
    </row>
    <row r="58" spans="1:13" x14ac:dyDescent="0.3">
      <c r="A58" s="71" t="s">
        <v>295</v>
      </c>
      <c r="B58" s="135">
        <v>147970</v>
      </c>
      <c r="C58" s="132">
        <v>159143</v>
      </c>
      <c r="D58" s="132">
        <v>221536</v>
      </c>
      <c r="E58" s="132">
        <v>190075</v>
      </c>
      <c r="F58" s="132">
        <v>219389</v>
      </c>
      <c r="G58" s="132">
        <v>214847</v>
      </c>
      <c r="H58" s="132">
        <v>212750</v>
      </c>
      <c r="I58" s="132">
        <v>155658</v>
      </c>
      <c r="J58" s="132">
        <v>147657</v>
      </c>
      <c r="K58" s="132">
        <v>157409</v>
      </c>
      <c r="L58" s="132">
        <v>135712</v>
      </c>
      <c r="M58" s="132">
        <v>136153</v>
      </c>
    </row>
    <row r="59" spans="1:13" x14ac:dyDescent="0.3">
      <c r="A59" s="71" t="s">
        <v>296</v>
      </c>
      <c r="B59" s="135">
        <v>147970</v>
      </c>
      <c r="C59" s="132">
        <v>159143</v>
      </c>
      <c r="D59" s="132">
        <v>221536</v>
      </c>
      <c r="E59" s="132">
        <v>190075</v>
      </c>
      <c r="F59" s="132">
        <v>219389</v>
      </c>
      <c r="G59" s="132">
        <v>214847</v>
      </c>
      <c r="H59" s="132">
        <v>212750</v>
      </c>
      <c r="I59" s="132">
        <v>155658</v>
      </c>
      <c r="J59" s="132">
        <v>147657</v>
      </c>
      <c r="K59" s="132">
        <v>157409</v>
      </c>
      <c r="L59" s="132">
        <v>135712</v>
      </c>
      <c r="M59" s="132">
        <v>136153</v>
      </c>
    </row>
    <row r="60" spans="1:13" x14ac:dyDescent="0.3">
      <c r="A60" s="71" t="s">
        <v>297</v>
      </c>
      <c r="B60" s="135">
        <v>47746</v>
      </c>
      <c r="C60" s="132">
        <v>0</v>
      </c>
      <c r="D60" s="132">
        <v>51321</v>
      </c>
      <c r="E60" s="132">
        <v>48524</v>
      </c>
      <c r="F60" s="132">
        <v>55478</v>
      </c>
      <c r="G60" s="132">
        <v>50133</v>
      </c>
      <c r="H60" s="132">
        <v>54353</v>
      </c>
      <c r="I60" s="132">
        <v>41954</v>
      </c>
      <c r="J60" s="132">
        <v>44007</v>
      </c>
      <c r="K60" s="132">
        <v>49816</v>
      </c>
      <c r="L60" s="132">
        <v>40545</v>
      </c>
      <c r="M60" s="132">
        <v>33790</v>
      </c>
    </row>
    <row r="61" spans="1:13" x14ac:dyDescent="0.3">
      <c r="A61" s="71" t="s">
        <v>298</v>
      </c>
      <c r="B61" s="135">
        <v>52968</v>
      </c>
      <c r="C61" s="132">
        <v>0</v>
      </c>
      <c r="D61" s="132">
        <v>51321</v>
      </c>
      <c r="E61" s="132">
        <v>48524</v>
      </c>
      <c r="F61" s="132">
        <v>55478</v>
      </c>
      <c r="G61" s="132">
        <v>50133</v>
      </c>
      <c r="H61" s="132">
        <v>59079</v>
      </c>
      <c r="I61" s="132">
        <v>46616</v>
      </c>
      <c r="J61" s="132">
        <v>48198</v>
      </c>
      <c r="K61" s="132">
        <v>45287</v>
      </c>
      <c r="L61" s="132">
        <v>42797</v>
      </c>
      <c r="M61" s="132">
        <v>38027</v>
      </c>
    </row>
    <row r="62" spans="1:13" x14ac:dyDescent="0.3">
      <c r="A62" s="71" t="s">
        <v>299</v>
      </c>
      <c r="B62" s="135">
        <v>52968</v>
      </c>
      <c r="C62" s="132">
        <v>0</v>
      </c>
      <c r="D62" s="132">
        <v>51321</v>
      </c>
      <c r="E62" s="132">
        <v>48524</v>
      </c>
      <c r="F62" s="132">
        <v>55478</v>
      </c>
      <c r="G62" s="132">
        <v>50133</v>
      </c>
      <c r="H62" s="132">
        <v>59079</v>
      </c>
      <c r="I62" s="132">
        <v>46616</v>
      </c>
      <c r="J62" s="132">
        <v>48198</v>
      </c>
      <c r="K62" s="132">
        <v>45287</v>
      </c>
      <c r="L62" s="132">
        <v>42797</v>
      </c>
      <c r="M62" s="132">
        <v>38027</v>
      </c>
    </row>
    <row r="63" spans="1:13" x14ac:dyDescent="0.3">
      <c r="A63" s="71" t="s">
        <v>300</v>
      </c>
      <c r="B63" s="135">
        <v>0</v>
      </c>
      <c r="C63" s="132">
        <v>0</v>
      </c>
      <c r="D63" s="132">
        <v>0</v>
      </c>
      <c r="E63" s="132">
        <v>0</v>
      </c>
      <c r="F63" s="132">
        <v>0</v>
      </c>
      <c r="G63" s="132">
        <v>0</v>
      </c>
      <c r="H63" s="132">
        <v>0</v>
      </c>
      <c r="I63" s="132">
        <v>0</v>
      </c>
      <c r="J63" s="132">
        <v>0</v>
      </c>
      <c r="K63" s="132">
        <v>0</v>
      </c>
      <c r="L63" s="132">
        <v>0</v>
      </c>
      <c r="M63" s="132">
        <v>0</v>
      </c>
    </row>
    <row r="64" spans="1:13" x14ac:dyDescent="0.3">
      <c r="A64" s="71" t="s">
        <v>301</v>
      </c>
      <c r="B64" s="135">
        <v>0</v>
      </c>
      <c r="C64" s="132">
        <v>0</v>
      </c>
      <c r="D64" s="132">
        <v>0</v>
      </c>
      <c r="E64" s="132">
        <v>0</v>
      </c>
      <c r="F64" s="132">
        <v>0</v>
      </c>
      <c r="G64" s="132">
        <v>0</v>
      </c>
      <c r="H64" s="132">
        <v>0</v>
      </c>
      <c r="I64" s="132">
        <v>0</v>
      </c>
      <c r="J64" s="132">
        <v>0</v>
      </c>
      <c r="K64" s="132">
        <v>0</v>
      </c>
      <c r="L64" s="132">
        <v>0</v>
      </c>
      <c r="M64" s="132">
        <v>0</v>
      </c>
    </row>
    <row r="65" spans="1:13" x14ac:dyDescent="0.3">
      <c r="A65" s="71" t="s">
        <v>302</v>
      </c>
      <c r="B65" s="135">
        <v>331567</v>
      </c>
      <c r="C65" s="132">
        <v>342877</v>
      </c>
      <c r="D65" s="132">
        <v>395173</v>
      </c>
      <c r="E65" s="132">
        <v>280850</v>
      </c>
      <c r="F65" s="132">
        <v>319417</v>
      </c>
      <c r="G65" s="132">
        <v>334223</v>
      </c>
      <c r="H65" s="132">
        <v>301411</v>
      </c>
      <c r="I65" s="132">
        <v>228842</v>
      </c>
      <c r="J65" s="132">
        <v>306716</v>
      </c>
      <c r="K65" s="132">
        <v>286819</v>
      </c>
      <c r="L65" s="132">
        <v>221152</v>
      </c>
      <c r="M65" s="132">
        <v>194547</v>
      </c>
    </row>
    <row r="66" spans="1:13" x14ac:dyDescent="0.3">
      <c r="A66" s="71" t="s">
        <v>303</v>
      </c>
      <c r="B66" s="135">
        <v>367835</v>
      </c>
      <c r="C66" s="132">
        <v>342877</v>
      </c>
      <c r="D66" s="132">
        <v>395173</v>
      </c>
      <c r="E66" s="132">
        <v>280850</v>
      </c>
      <c r="F66" s="132">
        <v>319417</v>
      </c>
      <c r="G66" s="132">
        <v>334223</v>
      </c>
      <c r="H66" s="132">
        <v>327621</v>
      </c>
      <c r="I66" s="132">
        <v>254269</v>
      </c>
      <c r="J66" s="132">
        <v>335927</v>
      </c>
      <c r="K66" s="132">
        <v>260745</v>
      </c>
      <c r="L66" s="132">
        <v>233438</v>
      </c>
      <c r="M66" s="132">
        <v>218944</v>
      </c>
    </row>
    <row r="67" spans="1:13" x14ac:dyDescent="0.3">
      <c r="A67" s="71" t="s">
        <v>304</v>
      </c>
      <c r="B67" s="135">
        <v>367835</v>
      </c>
      <c r="C67" s="132">
        <v>342877</v>
      </c>
      <c r="D67" s="132">
        <v>395173</v>
      </c>
      <c r="E67" s="132">
        <v>280850</v>
      </c>
      <c r="F67" s="132">
        <v>319417</v>
      </c>
      <c r="G67" s="132">
        <v>334223</v>
      </c>
      <c r="H67" s="132">
        <v>327621</v>
      </c>
      <c r="I67" s="132">
        <v>254269</v>
      </c>
      <c r="J67" s="132">
        <v>335927</v>
      </c>
      <c r="K67" s="132">
        <v>260745</v>
      </c>
      <c r="L67" s="132">
        <v>233438</v>
      </c>
      <c r="M67" s="132">
        <v>218944</v>
      </c>
    </row>
    <row r="68" spans="1:13" x14ac:dyDescent="0.3">
      <c r="A68" s="71" t="s">
        <v>305</v>
      </c>
      <c r="B68" s="135">
        <v>350135</v>
      </c>
      <c r="C68" s="132">
        <v>251443</v>
      </c>
      <c r="D68" s="132">
        <v>342141</v>
      </c>
      <c r="E68" s="132">
        <v>354371</v>
      </c>
      <c r="F68" s="132">
        <v>405156</v>
      </c>
      <c r="G68" s="132">
        <v>366126</v>
      </c>
      <c r="H68" s="132">
        <v>384308</v>
      </c>
      <c r="I68" s="132">
        <v>296642</v>
      </c>
      <c r="J68" s="132">
        <v>311156</v>
      </c>
      <c r="K68" s="132">
        <v>349965</v>
      </c>
      <c r="L68" s="132">
        <v>284831</v>
      </c>
      <c r="M68" s="132">
        <v>237378</v>
      </c>
    </row>
    <row r="69" spans="1:13" x14ac:dyDescent="0.3">
      <c r="A69" s="71" t="s">
        <v>306</v>
      </c>
      <c r="B69" s="135">
        <v>388434</v>
      </c>
      <c r="C69" s="132">
        <v>251443</v>
      </c>
      <c r="D69" s="132">
        <v>342141</v>
      </c>
      <c r="E69" s="132">
        <v>354371</v>
      </c>
      <c r="F69" s="132">
        <v>405156</v>
      </c>
      <c r="G69" s="132">
        <v>366126</v>
      </c>
      <c r="H69" s="132">
        <v>417726</v>
      </c>
      <c r="I69" s="132">
        <v>329603</v>
      </c>
      <c r="J69" s="132">
        <v>340790</v>
      </c>
      <c r="K69" s="132">
        <v>318150</v>
      </c>
      <c r="L69" s="132">
        <v>300655</v>
      </c>
      <c r="M69" s="132">
        <v>267146</v>
      </c>
    </row>
    <row r="70" spans="1:13" x14ac:dyDescent="0.3">
      <c r="A70" s="71" t="s">
        <v>307</v>
      </c>
      <c r="B70" s="135">
        <v>388434</v>
      </c>
      <c r="C70" s="132">
        <v>251443</v>
      </c>
      <c r="D70" s="132">
        <v>342141</v>
      </c>
      <c r="E70" s="132">
        <v>354371</v>
      </c>
      <c r="F70" s="132">
        <v>405156</v>
      </c>
      <c r="G70" s="132">
        <v>366126</v>
      </c>
      <c r="H70" s="132">
        <v>417726</v>
      </c>
      <c r="I70" s="132">
        <v>329603</v>
      </c>
      <c r="J70" s="132">
        <v>340790</v>
      </c>
      <c r="K70" s="132">
        <v>318150</v>
      </c>
      <c r="L70" s="132">
        <v>300655</v>
      </c>
      <c r="M70" s="132">
        <v>267146</v>
      </c>
    </row>
    <row r="71" spans="1:13" x14ac:dyDescent="0.3">
      <c r="A71" s="71" t="s">
        <v>308</v>
      </c>
      <c r="B71" s="135">
        <v>384618</v>
      </c>
      <c r="C71" s="132">
        <v>595954</v>
      </c>
      <c r="D71" s="132">
        <v>602169</v>
      </c>
      <c r="E71" s="132">
        <v>448478</v>
      </c>
      <c r="F71" s="132">
        <v>524517</v>
      </c>
      <c r="G71" s="132">
        <v>551468</v>
      </c>
      <c r="H71" s="132">
        <v>482587</v>
      </c>
      <c r="I71" s="132">
        <v>390302</v>
      </c>
      <c r="J71" s="132">
        <v>514749</v>
      </c>
      <c r="K71" s="132">
        <v>474006</v>
      </c>
      <c r="L71" s="132">
        <v>390702</v>
      </c>
      <c r="M71" s="132">
        <v>296029</v>
      </c>
    </row>
    <row r="72" spans="1:13" x14ac:dyDescent="0.3">
      <c r="A72" s="71" t="s">
        <v>309</v>
      </c>
      <c r="B72" s="135">
        <v>426689</v>
      </c>
      <c r="C72" s="132">
        <v>595954</v>
      </c>
      <c r="D72" s="132">
        <v>602169</v>
      </c>
      <c r="E72" s="132">
        <v>448478</v>
      </c>
      <c r="F72" s="132">
        <v>524517</v>
      </c>
      <c r="G72" s="132">
        <v>551468</v>
      </c>
      <c r="H72" s="132">
        <v>524552</v>
      </c>
      <c r="I72" s="132">
        <v>433669</v>
      </c>
      <c r="J72" s="132">
        <v>563772</v>
      </c>
      <c r="K72" s="132">
        <v>430915</v>
      </c>
      <c r="L72" s="132">
        <v>412407</v>
      </c>
      <c r="M72" s="132">
        <v>333152</v>
      </c>
    </row>
    <row r="73" spans="1:13" x14ac:dyDescent="0.3">
      <c r="A73" s="71" t="s">
        <v>310</v>
      </c>
      <c r="B73" s="135">
        <v>426689</v>
      </c>
      <c r="C73" s="132">
        <v>595954</v>
      </c>
      <c r="D73" s="132">
        <v>602169</v>
      </c>
      <c r="E73" s="132">
        <v>448478</v>
      </c>
      <c r="F73" s="132">
        <v>524517</v>
      </c>
      <c r="G73" s="132">
        <v>551468</v>
      </c>
      <c r="H73" s="132">
        <v>524552</v>
      </c>
      <c r="I73" s="132">
        <v>433669</v>
      </c>
      <c r="J73" s="132">
        <v>563772</v>
      </c>
      <c r="K73" s="132">
        <v>430915</v>
      </c>
      <c r="L73" s="132">
        <v>412407</v>
      </c>
      <c r="M73" s="132">
        <v>333152</v>
      </c>
    </row>
    <row r="74" spans="1:13" x14ac:dyDescent="0.3">
      <c r="A74" s="71" t="s">
        <v>311</v>
      </c>
      <c r="B74" s="135">
        <v>25199</v>
      </c>
      <c r="C74" s="132">
        <v>13062</v>
      </c>
      <c r="D74" s="132">
        <v>22239</v>
      </c>
      <c r="E74" s="132">
        <v>17939</v>
      </c>
      <c r="F74" s="132">
        <v>20510</v>
      </c>
      <c r="G74" s="132">
        <v>23168</v>
      </c>
      <c r="H74" s="132">
        <v>20094</v>
      </c>
      <c r="I74" s="132">
        <v>19388</v>
      </c>
      <c r="J74" s="132">
        <v>16269</v>
      </c>
      <c r="K74" s="132">
        <v>18417</v>
      </c>
      <c r="L74" s="132">
        <v>19289</v>
      </c>
      <c r="M74" s="132">
        <v>9041</v>
      </c>
    </row>
    <row r="75" spans="1:13" x14ac:dyDescent="0.3">
      <c r="A75" s="71" t="s">
        <v>312</v>
      </c>
      <c r="B75" s="135">
        <v>113162</v>
      </c>
      <c r="C75" s="132">
        <v>116018</v>
      </c>
      <c r="D75" s="132">
        <v>84158</v>
      </c>
      <c r="E75" s="132">
        <v>77270</v>
      </c>
      <c r="F75" s="132">
        <v>98313</v>
      </c>
      <c r="G75" s="132">
        <v>87106</v>
      </c>
      <c r="H75" s="132">
        <v>75559</v>
      </c>
      <c r="I75" s="132">
        <v>53125</v>
      </c>
      <c r="J75" s="132">
        <v>41113</v>
      </c>
      <c r="K75" s="132">
        <v>50976</v>
      </c>
      <c r="L75" s="132">
        <v>47605</v>
      </c>
      <c r="M75" s="132">
        <v>34090</v>
      </c>
    </row>
    <row r="76" spans="1:13" x14ac:dyDescent="0.3">
      <c r="A76" s="71" t="s">
        <v>313</v>
      </c>
      <c r="B76" s="135">
        <v>113162</v>
      </c>
      <c r="C76" s="132">
        <v>116018</v>
      </c>
      <c r="D76" s="132">
        <v>84158</v>
      </c>
      <c r="E76" s="132">
        <v>77270</v>
      </c>
      <c r="F76" s="132">
        <v>98313</v>
      </c>
      <c r="G76" s="132">
        <v>87106</v>
      </c>
      <c r="H76" s="132">
        <v>75559</v>
      </c>
      <c r="I76" s="132">
        <v>53125</v>
      </c>
      <c r="J76" s="132">
        <v>41113</v>
      </c>
      <c r="K76" s="132">
        <v>50976</v>
      </c>
      <c r="L76" s="132">
        <v>47605</v>
      </c>
      <c r="M76" s="132">
        <v>34090</v>
      </c>
    </row>
    <row r="77" spans="1:13" x14ac:dyDescent="0.3">
      <c r="A77" s="71" t="s">
        <v>314</v>
      </c>
      <c r="B77" s="135">
        <v>545</v>
      </c>
      <c r="C77" s="132">
        <v>577</v>
      </c>
      <c r="D77" s="132">
        <v>32005</v>
      </c>
      <c r="E77" s="132">
        <v>29386</v>
      </c>
      <c r="F77" s="132">
        <v>504</v>
      </c>
      <c r="G77" s="132">
        <v>447</v>
      </c>
      <c r="H77" s="132">
        <v>34310</v>
      </c>
      <c r="I77" s="132">
        <v>24123</v>
      </c>
      <c r="J77" s="132">
        <v>21023</v>
      </c>
      <c r="K77" s="132">
        <v>20665</v>
      </c>
      <c r="L77" s="132">
        <v>19299</v>
      </c>
      <c r="M77" s="132">
        <v>13820</v>
      </c>
    </row>
    <row r="78" spans="1:13" x14ac:dyDescent="0.3">
      <c r="A78" s="71" t="s">
        <v>315</v>
      </c>
      <c r="B78" s="135">
        <v>545</v>
      </c>
      <c r="C78" s="132">
        <v>577</v>
      </c>
      <c r="D78" s="132">
        <v>32005</v>
      </c>
      <c r="E78" s="132">
        <v>29386</v>
      </c>
      <c r="F78" s="132">
        <v>504</v>
      </c>
      <c r="G78" s="132">
        <v>447</v>
      </c>
      <c r="H78" s="132">
        <v>34310</v>
      </c>
      <c r="I78" s="132">
        <v>24123</v>
      </c>
      <c r="J78" s="132">
        <v>21023</v>
      </c>
      <c r="K78" s="132">
        <v>20665</v>
      </c>
      <c r="L78" s="132">
        <v>19299</v>
      </c>
      <c r="M78" s="132">
        <v>13820</v>
      </c>
    </row>
    <row r="79" spans="1:13" x14ac:dyDescent="0.3">
      <c r="A79" s="71" t="s">
        <v>316</v>
      </c>
      <c r="B79" s="135">
        <v>188378</v>
      </c>
      <c r="C79" s="132">
        <v>141628</v>
      </c>
      <c r="D79" s="132">
        <v>170437</v>
      </c>
      <c r="E79" s="132">
        <v>57288</v>
      </c>
      <c r="F79" s="132">
        <v>84228</v>
      </c>
      <c r="G79" s="132">
        <v>100952</v>
      </c>
      <c r="H79" s="132">
        <v>45861</v>
      </c>
      <c r="I79" s="132">
        <v>36456</v>
      </c>
      <c r="J79" s="132">
        <v>38574</v>
      </c>
      <c r="K79" s="132">
        <v>33728</v>
      </c>
      <c r="L79" s="132">
        <v>34999</v>
      </c>
      <c r="M79" s="132">
        <v>27701</v>
      </c>
    </row>
    <row r="80" spans="1:13" x14ac:dyDescent="0.3">
      <c r="A80" s="71" t="s">
        <v>317</v>
      </c>
      <c r="B80" s="135">
        <v>3810172</v>
      </c>
      <c r="C80" s="132">
        <v>4040503</v>
      </c>
      <c r="D80" s="132">
        <v>3893243</v>
      </c>
      <c r="E80" s="132">
        <v>3481523</v>
      </c>
      <c r="F80" s="132">
        <v>4808932</v>
      </c>
      <c r="G80" s="132">
        <v>4583176</v>
      </c>
      <c r="H80" s="132">
        <v>5748041</v>
      </c>
      <c r="I80" s="132">
        <v>3708414</v>
      </c>
      <c r="J80" s="132">
        <v>4475969</v>
      </c>
      <c r="K80" s="132">
        <v>4463502</v>
      </c>
      <c r="L80" s="132">
        <v>3662570</v>
      </c>
      <c r="M80" s="132">
        <v>3300021</v>
      </c>
    </row>
    <row r="81" spans="1:13" x14ac:dyDescent="0.3">
      <c r="A81" s="71" t="s">
        <v>318</v>
      </c>
      <c r="B81" s="135">
        <v>9245550</v>
      </c>
      <c r="C81" s="132">
        <v>9040100</v>
      </c>
      <c r="D81" s="132">
        <v>9994248</v>
      </c>
      <c r="E81" s="132">
        <v>8581988</v>
      </c>
      <c r="F81" s="132">
        <v>8383529</v>
      </c>
      <c r="G81" s="132">
        <v>7713898</v>
      </c>
      <c r="H81" s="132">
        <v>7846098</v>
      </c>
      <c r="I81" s="132">
        <v>8839034</v>
      </c>
      <c r="J81" s="132">
        <v>7814455</v>
      </c>
      <c r="K81" s="132">
        <v>8766266</v>
      </c>
      <c r="L81" s="132">
        <v>6795129</v>
      </c>
      <c r="M81" s="132">
        <v>6088240</v>
      </c>
    </row>
    <row r="82" spans="1:13" x14ac:dyDescent="0.3">
      <c r="A82" s="71" t="s">
        <v>319</v>
      </c>
      <c r="B82" s="135">
        <v>324387</v>
      </c>
      <c r="C82" s="132">
        <v>290516</v>
      </c>
      <c r="D82" s="132">
        <v>0</v>
      </c>
      <c r="E82" s="132">
        <v>271335</v>
      </c>
      <c r="F82" s="132">
        <v>161181</v>
      </c>
      <c r="G82" s="132">
        <v>0</v>
      </c>
      <c r="H82" s="132">
        <v>309606</v>
      </c>
      <c r="I82" s="132">
        <v>241230</v>
      </c>
      <c r="J82" s="132">
        <v>234130</v>
      </c>
      <c r="K82" s="132">
        <v>208152</v>
      </c>
      <c r="L82" s="132">
        <v>230519</v>
      </c>
      <c r="M82" s="132">
        <v>178094</v>
      </c>
    </row>
    <row r="83" spans="1:13" x14ac:dyDescent="0.3">
      <c r="A83" s="71" t="s">
        <v>320</v>
      </c>
      <c r="B83" s="135">
        <v>0</v>
      </c>
      <c r="C83" s="132">
        <v>150000</v>
      </c>
      <c r="D83" s="132">
        <v>165000</v>
      </c>
      <c r="E83" s="132">
        <v>138000</v>
      </c>
      <c r="F83" s="132">
        <v>159000</v>
      </c>
      <c r="G83" s="132">
        <v>156000</v>
      </c>
      <c r="H83" s="132">
        <v>168000</v>
      </c>
      <c r="I83" s="132">
        <v>131250</v>
      </c>
      <c r="J83" s="132">
        <v>131250</v>
      </c>
      <c r="K83" s="132">
        <v>136500</v>
      </c>
      <c r="L83" s="132">
        <v>110250</v>
      </c>
      <c r="M83" s="132">
        <v>87870</v>
      </c>
    </row>
    <row r="84" spans="1:13" x14ac:dyDescent="0.3">
      <c r="A84" s="71" t="s">
        <v>321</v>
      </c>
      <c r="B84" s="135">
        <v>42646</v>
      </c>
      <c r="C84" s="132">
        <v>76839</v>
      </c>
      <c r="D84" s="132">
        <v>100679</v>
      </c>
      <c r="E84" s="132">
        <v>73196</v>
      </c>
      <c r="F84" s="132">
        <v>82084</v>
      </c>
      <c r="G84" s="132">
        <v>75004</v>
      </c>
      <c r="H84" s="132">
        <v>76595</v>
      </c>
      <c r="I84" s="132">
        <v>59928</v>
      </c>
      <c r="J84" s="132">
        <v>69928</v>
      </c>
      <c r="K84" s="132">
        <v>39573</v>
      </c>
      <c r="L84" s="132">
        <v>34911</v>
      </c>
      <c r="M84" s="132">
        <v>0</v>
      </c>
    </row>
    <row r="85" spans="1:13" x14ac:dyDescent="0.3">
      <c r="A85" s="71" t="s">
        <v>322</v>
      </c>
      <c r="B85" s="135">
        <v>42646</v>
      </c>
      <c r="C85" s="132">
        <v>76839</v>
      </c>
      <c r="D85" s="132">
        <v>100679</v>
      </c>
      <c r="E85" s="132">
        <v>73196</v>
      </c>
      <c r="F85" s="132">
        <v>82084</v>
      </c>
      <c r="G85" s="132">
        <v>75004</v>
      </c>
      <c r="H85" s="132">
        <v>76595</v>
      </c>
      <c r="I85" s="132">
        <v>59928</v>
      </c>
      <c r="J85" s="132">
        <v>69928</v>
      </c>
      <c r="K85" s="132">
        <v>39573</v>
      </c>
      <c r="L85" s="132">
        <v>34911</v>
      </c>
      <c r="M85" s="132">
        <v>0</v>
      </c>
    </row>
    <row r="86" spans="1:13" x14ac:dyDescent="0.3">
      <c r="A86" s="71" t="s">
        <v>323</v>
      </c>
      <c r="B86" s="135">
        <v>35861</v>
      </c>
      <c r="C86" s="132">
        <v>59760</v>
      </c>
      <c r="D86" s="132">
        <v>66572</v>
      </c>
      <c r="E86" s="132">
        <v>55071</v>
      </c>
      <c r="F86" s="132">
        <v>62383</v>
      </c>
      <c r="G86" s="132">
        <v>57586</v>
      </c>
      <c r="H86" s="132">
        <v>57985</v>
      </c>
      <c r="I86" s="132">
        <v>45367</v>
      </c>
      <c r="J86" s="132">
        <v>52938</v>
      </c>
      <c r="K86" s="132">
        <v>38405</v>
      </c>
      <c r="L86" s="132">
        <v>33881</v>
      </c>
      <c r="M86" s="132">
        <v>37969</v>
      </c>
    </row>
    <row r="87" spans="1:13" x14ac:dyDescent="0.3">
      <c r="A87" s="71" t="s">
        <v>324</v>
      </c>
      <c r="B87" s="135">
        <v>35861</v>
      </c>
      <c r="C87" s="132">
        <v>59760</v>
      </c>
      <c r="D87" s="132">
        <v>66572</v>
      </c>
      <c r="E87" s="132">
        <v>55071</v>
      </c>
      <c r="F87" s="132">
        <v>62383</v>
      </c>
      <c r="G87" s="132">
        <v>57586</v>
      </c>
      <c r="H87" s="132">
        <v>57985</v>
      </c>
      <c r="I87" s="132">
        <v>45367</v>
      </c>
      <c r="J87" s="132">
        <v>52938</v>
      </c>
      <c r="K87" s="132">
        <v>38405</v>
      </c>
      <c r="L87" s="132">
        <v>33881</v>
      </c>
      <c r="M87" s="132">
        <v>37969</v>
      </c>
    </row>
    <row r="88" spans="1:13" x14ac:dyDescent="0.3">
      <c r="A88" s="71" t="s">
        <v>325</v>
      </c>
      <c r="B88" s="135">
        <v>4500</v>
      </c>
      <c r="C88" s="132">
        <v>13800</v>
      </c>
      <c r="D88" s="132">
        <v>11250</v>
      </c>
      <c r="E88" s="132">
        <v>9450</v>
      </c>
      <c r="F88" s="132">
        <v>10800</v>
      </c>
      <c r="G88" s="132">
        <v>10800</v>
      </c>
      <c r="H88" s="132">
        <v>11400</v>
      </c>
      <c r="I88" s="132">
        <v>9000</v>
      </c>
      <c r="J88" s="132">
        <v>10200</v>
      </c>
      <c r="K88" s="132">
        <v>10200</v>
      </c>
      <c r="L88" s="132">
        <v>9000</v>
      </c>
      <c r="M88" s="132">
        <v>7605</v>
      </c>
    </row>
    <row r="89" spans="1:13" x14ac:dyDescent="0.3">
      <c r="A89" s="71" t="s">
        <v>326</v>
      </c>
      <c r="B89" s="135">
        <v>85829</v>
      </c>
      <c r="C89" s="132">
        <v>93883</v>
      </c>
      <c r="D89" s="132">
        <v>82690</v>
      </c>
      <c r="E89" s="132">
        <v>53161</v>
      </c>
      <c r="F89" s="132">
        <v>68487</v>
      </c>
      <c r="G89" s="132">
        <v>60680</v>
      </c>
      <c r="H89" s="132">
        <v>29757</v>
      </c>
      <c r="I89" s="132">
        <v>20921</v>
      </c>
      <c r="J89" s="132">
        <v>18233</v>
      </c>
      <c r="K89" s="132">
        <v>56073</v>
      </c>
      <c r="L89" s="132">
        <v>52365</v>
      </c>
      <c r="M89" s="132">
        <v>37499</v>
      </c>
    </row>
    <row r="90" spans="1:13" x14ac:dyDescent="0.3">
      <c r="A90" s="71" t="s">
        <v>327</v>
      </c>
      <c r="B90" s="135">
        <v>179678</v>
      </c>
      <c r="C90" s="132">
        <v>236254</v>
      </c>
      <c r="D90" s="132">
        <v>134867</v>
      </c>
      <c r="E90" s="132">
        <v>67750</v>
      </c>
      <c r="F90" s="132">
        <v>78198</v>
      </c>
      <c r="G90" s="132">
        <v>76580</v>
      </c>
      <c r="H90" s="132">
        <v>41314</v>
      </c>
      <c r="I90" s="132">
        <v>30227</v>
      </c>
      <c r="J90" s="132">
        <v>28673</v>
      </c>
      <c r="K90" s="132">
        <v>27704</v>
      </c>
      <c r="L90" s="132">
        <v>23885</v>
      </c>
      <c r="M90" s="132">
        <v>23963</v>
      </c>
    </row>
    <row r="91" spans="1:13" x14ac:dyDescent="0.3">
      <c r="A91" s="71" t="s">
        <v>328</v>
      </c>
      <c r="B91" s="135">
        <v>179678</v>
      </c>
      <c r="C91" s="132">
        <v>236254</v>
      </c>
      <c r="D91" s="132">
        <v>134867</v>
      </c>
      <c r="E91" s="132">
        <v>67750</v>
      </c>
      <c r="F91" s="132">
        <v>78198</v>
      </c>
      <c r="G91" s="132">
        <v>76580</v>
      </c>
      <c r="H91" s="132">
        <v>41314</v>
      </c>
      <c r="I91" s="132">
        <v>30227</v>
      </c>
      <c r="J91" s="132">
        <v>28673</v>
      </c>
      <c r="K91" s="132">
        <v>27704</v>
      </c>
      <c r="L91" s="132">
        <v>23885</v>
      </c>
      <c r="M91" s="132">
        <v>23963</v>
      </c>
    </row>
    <row r="92" spans="1:13" x14ac:dyDescent="0.3">
      <c r="A92" s="71" t="s">
        <v>329</v>
      </c>
      <c r="B92" s="135">
        <v>6761</v>
      </c>
      <c r="C92" s="132">
        <v>20544</v>
      </c>
      <c r="D92" s="132">
        <v>36147</v>
      </c>
      <c r="E92" s="132">
        <v>17061</v>
      </c>
      <c r="F92" s="132">
        <v>21612</v>
      </c>
      <c r="G92" s="132">
        <v>114329</v>
      </c>
      <c r="H92" s="132">
        <v>18806</v>
      </c>
      <c r="I92" s="132">
        <v>14714</v>
      </c>
      <c r="J92" s="132">
        <v>17169</v>
      </c>
      <c r="K92" s="132">
        <v>16867</v>
      </c>
      <c r="L92" s="132">
        <v>14880</v>
      </c>
      <c r="M92" s="132">
        <v>16676</v>
      </c>
    </row>
    <row r="93" spans="1:13" x14ac:dyDescent="0.3">
      <c r="A93" s="71" t="s">
        <v>330</v>
      </c>
      <c r="B93" s="135">
        <v>48500</v>
      </c>
      <c r="C93" s="132">
        <v>80821</v>
      </c>
      <c r="D93" s="132">
        <v>90035</v>
      </c>
      <c r="E93" s="132">
        <v>74480</v>
      </c>
      <c r="F93" s="132">
        <v>78343</v>
      </c>
      <c r="G93" s="132">
        <v>72933</v>
      </c>
      <c r="H93" s="132">
        <v>74479</v>
      </c>
      <c r="I93" s="132">
        <v>58273</v>
      </c>
      <c r="J93" s="132">
        <v>67997</v>
      </c>
      <c r="K93" s="132">
        <v>85542</v>
      </c>
      <c r="L93" s="132">
        <v>75465</v>
      </c>
      <c r="M93" s="132">
        <v>84571</v>
      </c>
    </row>
    <row r="94" spans="1:13" x14ac:dyDescent="0.3">
      <c r="A94" s="71" t="s">
        <v>331</v>
      </c>
      <c r="B94" s="135">
        <v>48500</v>
      </c>
      <c r="C94" s="132">
        <v>80821</v>
      </c>
      <c r="D94" s="132">
        <v>90035</v>
      </c>
      <c r="E94" s="132">
        <v>74480</v>
      </c>
      <c r="F94" s="132">
        <v>78343</v>
      </c>
      <c r="G94" s="132">
        <v>72933</v>
      </c>
      <c r="H94" s="132">
        <v>74479</v>
      </c>
      <c r="I94" s="132">
        <v>58273</v>
      </c>
      <c r="J94" s="132">
        <v>67997</v>
      </c>
      <c r="K94" s="132">
        <v>85542</v>
      </c>
      <c r="L94" s="132">
        <v>75465</v>
      </c>
      <c r="M94" s="132">
        <v>84571</v>
      </c>
    </row>
    <row r="95" spans="1:13" x14ac:dyDescent="0.3">
      <c r="A95" s="71" t="s">
        <v>332</v>
      </c>
      <c r="B95" s="135">
        <v>0</v>
      </c>
      <c r="C95" s="132">
        <v>5168</v>
      </c>
      <c r="D95" s="132">
        <v>5579</v>
      </c>
      <c r="E95" s="132">
        <v>4994</v>
      </c>
      <c r="F95" s="132">
        <v>5833</v>
      </c>
      <c r="G95" s="132">
        <v>5864</v>
      </c>
      <c r="H95" s="132">
        <v>10480</v>
      </c>
      <c r="I95" s="132">
        <v>3841</v>
      </c>
      <c r="J95" s="132">
        <v>4481</v>
      </c>
      <c r="K95" s="132">
        <v>4862</v>
      </c>
      <c r="L95" s="132">
        <v>3315</v>
      </c>
      <c r="M95" s="132">
        <v>2901</v>
      </c>
    </row>
    <row r="96" spans="1:13" x14ac:dyDescent="0.3">
      <c r="A96" s="71" t="s">
        <v>333</v>
      </c>
      <c r="B96" s="135">
        <v>4970</v>
      </c>
      <c r="C96" s="132">
        <v>5118</v>
      </c>
      <c r="D96" s="132">
        <v>5525</v>
      </c>
      <c r="E96" s="132">
        <v>4945</v>
      </c>
      <c r="F96" s="132">
        <v>5777</v>
      </c>
      <c r="G96" s="132">
        <v>5807</v>
      </c>
      <c r="H96" s="132">
        <v>10146</v>
      </c>
      <c r="I96" s="132">
        <v>3719</v>
      </c>
      <c r="J96" s="132">
        <v>4338</v>
      </c>
      <c r="K96" s="132">
        <v>4707</v>
      </c>
      <c r="L96" s="132">
        <v>3209</v>
      </c>
      <c r="M96" s="132">
        <v>2808</v>
      </c>
    </row>
    <row r="97" spans="1:13" x14ac:dyDescent="0.3">
      <c r="A97" s="71" t="s">
        <v>334</v>
      </c>
      <c r="B97" s="135">
        <v>33341</v>
      </c>
      <c r="C97" s="132">
        <v>39720</v>
      </c>
      <c r="D97" s="132">
        <v>38835</v>
      </c>
      <c r="E97" s="132">
        <v>34762</v>
      </c>
      <c r="F97" s="132">
        <v>40531</v>
      </c>
      <c r="G97" s="132">
        <v>40175</v>
      </c>
      <c r="H97" s="132">
        <v>32184</v>
      </c>
      <c r="I97" s="132">
        <v>11796</v>
      </c>
      <c r="J97" s="132">
        <v>13762</v>
      </c>
      <c r="K97" s="132">
        <v>14931</v>
      </c>
      <c r="L97" s="132">
        <v>10180</v>
      </c>
      <c r="M97" s="132">
        <v>8908</v>
      </c>
    </row>
    <row r="98" spans="1:13" x14ac:dyDescent="0.3">
      <c r="A98" s="71" t="s">
        <v>335</v>
      </c>
      <c r="B98" s="135">
        <v>42116</v>
      </c>
      <c r="C98" s="132">
        <v>40773</v>
      </c>
      <c r="D98" s="132">
        <v>40731</v>
      </c>
      <c r="E98" s="132">
        <v>36459</v>
      </c>
      <c r="F98" s="132">
        <v>42514</v>
      </c>
      <c r="G98" s="132">
        <v>42148</v>
      </c>
      <c r="H98" s="132">
        <v>33637</v>
      </c>
      <c r="I98" s="132">
        <v>12329</v>
      </c>
      <c r="J98" s="132">
        <v>14383</v>
      </c>
      <c r="K98" s="132">
        <v>15605</v>
      </c>
      <c r="L98" s="132">
        <v>10640</v>
      </c>
      <c r="M98" s="132">
        <v>9310</v>
      </c>
    </row>
    <row r="99" spans="1:13" x14ac:dyDescent="0.3">
      <c r="A99" s="71" t="s">
        <v>336</v>
      </c>
      <c r="B99" s="135">
        <v>167340</v>
      </c>
      <c r="C99" s="132">
        <v>39519</v>
      </c>
      <c r="D99" s="132">
        <v>0</v>
      </c>
      <c r="E99" s="132">
        <v>0</v>
      </c>
      <c r="F99" s="132">
        <v>0</v>
      </c>
      <c r="G99" s="132">
        <v>0</v>
      </c>
      <c r="H99" s="132">
        <v>0</v>
      </c>
      <c r="I99" s="132">
        <v>0</v>
      </c>
      <c r="J99" s="132">
        <v>0</v>
      </c>
      <c r="K99" s="132">
        <v>0</v>
      </c>
      <c r="L99" s="132">
        <v>0</v>
      </c>
      <c r="M99" s="132">
        <v>0</v>
      </c>
    </row>
    <row r="100" spans="1:13" x14ac:dyDescent="0.3">
      <c r="A100" s="71" t="s">
        <v>337</v>
      </c>
      <c r="B100" s="135">
        <v>127392</v>
      </c>
      <c r="C100" s="132">
        <v>0</v>
      </c>
      <c r="D100" s="132">
        <v>0</v>
      </c>
      <c r="E100" s="132">
        <v>0</v>
      </c>
      <c r="F100" s="132">
        <v>0</v>
      </c>
      <c r="G100" s="132">
        <v>0</v>
      </c>
      <c r="H100" s="132">
        <v>0</v>
      </c>
      <c r="I100" s="132">
        <v>0</v>
      </c>
      <c r="J100" s="132">
        <v>0</v>
      </c>
      <c r="K100" s="132">
        <v>0</v>
      </c>
      <c r="L100" s="132">
        <v>0</v>
      </c>
      <c r="M100" s="132">
        <v>0</v>
      </c>
    </row>
    <row r="101" spans="1:13" x14ac:dyDescent="0.3">
      <c r="A101" s="71" t="s">
        <v>338</v>
      </c>
      <c r="B101" s="135">
        <v>207860</v>
      </c>
      <c r="C101" s="132">
        <v>0</v>
      </c>
      <c r="D101" s="132">
        <v>0</v>
      </c>
      <c r="E101" s="132">
        <v>0</v>
      </c>
      <c r="F101" s="132">
        <v>0</v>
      </c>
      <c r="G101" s="132">
        <v>0</v>
      </c>
      <c r="H101" s="132">
        <v>0</v>
      </c>
      <c r="I101" s="132">
        <v>0</v>
      </c>
      <c r="J101" s="132">
        <v>0</v>
      </c>
      <c r="K101" s="132">
        <v>0</v>
      </c>
      <c r="L101" s="132">
        <v>0</v>
      </c>
      <c r="M101" s="132">
        <v>0</v>
      </c>
    </row>
    <row r="102" spans="1:13" x14ac:dyDescent="0.3">
      <c r="A102" s="71" t="s">
        <v>339</v>
      </c>
      <c r="B102" s="135">
        <v>206858</v>
      </c>
      <c r="C102" s="132">
        <v>0</v>
      </c>
      <c r="D102" s="132">
        <v>0</v>
      </c>
      <c r="E102" s="132">
        <v>0</v>
      </c>
      <c r="F102" s="132">
        <v>0</v>
      </c>
      <c r="G102" s="132">
        <v>0</v>
      </c>
      <c r="H102" s="132">
        <v>0</v>
      </c>
      <c r="I102" s="132">
        <v>0</v>
      </c>
      <c r="J102" s="132">
        <v>0</v>
      </c>
      <c r="K102" s="132">
        <v>0</v>
      </c>
      <c r="L102" s="132">
        <v>0</v>
      </c>
      <c r="M102" s="132">
        <v>0</v>
      </c>
    </row>
    <row r="103" spans="1:13" x14ac:dyDescent="0.3">
      <c r="A103" s="71" t="s">
        <v>340</v>
      </c>
      <c r="B103" s="135">
        <v>88344</v>
      </c>
      <c r="C103" s="132">
        <v>44202</v>
      </c>
      <c r="D103" s="132">
        <v>0</v>
      </c>
      <c r="E103" s="132">
        <v>0</v>
      </c>
      <c r="F103" s="132">
        <v>0</v>
      </c>
      <c r="G103" s="132">
        <v>0</v>
      </c>
      <c r="H103" s="132">
        <v>0</v>
      </c>
      <c r="I103" s="132">
        <v>0</v>
      </c>
      <c r="J103" s="132">
        <v>0</v>
      </c>
      <c r="K103" s="132">
        <v>0</v>
      </c>
      <c r="L103" s="132">
        <v>0</v>
      </c>
      <c r="M103" s="132">
        <v>0</v>
      </c>
    </row>
    <row r="104" spans="1:13" x14ac:dyDescent="0.3">
      <c r="A104" s="71" t="s">
        <v>341</v>
      </c>
      <c r="B104" s="135">
        <v>71816</v>
      </c>
      <c r="C104" s="132">
        <v>16724</v>
      </c>
      <c r="D104" s="132">
        <v>0</v>
      </c>
      <c r="E104" s="132">
        <v>0</v>
      </c>
      <c r="F104" s="132">
        <v>0</v>
      </c>
      <c r="G104" s="132">
        <v>0</v>
      </c>
      <c r="H104" s="132">
        <v>0</v>
      </c>
      <c r="I104" s="132">
        <v>0</v>
      </c>
      <c r="J104" s="132">
        <v>0</v>
      </c>
      <c r="K104" s="132">
        <v>0</v>
      </c>
      <c r="L104" s="132">
        <v>0</v>
      </c>
      <c r="M104" s="132">
        <v>0</v>
      </c>
    </row>
    <row r="105" spans="1:13" x14ac:dyDescent="0.3">
      <c r="A105" s="71" t="s">
        <v>342</v>
      </c>
      <c r="B105" s="135">
        <v>26877</v>
      </c>
      <c r="C105" s="132">
        <v>17075</v>
      </c>
      <c r="D105" s="132">
        <v>24933</v>
      </c>
      <c r="E105" s="132">
        <v>23239</v>
      </c>
      <c r="F105" s="132">
        <v>27109</v>
      </c>
      <c r="G105" s="132">
        <v>27175</v>
      </c>
      <c r="H105" s="132">
        <v>22019</v>
      </c>
      <c r="I105" s="132">
        <v>8070</v>
      </c>
      <c r="J105" s="132">
        <v>9415</v>
      </c>
      <c r="K105" s="132">
        <v>10215</v>
      </c>
      <c r="L105" s="132">
        <v>6965</v>
      </c>
      <c r="M105" s="132">
        <v>6094</v>
      </c>
    </row>
    <row r="106" spans="1:13" x14ac:dyDescent="0.3">
      <c r="A106" s="71" t="s">
        <v>343</v>
      </c>
      <c r="B106" s="135">
        <v>27634</v>
      </c>
      <c r="C106" s="132">
        <v>26056</v>
      </c>
      <c r="D106" s="132">
        <v>25908</v>
      </c>
      <c r="E106" s="132">
        <v>23191</v>
      </c>
      <c r="F106" s="132">
        <v>27052</v>
      </c>
      <c r="G106" s="132">
        <v>27137</v>
      </c>
      <c r="H106" s="132">
        <v>21999</v>
      </c>
      <c r="I106" s="132">
        <v>8063</v>
      </c>
      <c r="J106" s="132">
        <v>9407</v>
      </c>
      <c r="K106" s="132">
        <v>10206</v>
      </c>
      <c r="L106" s="132">
        <v>6959</v>
      </c>
      <c r="M106" s="132">
        <v>6089</v>
      </c>
    </row>
    <row r="107" spans="1:13" x14ac:dyDescent="0.3">
      <c r="A107" s="71" t="s">
        <v>344</v>
      </c>
      <c r="B107" s="135">
        <v>4623</v>
      </c>
      <c r="C107" s="132">
        <v>1672</v>
      </c>
      <c r="D107" s="132">
        <v>1065</v>
      </c>
      <c r="E107" s="132">
        <v>953</v>
      </c>
      <c r="F107" s="132">
        <v>1038</v>
      </c>
      <c r="G107" s="132">
        <v>1082</v>
      </c>
      <c r="H107" s="132">
        <v>2159</v>
      </c>
      <c r="I107" s="132">
        <v>791</v>
      </c>
      <c r="J107" s="132">
        <v>923</v>
      </c>
      <c r="K107" s="132">
        <v>2103</v>
      </c>
      <c r="L107" s="132">
        <v>1434</v>
      </c>
      <c r="M107" s="132">
        <v>1255</v>
      </c>
    </row>
    <row r="108" spans="1:13" x14ac:dyDescent="0.3">
      <c r="A108" s="71" t="s">
        <v>345</v>
      </c>
      <c r="B108" s="135">
        <v>3661</v>
      </c>
      <c r="C108" s="132">
        <v>0</v>
      </c>
      <c r="D108" s="132">
        <v>0</v>
      </c>
      <c r="E108" s="132">
        <v>0</v>
      </c>
      <c r="F108" s="132">
        <v>0</v>
      </c>
      <c r="G108" s="132">
        <v>0</v>
      </c>
      <c r="H108" s="132">
        <v>0</v>
      </c>
      <c r="I108" s="132">
        <v>0</v>
      </c>
      <c r="J108" s="132">
        <v>0</v>
      </c>
      <c r="K108" s="132">
        <v>2103</v>
      </c>
      <c r="L108" s="132">
        <v>1434</v>
      </c>
      <c r="M108" s="132">
        <v>1255</v>
      </c>
    </row>
    <row r="109" spans="1:13" x14ac:dyDescent="0.3">
      <c r="A109" s="71" t="s">
        <v>346</v>
      </c>
      <c r="B109" s="135">
        <v>18777</v>
      </c>
      <c r="C109" s="132">
        <v>21842</v>
      </c>
      <c r="D109" s="132">
        <v>26233</v>
      </c>
      <c r="E109" s="132">
        <v>23482</v>
      </c>
      <c r="F109" s="132">
        <v>27336</v>
      </c>
      <c r="G109" s="132">
        <v>27346</v>
      </c>
      <c r="H109" s="132">
        <v>29928</v>
      </c>
      <c r="I109" s="132">
        <v>10969</v>
      </c>
      <c r="J109" s="132">
        <v>12797</v>
      </c>
      <c r="K109" s="132">
        <v>7365</v>
      </c>
      <c r="L109" s="132">
        <v>5022</v>
      </c>
      <c r="M109" s="132">
        <v>4394</v>
      </c>
    </row>
    <row r="110" spans="1:13" x14ac:dyDescent="0.3">
      <c r="A110" s="71" t="s">
        <v>347</v>
      </c>
      <c r="B110" s="135">
        <v>25016</v>
      </c>
      <c r="C110" s="132">
        <v>27377</v>
      </c>
      <c r="D110" s="132">
        <v>26360</v>
      </c>
      <c r="E110" s="132">
        <v>23595</v>
      </c>
      <c r="F110" s="132">
        <v>27487</v>
      </c>
      <c r="G110" s="132">
        <v>27517</v>
      </c>
      <c r="H110" s="132">
        <v>30379</v>
      </c>
      <c r="I110" s="132">
        <v>11135</v>
      </c>
      <c r="J110" s="132">
        <v>12990</v>
      </c>
      <c r="K110" s="132">
        <v>7365</v>
      </c>
      <c r="L110" s="132">
        <v>5022</v>
      </c>
      <c r="M110" s="132">
        <v>4394</v>
      </c>
    </row>
    <row r="111" spans="1:13" x14ac:dyDescent="0.3">
      <c r="A111" s="71" t="s">
        <v>348</v>
      </c>
      <c r="B111" s="135">
        <v>11311</v>
      </c>
      <c r="C111" s="132">
        <v>0</v>
      </c>
      <c r="D111" s="132">
        <v>0</v>
      </c>
      <c r="E111" s="132">
        <v>0</v>
      </c>
      <c r="F111" s="132">
        <v>0</v>
      </c>
      <c r="G111" s="132">
        <v>0</v>
      </c>
      <c r="H111" s="132">
        <v>0</v>
      </c>
      <c r="I111" s="132">
        <v>0</v>
      </c>
      <c r="J111" s="132">
        <v>0</v>
      </c>
      <c r="K111" s="132">
        <v>21058</v>
      </c>
      <c r="L111" s="132">
        <v>14358</v>
      </c>
      <c r="M111" s="132">
        <v>12564</v>
      </c>
    </row>
    <row r="112" spans="1:13" x14ac:dyDescent="0.3">
      <c r="A112" s="71" t="s">
        <v>349</v>
      </c>
      <c r="B112" s="135">
        <v>8182</v>
      </c>
      <c r="C112" s="132">
        <v>0</v>
      </c>
      <c r="D112" s="132">
        <v>0</v>
      </c>
      <c r="E112" s="132">
        <v>0</v>
      </c>
      <c r="F112" s="132">
        <v>0</v>
      </c>
      <c r="G112" s="132">
        <v>0</v>
      </c>
      <c r="H112" s="132">
        <v>0</v>
      </c>
      <c r="I112" s="132">
        <v>0</v>
      </c>
      <c r="J112" s="132">
        <v>0</v>
      </c>
      <c r="K112" s="132">
        <v>21058</v>
      </c>
      <c r="L112" s="132">
        <v>14358</v>
      </c>
      <c r="M112" s="132">
        <v>12564</v>
      </c>
    </row>
    <row r="113" spans="1:13" x14ac:dyDescent="0.3">
      <c r="A113" s="71" t="s">
        <v>350</v>
      </c>
      <c r="B113" s="135">
        <v>111642</v>
      </c>
      <c r="C113" s="132">
        <v>93889</v>
      </c>
      <c r="D113" s="132">
        <v>50607</v>
      </c>
      <c r="E113" s="132">
        <v>15741</v>
      </c>
      <c r="F113" s="132">
        <v>0</v>
      </c>
      <c r="G113" s="132">
        <v>0</v>
      </c>
      <c r="H113" s="132">
        <v>0</v>
      </c>
      <c r="I113" s="132">
        <v>0</v>
      </c>
      <c r="J113" s="132">
        <v>0</v>
      </c>
      <c r="K113" s="132">
        <v>15787</v>
      </c>
      <c r="L113" s="132">
        <v>10764</v>
      </c>
      <c r="M113" s="132">
        <v>9419</v>
      </c>
    </row>
    <row r="114" spans="1:13" x14ac:dyDescent="0.3">
      <c r="A114" s="71" t="s">
        <v>351</v>
      </c>
      <c r="B114" s="135">
        <v>127330</v>
      </c>
      <c r="C114" s="132">
        <v>18480</v>
      </c>
      <c r="D114" s="132">
        <v>0</v>
      </c>
      <c r="E114" s="132">
        <v>3636</v>
      </c>
      <c r="F114" s="132">
        <v>0</v>
      </c>
      <c r="G114" s="132">
        <v>0</v>
      </c>
      <c r="H114" s="132">
        <v>0</v>
      </c>
      <c r="I114" s="132">
        <v>0</v>
      </c>
      <c r="J114" s="132">
        <v>0</v>
      </c>
      <c r="K114" s="132">
        <v>15787</v>
      </c>
      <c r="L114" s="132">
        <v>10764</v>
      </c>
      <c r="M114" s="132">
        <v>9419</v>
      </c>
    </row>
    <row r="115" spans="1:13" x14ac:dyDescent="0.3">
      <c r="A115" s="71" t="s">
        <v>352</v>
      </c>
      <c r="B115" s="135">
        <v>21375</v>
      </c>
      <c r="C115" s="132">
        <v>25253</v>
      </c>
      <c r="D115" s="132">
        <v>8305</v>
      </c>
      <c r="E115" s="132">
        <v>1616</v>
      </c>
      <c r="F115" s="132">
        <v>0</v>
      </c>
      <c r="G115" s="132">
        <v>0</v>
      </c>
      <c r="H115" s="132">
        <v>0</v>
      </c>
      <c r="I115" s="132">
        <v>0</v>
      </c>
      <c r="J115" s="132">
        <v>0</v>
      </c>
      <c r="K115" s="132">
        <v>5262</v>
      </c>
      <c r="L115" s="132">
        <v>3588</v>
      </c>
      <c r="M115" s="132">
        <v>3140</v>
      </c>
    </row>
    <row r="116" spans="1:13" x14ac:dyDescent="0.3">
      <c r="A116" s="71" t="s">
        <v>353</v>
      </c>
      <c r="B116" s="135">
        <v>38618</v>
      </c>
      <c r="C116" s="132">
        <v>37646</v>
      </c>
      <c r="D116" s="132">
        <v>13090</v>
      </c>
      <c r="E116" s="132">
        <v>2036</v>
      </c>
      <c r="F116" s="132">
        <v>0</v>
      </c>
      <c r="G116" s="132">
        <v>0</v>
      </c>
      <c r="H116" s="132">
        <v>0</v>
      </c>
      <c r="I116" s="132">
        <v>0</v>
      </c>
      <c r="J116" s="132">
        <v>0</v>
      </c>
      <c r="K116" s="132">
        <v>5262</v>
      </c>
      <c r="L116" s="132">
        <v>3588</v>
      </c>
      <c r="M116" s="132">
        <v>3140</v>
      </c>
    </row>
    <row r="117" spans="1:13" x14ac:dyDescent="0.3">
      <c r="A117" s="71" t="s">
        <v>354</v>
      </c>
      <c r="B117" s="135">
        <v>13868</v>
      </c>
      <c r="C117" s="132">
        <v>6489</v>
      </c>
      <c r="D117" s="132">
        <v>1228</v>
      </c>
      <c r="E117" s="132">
        <v>0</v>
      </c>
      <c r="F117" s="132">
        <v>0</v>
      </c>
      <c r="G117" s="132">
        <v>0</v>
      </c>
      <c r="H117" s="132">
        <v>0</v>
      </c>
      <c r="I117" s="132">
        <v>0</v>
      </c>
      <c r="J117" s="132">
        <v>0</v>
      </c>
      <c r="K117" s="132">
        <v>1056</v>
      </c>
      <c r="L117" s="132">
        <v>720</v>
      </c>
      <c r="M117" s="132">
        <v>630</v>
      </c>
    </row>
    <row r="118" spans="1:13" x14ac:dyDescent="0.3">
      <c r="A118" s="71" t="s">
        <v>355</v>
      </c>
      <c r="B118" s="135">
        <v>11536</v>
      </c>
      <c r="C118" s="132">
        <v>6221</v>
      </c>
      <c r="D118" s="132">
        <v>3105</v>
      </c>
      <c r="E118" s="132">
        <v>840</v>
      </c>
      <c r="F118" s="132">
        <v>0</v>
      </c>
      <c r="G118" s="132">
        <v>0</v>
      </c>
      <c r="H118" s="132">
        <v>0</v>
      </c>
      <c r="I118" s="132">
        <v>0</v>
      </c>
      <c r="J118" s="132">
        <v>0</v>
      </c>
      <c r="K118" s="132">
        <v>1056</v>
      </c>
      <c r="L118" s="132">
        <v>720</v>
      </c>
      <c r="M118" s="132">
        <v>630</v>
      </c>
    </row>
    <row r="119" spans="1:13" x14ac:dyDescent="0.3">
      <c r="A119" s="71" t="s">
        <v>356</v>
      </c>
      <c r="B119" s="135">
        <v>1227</v>
      </c>
      <c r="C119" s="132">
        <v>0</v>
      </c>
      <c r="D119" s="132">
        <v>885</v>
      </c>
      <c r="E119" s="132">
        <v>792</v>
      </c>
      <c r="F119" s="132">
        <v>963</v>
      </c>
      <c r="G119" s="132">
        <v>1006</v>
      </c>
      <c r="H119" s="132">
        <v>883</v>
      </c>
      <c r="I119" s="132">
        <v>324</v>
      </c>
      <c r="J119" s="132">
        <v>378</v>
      </c>
      <c r="K119" s="132">
        <v>410</v>
      </c>
      <c r="L119" s="132">
        <v>279</v>
      </c>
      <c r="M119" s="132">
        <v>244</v>
      </c>
    </row>
    <row r="120" spans="1:13" x14ac:dyDescent="0.3">
      <c r="A120" s="71" t="s">
        <v>357</v>
      </c>
      <c r="B120" s="135">
        <v>0</v>
      </c>
      <c r="C120" s="132">
        <v>0</v>
      </c>
      <c r="D120" s="132">
        <v>704</v>
      </c>
      <c r="E120" s="132">
        <v>630</v>
      </c>
      <c r="F120" s="132">
        <v>944</v>
      </c>
      <c r="G120" s="132">
        <v>1006</v>
      </c>
      <c r="H120" s="132">
        <v>863</v>
      </c>
      <c r="I120" s="132">
        <v>316</v>
      </c>
      <c r="J120" s="132">
        <v>369</v>
      </c>
      <c r="K120" s="132">
        <v>401</v>
      </c>
      <c r="L120" s="132">
        <v>273</v>
      </c>
      <c r="M120" s="132">
        <v>239</v>
      </c>
    </row>
    <row r="121" spans="1:13" x14ac:dyDescent="0.3">
      <c r="A121" s="71" t="s">
        <v>358</v>
      </c>
      <c r="B121" s="135">
        <v>6136</v>
      </c>
      <c r="C121" s="132">
        <v>0</v>
      </c>
      <c r="D121" s="132">
        <v>4044</v>
      </c>
      <c r="E121" s="132">
        <v>3620</v>
      </c>
      <c r="F121" s="132">
        <v>4304</v>
      </c>
      <c r="G121" s="132">
        <v>4896</v>
      </c>
      <c r="H121" s="132">
        <v>3670</v>
      </c>
      <c r="I121" s="132">
        <v>1345</v>
      </c>
      <c r="J121" s="132">
        <v>1569</v>
      </c>
      <c r="K121" s="132">
        <v>1702</v>
      </c>
      <c r="L121" s="132">
        <v>1161</v>
      </c>
      <c r="M121" s="132">
        <v>1016</v>
      </c>
    </row>
    <row r="122" spans="1:13" x14ac:dyDescent="0.3">
      <c r="A122" s="71" t="s">
        <v>359</v>
      </c>
      <c r="B122" s="135">
        <v>5114</v>
      </c>
      <c r="C122" s="132">
        <v>1003</v>
      </c>
      <c r="D122" s="132">
        <v>4369</v>
      </c>
      <c r="E122" s="132">
        <v>3911</v>
      </c>
      <c r="F122" s="132">
        <v>4644</v>
      </c>
      <c r="G122" s="132">
        <v>5257</v>
      </c>
      <c r="H122" s="132">
        <v>3984</v>
      </c>
      <c r="I122" s="132">
        <v>1460</v>
      </c>
      <c r="J122" s="132">
        <v>1704</v>
      </c>
      <c r="K122" s="132">
        <v>1848</v>
      </c>
      <c r="L122" s="132">
        <v>1260</v>
      </c>
      <c r="M122" s="132">
        <v>1103</v>
      </c>
    </row>
    <row r="123" spans="1:13" x14ac:dyDescent="0.3">
      <c r="A123" s="71" t="s">
        <v>360</v>
      </c>
      <c r="B123" s="135">
        <v>55637</v>
      </c>
      <c r="C123" s="132">
        <v>85293</v>
      </c>
      <c r="D123" s="132">
        <v>60032</v>
      </c>
      <c r="E123" s="132">
        <v>53735</v>
      </c>
      <c r="F123" s="132">
        <v>63638</v>
      </c>
      <c r="G123" s="132">
        <v>85113</v>
      </c>
      <c r="H123" s="132">
        <v>51633</v>
      </c>
      <c r="I123" s="132">
        <v>18924</v>
      </c>
      <c r="J123" s="132">
        <v>22078</v>
      </c>
      <c r="K123" s="132">
        <v>23953</v>
      </c>
      <c r="L123" s="132">
        <v>16332</v>
      </c>
      <c r="M123" s="132">
        <v>14291</v>
      </c>
    </row>
    <row r="124" spans="1:13" x14ac:dyDescent="0.3">
      <c r="A124" s="71" t="s">
        <v>361</v>
      </c>
      <c r="B124" s="135">
        <v>51955</v>
      </c>
      <c r="C124" s="132">
        <v>95327</v>
      </c>
      <c r="D124" s="132">
        <v>61350</v>
      </c>
      <c r="E124" s="132">
        <v>54915</v>
      </c>
      <c r="F124" s="132">
        <v>65054</v>
      </c>
      <c r="G124" s="132">
        <v>87257</v>
      </c>
      <c r="H124" s="132">
        <v>52712</v>
      </c>
      <c r="I124" s="132">
        <v>19320</v>
      </c>
      <c r="J124" s="132">
        <v>22540</v>
      </c>
      <c r="K124" s="132">
        <v>24454</v>
      </c>
      <c r="L124" s="132">
        <v>16673</v>
      </c>
      <c r="M124" s="132">
        <v>14590</v>
      </c>
    </row>
    <row r="125" spans="1:13" x14ac:dyDescent="0.3">
      <c r="A125" s="71" t="s">
        <v>362</v>
      </c>
      <c r="B125" s="135">
        <v>27818</v>
      </c>
      <c r="C125" s="132">
        <v>18062</v>
      </c>
      <c r="D125" s="132">
        <v>25421</v>
      </c>
      <c r="E125" s="132">
        <v>22755</v>
      </c>
      <c r="F125" s="132">
        <v>26656</v>
      </c>
      <c r="G125" s="132">
        <v>28978</v>
      </c>
      <c r="H125" s="132">
        <v>21607</v>
      </c>
      <c r="I125" s="132">
        <v>7919</v>
      </c>
      <c r="J125" s="132">
        <v>9239</v>
      </c>
      <c r="K125" s="132">
        <v>10024</v>
      </c>
      <c r="L125" s="132">
        <v>6834</v>
      </c>
      <c r="M125" s="132">
        <v>5980</v>
      </c>
    </row>
    <row r="126" spans="1:13" x14ac:dyDescent="0.3">
      <c r="A126" s="71" t="s">
        <v>363</v>
      </c>
      <c r="B126" s="135">
        <v>31909</v>
      </c>
      <c r="C126" s="132">
        <v>18062</v>
      </c>
      <c r="D126" s="132">
        <v>25529</v>
      </c>
      <c r="E126" s="132">
        <v>22852</v>
      </c>
      <c r="F126" s="132">
        <v>27052</v>
      </c>
      <c r="G126" s="132">
        <v>29699</v>
      </c>
      <c r="H126" s="132">
        <v>23118</v>
      </c>
      <c r="I126" s="132">
        <v>8473</v>
      </c>
      <c r="J126" s="132">
        <v>9885</v>
      </c>
      <c r="K126" s="132">
        <v>10725</v>
      </c>
      <c r="L126" s="132">
        <v>7312</v>
      </c>
      <c r="M126" s="132">
        <v>6399</v>
      </c>
    </row>
    <row r="127" spans="1:13" x14ac:dyDescent="0.3">
      <c r="A127" s="71" t="s">
        <v>364</v>
      </c>
      <c r="B127" s="135">
        <v>7773</v>
      </c>
      <c r="C127" s="132">
        <v>1003</v>
      </c>
      <c r="D127" s="132">
        <v>7240</v>
      </c>
      <c r="E127" s="132">
        <v>6481</v>
      </c>
      <c r="F127" s="132">
        <v>7702</v>
      </c>
      <c r="G127" s="132">
        <v>8122</v>
      </c>
      <c r="H127" s="132">
        <v>6731</v>
      </c>
      <c r="I127" s="132">
        <v>2467</v>
      </c>
      <c r="J127" s="132">
        <v>2878</v>
      </c>
      <c r="K127" s="132">
        <v>3123</v>
      </c>
      <c r="L127" s="132">
        <v>2129</v>
      </c>
      <c r="M127" s="132">
        <v>1863</v>
      </c>
    </row>
    <row r="128" spans="1:13" x14ac:dyDescent="0.3">
      <c r="A128" s="71" t="s">
        <v>365</v>
      </c>
      <c r="B128" s="135">
        <v>7364</v>
      </c>
      <c r="C128" s="132">
        <v>0</v>
      </c>
      <c r="D128" s="132">
        <v>8052</v>
      </c>
      <c r="E128" s="132">
        <v>7208</v>
      </c>
      <c r="F128" s="132">
        <v>8552</v>
      </c>
      <c r="G128" s="132">
        <v>9014</v>
      </c>
      <c r="H128" s="132">
        <v>7438</v>
      </c>
      <c r="I128" s="132">
        <v>2726</v>
      </c>
      <c r="J128" s="132">
        <v>3180</v>
      </c>
      <c r="K128" s="132">
        <v>3451</v>
      </c>
      <c r="L128" s="132">
        <v>2353</v>
      </c>
      <c r="M128" s="132">
        <v>2059</v>
      </c>
    </row>
    <row r="129" spans="1:13" x14ac:dyDescent="0.3">
      <c r="A129" s="71" t="s">
        <v>366</v>
      </c>
      <c r="B129" s="135">
        <v>3682</v>
      </c>
      <c r="C129" s="132">
        <v>0</v>
      </c>
      <c r="D129" s="132">
        <v>1986</v>
      </c>
      <c r="E129" s="132">
        <v>1778</v>
      </c>
      <c r="F129" s="132">
        <v>2114</v>
      </c>
      <c r="G129" s="132">
        <v>2201</v>
      </c>
      <c r="H129" s="132">
        <v>1923</v>
      </c>
      <c r="I129" s="132">
        <v>705</v>
      </c>
      <c r="J129" s="132">
        <v>822</v>
      </c>
      <c r="K129" s="132">
        <v>892</v>
      </c>
      <c r="L129" s="132">
        <v>608</v>
      </c>
      <c r="M129" s="132">
        <v>532</v>
      </c>
    </row>
    <row r="130" spans="1:13" x14ac:dyDescent="0.3">
      <c r="A130" s="71" t="s">
        <v>367</v>
      </c>
      <c r="B130" s="135">
        <v>4909</v>
      </c>
      <c r="C130" s="132">
        <v>0</v>
      </c>
      <c r="D130" s="132">
        <v>2221</v>
      </c>
      <c r="E130" s="132">
        <v>1988</v>
      </c>
      <c r="F130" s="132">
        <v>2360</v>
      </c>
      <c r="G130" s="132">
        <v>2429</v>
      </c>
      <c r="H130" s="132">
        <v>2119</v>
      </c>
      <c r="I130" s="132">
        <v>777</v>
      </c>
      <c r="J130" s="132">
        <v>906</v>
      </c>
      <c r="K130" s="132">
        <v>983</v>
      </c>
      <c r="L130" s="132">
        <v>670</v>
      </c>
      <c r="M130" s="132">
        <v>587</v>
      </c>
    </row>
    <row r="131" spans="1:13" x14ac:dyDescent="0.3">
      <c r="A131" s="71" t="s">
        <v>368</v>
      </c>
      <c r="B131" s="135">
        <v>0</v>
      </c>
      <c r="C131" s="132">
        <v>0</v>
      </c>
      <c r="D131" s="132">
        <v>740</v>
      </c>
      <c r="E131" s="132">
        <v>663</v>
      </c>
      <c r="F131" s="132">
        <v>850</v>
      </c>
      <c r="G131" s="132">
        <v>816</v>
      </c>
      <c r="H131" s="132">
        <v>824</v>
      </c>
      <c r="I131" s="132">
        <v>302</v>
      </c>
      <c r="J131" s="132">
        <v>352</v>
      </c>
      <c r="K131" s="132">
        <v>2003</v>
      </c>
      <c r="L131" s="132">
        <v>1366</v>
      </c>
      <c r="M131" s="132">
        <v>1195</v>
      </c>
    </row>
    <row r="132" spans="1:13" x14ac:dyDescent="0.3">
      <c r="A132" s="71" t="s">
        <v>369</v>
      </c>
      <c r="B132" s="135">
        <v>389</v>
      </c>
      <c r="C132" s="132">
        <v>0</v>
      </c>
      <c r="D132" s="132">
        <v>542</v>
      </c>
      <c r="E132" s="132">
        <v>485</v>
      </c>
      <c r="F132" s="132">
        <v>566</v>
      </c>
      <c r="G132" s="132">
        <v>569</v>
      </c>
      <c r="H132" s="132">
        <v>589</v>
      </c>
      <c r="I132" s="132">
        <v>216</v>
      </c>
      <c r="J132" s="132">
        <v>252</v>
      </c>
      <c r="K132" s="132">
        <v>2003</v>
      </c>
      <c r="L132" s="132">
        <v>1366</v>
      </c>
      <c r="M132" s="132">
        <v>1195</v>
      </c>
    </row>
    <row r="133" spans="1:13" x14ac:dyDescent="0.3">
      <c r="A133" s="71" t="s">
        <v>370</v>
      </c>
      <c r="B133" s="135">
        <v>35591</v>
      </c>
      <c r="C133" s="132">
        <v>0</v>
      </c>
      <c r="D133" s="132">
        <v>4532</v>
      </c>
      <c r="E133" s="132">
        <v>4056</v>
      </c>
      <c r="F133" s="132">
        <v>4833</v>
      </c>
      <c r="G133" s="132">
        <v>4991</v>
      </c>
      <c r="H133" s="132">
        <v>5573</v>
      </c>
      <c r="I133" s="132">
        <v>2043</v>
      </c>
      <c r="J133" s="132">
        <v>2383</v>
      </c>
      <c r="K133" s="132">
        <v>7028</v>
      </c>
      <c r="L133" s="132">
        <v>4792</v>
      </c>
      <c r="M133" s="132">
        <v>4193</v>
      </c>
    </row>
    <row r="134" spans="1:13" x14ac:dyDescent="0.3">
      <c r="A134" s="71" t="s">
        <v>371</v>
      </c>
      <c r="B134" s="135">
        <v>33137</v>
      </c>
      <c r="C134" s="132">
        <v>22728</v>
      </c>
      <c r="D134" s="132">
        <v>4279</v>
      </c>
      <c r="E134" s="132">
        <v>3830</v>
      </c>
      <c r="F134" s="132">
        <v>4550</v>
      </c>
      <c r="G134" s="132">
        <v>4687</v>
      </c>
      <c r="H134" s="132">
        <v>5259</v>
      </c>
      <c r="I134" s="132">
        <v>1928</v>
      </c>
      <c r="J134" s="132">
        <v>2249</v>
      </c>
      <c r="K134" s="132">
        <v>7028</v>
      </c>
      <c r="L134" s="132">
        <v>4792</v>
      </c>
      <c r="M134" s="132">
        <v>4193</v>
      </c>
    </row>
    <row r="135" spans="1:13" x14ac:dyDescent="0.3">
      <c r="A135" s="71" t="s">
        <v>372</v>
      </c>
      <c r="B135" s="135">
        <v>19023</v>
      </c>
      <c r="C135" s="132">
        <v>4014</v>
      </c>
      <c r="D135" s="132">
        <v>14913</v>
      </c>
      <c r="E135" s="132">
        <v>13349</v>
      </c>
      <c r="F135" s="132">
        <v>15895</v>
      </c>
      <c r="G135" s="132">
        <v>16586</v>
      </c>
      <c r="H135" s="132">
        <v>18094</v>
      </c>
      <c r="I135" s="132">
        <v>6632</v>
      </c>
      <c r="J135" s="132">
        <v>7737</v>
      </c>
      <c r="K135" s="132">
        <v>20084</v>
      </c>
      <c r="L135" s="132">
        <v>13694</v>
      </c>
      <c r="M135" s="132">
        <v>11982</v>
      </c>
    </row>
    <row r="136" spans="1:13" x14ac:dyDescent="0.3">
      <c r="A136" s="71" t="s">
        <v>373</v>
      </c>
      <c r="B136" s="135">
        <v>34364</v>
      </c>
      <c r="C136" s="132">
        <v>1003</v>
      </c>
      <c r="D136" s="132">
        <v>15816</v>
      </c>
      <c r="E136" s="132">
        <v>14157</v>
      </c>
      <c r="F136" s="132">
        <v>16330</v>
      </c>
      <c r="G136" s="132">
        <v>16757</v>
      </c>
      <c r="H136" s="132">
        <v>16936</v>
      </c>
      <c r="I136" s="132">
        <v>6207</v>
      </c>
      <c r="J136" s="132">
        <v>7242</v>
      </c>
      <c r="K136" s="132">
        <v>20084</v>
      </c>
      <c r="L136" s="132">
        <v>13694</v>
      </c>
      <c r="M136" s="132">
        <v>11982</v>
      </c>
    </row>
    <row r="137" spans="1:13" x14ac:dyDescent="0.3">
      <c r="A137" s="71" t="s">
        <v>374</v>
      </c>
      <c r="B137" s="135">
        <v>31091</v>
      </c>
      <c r="C137" s="132">
        <v>2007</v>
      </c>
      <c r="D137" s="132">
        <v>15346</v>
      </c>
      <c r="E137" s="132">
        <v>0</v>
      </c>
      <c r="F137" s="132">
        <v>0</v>
      </c>
      <c r="G137" s="132">
        <v>0</v>
      </c>
      <c r="H137" s="132">
        <v>0</v>
      </c>
      <c r="I137" s="132">
        <v>0</v>
      </c>
      <c r="J137" s="132">
        <v>0</v>
      </c>
      <c r="K137" s="132">
        <v>15058</v>
      </c>
      <c r="L137" s="132">
        <v>10267</v>
      </c>
      <c r="M137" s="132">
        <v>8984</v>
      </c>
    </row>
    <row r="138" spans="1:13" x14ac:dyDescent="0.3">
      <c r="A138" s="71" t="s">
        <v>375</v>
      </c>
      <c r="B138" s="135">
        <v>29557</v>
      </c>
      <c r="C138" s="132">
        <v>25186</v>
      </c>
      <c r="D138" s="132">
        <v>30891</v>
      </c>
      <c r="E138" s="132">
        <v>0</v>
      </c>
      <c r="F138" s="132">
        <v>0</v>
      </c>
      <c r="G138" s="132">
        <v>0</v>
      </c>
      <c r="H138" s="132">
        <v>0</v>
      </c>
      <c r="I138" s="132">
        <v>0</v>
      </c>
      <c r="J138" s="132">
        <v>0</v>
      </c>
      <c r="K138" s="132">
        <v>15058</v>
      </c>
      <c r="L138" s="132">
        <v>10267</v>
      </c>
      <c r="M138" s="132">
        <v>8984</v>
      </c>
    </row>
    <row r="139" spans="1:13" x14ac:dyDescent="0.3">
      <c r="A139" s="71" t="s">
        <v>376</v>
      </c>
      <c r="B139" s="135">
        <v>8448</v>
      </c>
      <c r="C139" s="132">
        <v>2776</v>
      </c>
      <c r="D139" s="132">
        <v>5651</v>
      </c>
      <c r="E139" s="132">
        <v>0</v>
      </c>
      <c r="F139" s="132">
        <v>0</v>
      </c>
      <c r="G139" s="132">
        <v>0</v>
      </c>
      <c r="H139" s="132">
        <v>0</v>
      </c>
      <c r="I139" s="132">
        <v>0</v>
      </c>
      <c r="J139" s="132">
        <v>0</v>
      </c>
      <c r="K139" s="132">
        <v>5026</v>
      </c>
      <c r="L139" s="132">
        <v>3427</v>
      </c>
      <c r="M139" s="132">
        <v>2998</v>
      </c>
    </row>
    <row r="140" spans="1:13" x14ac:dyDescent="0.3">
      <c r="A140" s="71" t="s">
        <v>377</v>
      </c>
      <c r="B140" s="135">
        <v>9000</v>
      </c>
      <c r="C140" s="132">
        <v>0</v>
      </c>
      <c r="D140" s="132">
        <v>5814</v>
      </c>
      <c r="E140" s="132">
        <v>0</v>
      </c>
      <c r="F140" s="132">
        <v>0</v>
      </c>
      <c r="G140" s="132">
        <v>0</v>
      </c>
      <c r="H140" s="132">
        <v>0</v>
      </c>
      <c r="I140" s="132">
        <v>0</v>
      </c>
      <c r="J140" s="132">
        <v>0</v>
      </c>
      <c r="K140" s="132">
        <v>5026</v>
      </c>
      <c r="L140" s="132">
        <v>3427</v>
      </c>
      <c r="M140" s="132">
        <v>2998</v>
      </c>
    </row>
    <row r="141" spans="1:13" x14ac:dyDescent="0.3">
      <c r="A141" s="71" t="s">
        <v>378</v>
      </c>
      <c r="B141" s="135">
        <v>2802</v>
      </c>
      <c r="C141" s="132">
        <v>3997</v>
      </c>
      <c r="D141" s="132">
        <v>3069</v>
      </c>
      <c r="E141" s="132">
        <v>0</v>
      </c>
      <c r="F141" s="132">
        <v>0</v>
      </c>
      <c r="G141" s="132">
        <v>0</v>
      </c>
      <c r="H141" s="132">
        <v>0</v>
      </c>
      <c r="I141" s="132">
        <v>0</v>
      </c>
      <c r="J141" s="132">
        <v>0</v>
      </c>
      <c r="K141" s="132">
        <v>1011</v>
      </c>
      <c r="L141" s="132">
        <v>689</v>
      </c>
      <c r="M141" s="132">
        <v>603</v>
      </c>
    </row>
    <row r="142" spans="1:13" x14ac:dyDescent="0.3">
      <c r="A142" s="71" t="s">
        <v>379</v>
      </c>
      <c r="B142" s="135">
        <v>4766</v>
      </c>
      <c r="C142" s="132">
        <v>3997</v>
      </c>
      <c r="D142" s="132">
        <v>2979</v>
      </c>
      <c r="E142" s="132">
        <v>0</v>
      </c>
      <c r="F142" s="132">
        <v>0</v>
      </c>
      <c r="G142" s="132">
        <v>0</v>
      </c>
      <c r="H142" s="132">
        <v>0</v>
      </c>
      <c r="I142" s="132">
        <v>0</v>
      </c>
      <c r="J142" s="132">
        <v>0</v>
      </c>
      <c r="K142" s="132">
        <v>1011</v>
      </c>
      <c r="L142" s="132">
        <v>689</v>
      </c>
      <c r="M142" s="132">
        <v>603</v>
      </c>
    </row>
    <row r="143" spans="1:13" x14ac:dyDescent="0.3">
      <c r="A143" s="71" t="s">
        <v>380</v>
      </c>
      <c r="B143" s="135">
        <v>1698</v>
      </c>
      <c r="C143" s="132">
        <v>3562</v>
      </c>
      <c r="D143" s="132">
        <v>1354</v>
      </c>
      <c r="E143" s="132">
        <v>2149</v>
      </c>
      <c r="F143" s="132">
        <v>0</v>
      </c>
      <c r="G143" s="132">
        <v>0</v>
      </c>
      <c r="H143" s="132">
        <v>0</v>
      </c>
      <c r="I143" s="132">
        <v>0</v>
      </c>
      <c r="J143" s="132">
        <v>0</v>
      </c>
      <c r="K143" s="132">
        <v>637</v>
      </c>
      <c r="L143" s="132">
        <v>435</v>
      </c>
      <c r="M143" s="132">
        <v>380</v>
      </c>
    </row>
    <row r="144" spans="1:13" x14ac:dyDescent="0.3">
      <c r="A144" s="71" t="s">
        <v>381</v>
      </c>
      <c r="B144" s="135">
        <v>1820</v>
      </c>
      <c r="C144" s="132">
        <v>3629</v>
      </c>
      <c r="D144" s="132">
        <v>1336</v>
      </c>
      <c r="E144" s="132">
        <v>2133</v>
      </c>
      <c r="F144" s="132">
        <v>0</v>
      </c>
      <c r="G144" s="132">
        <v>0</v>
      </c>
      <c r="H144" s="132">
        <v>0</v>
      </c>
      <c r="I144" s="132">
        <v>0</v>
      </c>
      <c r="J144" s="132">
        <v>0</v>
      </c>
      <c r="K144" s="132">
        <v>637</v>
      </c>
      <c r="L144" s="132">
        <v>435</v>
      </c>
      <c r="M144" s="132">
        <v>380</v>
      </c>
    </row>
    <row r="145" spans="1:13" x14ac:dyDescent="0.3">
      <c r="A145" s="71" t="s">
        <v>382</v>
      </c>
      <c r="B145" s="135">
        <v>0</v>
      </c>
      <c r="C145" s="132">
        <v>0</v>
      </c>
      <c r="D145" s="132">
        <v>0</v>
      </c>
      <c r="E145" s="132">
        <v>0</v>
      </c>
      <c r="F145" s="132">
        <v>0</v>
      </c>
      <c r="G145" s="132">
        <v>0</v>
      </c>
      <c r="H145" s="132">
        <v>0</v>
      </c>
      <c r="I145" s="132">
        <v>0</v>
      </c>
      <c r="J145" s="132">
        <v>0</v>
      </c>
      <c r="K145" s="132">
        <v>0</v>
      </c>
      <c r="L145" s="132">
        <v>0</v>
      </c>
      <c r="M145" s="132">
        <v>0</v>
      </c>
    </row>
    <row r="146" spans="1:13" x14ac:dyDescent="0.3">
      <c r="A146" s="71" t="s">
        <v>383</v>
      </c>
      <c r="B146" s="135">
        <v>3293</v>
      </c>
      <c r="C146" s="132">
        <v>8814</v>
      </c>
      <c r="D146" s="132">
        <v>1029</v>
      </c>
      <c r="E146" s="132">
        <v>0</v>
      </c>
      <c r="F146" s="132">
        <v>0</v>
      </c>
      <c r="G146" s="132">
        <v>0</v>
      </c>
      <c r="H146" s="132">
        <v>0</v>
      </c>
      <c r="I146" s="132">
        <v>0</v>
      </c>
      <c r="J146" s="132">
        <v>0</v>
      </c>
      <c r="K146" s="132">
        <v>0</v>
      </c>
      <c r="L146" s="132">
        <v>0</v>
      </c>
      <c r="M146" s="132">
        <v>0</v>
      </c>
    </row>
    <row r="147" spans="1:13" x14ac:dyDescent="0.3">
      <c r="A147" s="71" t="s">
        <v>384</v>
      </c>
      <c r="B147" s="135">
        <v>89055</v>
      </c>
      <c r="C147" s="132">
        <v>74118</v>
      </c>
      <c r="D147" s="132">
        <v>73991</v>
      </c>
      <c r="E147" s="132">
        <v>81386</v>
      </c>
      <c r="F147" s="132">
        <v>80292</v>
      </c>
      <c r="G147" s="132">
        <v>80924</v>
      </c>
      <c r="H147" s="132">
        <v>52404</v>
      </c>
      <c r="I147" s="132">
        <v>25924</v>
      </c>
      <c r="J147" s="132">
        <v>29848</v>
      </c>
      <c r="K147" s="132">
        <v>29502</v>
      </c>
      <c r="L147" s="132">
        <v>24168</v>
      </c>
      <c r="M147" s="132">
        <v>17319</v>
      </c>
    </row>
    <row r="148" spans="1:13" x14ac:dyDescent="0.3">
      <c r="A148" s="71" t="s">
        <v>385</v>
      </c>
      <c r="B148" s="135">
        <v>22189</v>
      </c>
      <c r="C148" s="132">
        <v>5213</v>
      </c>
      <c r="D148" s="132">
        <v>19411</v>
      </c>
      <c r="E148" s="132">
        <v>13129</v>
      </c>
      <c r="F148" s="132">
        <v>19303</v>
      </c>
      <c r="G148" s="132">
        <v>23136</v>
      </c>
      <c r="H148" s="132">
        <v>23504</v>
      </c>
      <c r="I148" s="132">
        <v>18684</v>
      </c>
      <c r="J148" s="132">
        <v>19769</v>
      </c>
      <c r="K148" s="132">
        <v>18235</v>
      </c>
      <c r="L148" s="132">
        <v>18922</v>
      </c>
      <c r="M148" s="132">
        <v>14977</v>
      </c>
    </row>
    <row r="149" spans="1:13" x14ac:dyDescent="0.3">
      <c r="A149" s="71" t="s">
        <v>386</v>
      </c>
      <c r="B149" s="135">
        <v>690000</v>
      </c>
      <c r="C149" s="132">
        <v>720000</v>
      </c>
      <c r="D149" s="132">
        <v>810000</v>
      </c>
      <c r="E149" s="132">
        <v>690000</v>
      </c>
      <c r="F149" s="132">
        <v>780000</v>
      </c>
      <c r="G149" s="132">
        <v>780000</v>
      </c>
      <c r="H149" s="132">
        <v>570000</v>
      </c>
      <c r="I149" s="132">
        <v>390000</v>
      </c>
      <c r="J149" s="132">
        <v>450000</v>
      </c>
      <c r="K149" s="132">
        <v>367500</v>
      </c>
      <c r="L149" s="132">
        <v>393750</v>
      </c>
      <c r="M149" s="132">
        <v>367830</v>
      </c>
    </row>
    <row r="150" spans="1:13" x14ac:dyDescent="0.3">
      <c r="A150" s="71" t="s">
        <v>387</v>
      </c>
      <c r="B150" s="135">
        <v>690000</v>
      </c>
      <c r="C150" s="132">
        <v>720000</v>
      </c>
      <c r="D150" s="132">
        <v>810000</v>
      </c>
      <c r="E150" s="132">
        <v>690000</v>
      </c>
      <c r="F150" s="132">
        <v>780000</v>
      </c>
      <c r="G150" s="132">
        <v>780000</v>
      </c>
      <c r="H150" s="132">
        <v>570000</v>
      </c>
      <c r="I150" s="132">
        <v>390000</v>
      </c>
      <c r="J150" s="132">
        <v>450000</v>
      </c>
      <c r="K150" s="132">
        <v>367500</v>
      </c>
      <c r="L150" s="132">
        <v>393750</v>
      </c>
      <c r="M150" s="132">
        <v>367830</v>
      </c>
    </row>
    <row r="151" spans="1:13" x14ac:dyDescent="0.3">
      <c r="A151" s="71" t="s">
        <v>388</v>
      </c>
      <c r="B151" s="135">
        <v>34275</v>
      </c>
      <c r="C151" s="132">
        <v>35147</v>
      </c>
      <c r="D151" s="132">
        <v>163306</v>
      </c>
      <c r="E151" s="132">
        <v>56425</v>
      </c>
      <c r="F151" s="132">
        <v>64357</v>
      </c>
      <c r="G151" s="132">
        <v>61804</v>
      </c>
      <c r="H151" s="132">
        <v>67857</v>
      </c>
      <c r="I151" s="132">
        <v>57021</v>
      </c>
      <c r="J151" s="132">
        <v>27952</v>
      </c>
      <c r="K151" s="132">
        <v>27430</v>
      </c>
      <c r="L151" s="132">
        <v>21883</v>
      </c>
      <c r="M151" s="132">
        <v>13859</v>
      </c>
    </row>
    <row r="152" spans="1:13" x14ac:dyDescent="0.3">
      <c r="A152" s="71" t="s">
        <v>389</v>
      </c>
      <c r="B152" s="135">
        <v>34275</v>
      </c>
      <c r="C152" s="132">
        <v>35147</v>
      </c>
      <c r="D152" s="132">
        <v>163306</v>
      </c>
      <c r="E152" s="132">
        <v>56425</v>
      </c>
      <c r="F152" s="132">
        <v>64357</v>
      </c>
      <c r="G152" s="132">
        <v>61804</v>
      </c>
      <c r="H152" s="132">
        <v>67857</v>
      </c>
      <c r="I152" s="132">
        <v>57021</v>
      </c>
      <c r="J152" s="132">
        <v>27952</v>
      </c>
      <c r="K152" s="132">
        <v>27430</v>
      </c>
      <c r="L152" s="132">
        <v>21883</v>
      </c>
      <c r="M152" s="132">
        <v>13859</v>
      </c>
    </row>
    <row r="153" spans="1:13" x14ac:dyDescent="0.3">
      <c r="A153" s="71" t="s">
        <v>390</v>
      </c>
      <c r="B153" s="135">
        <v>54119</v>
      </c>
      <c r="C153" s="132">
        <v>0</v>
      </c>
      <c r="D153" s="132">
        <v>31515</v>
      </c>
      <c r="E153" s="132">
        <v>52065</v>
      </c>
      <c r="F153" s="132">
        <v>54119</v>
      </c>
      <c r="G153" s="132">
        <v>52533</v>
      </c>
      <c r="H153" s="132">
        <v>57679</v>
      </c>
      <c r="I153" s="132">
        <v>48468</v>
      </c>
      <c r="J153" s="132">
        <v>23759</v>
      </c>
      <c r="K153" s="132">
        <v>49873</v>
      </c>
      <c r="L153" s="132">
        <v>39788</v>
      </c>
      <c r="M153" s="132">
        <v>25198</v>
      </c>
    </row>
    <row r="154" spans="1:13" x14ac:dyDescent="0.3">
      <c r="A154" s="71" t="s">
        <v>391</v>
      </c>
      <c r="B154" s="135">
        <v>54119</v>
      </c>
      <c r="C154" s="132">
        <v>0</v>
      </c>
      <c r="D154" s="132">
        <v>31515</v>
      </c>
      <c r="E154" s="132">
        <v>52065</v>
      </c>
      <c r="F154" s="132">
        <v>54119</v>
      </c>
      <c r="G154" s="132">
        <v>52533</v>
      </c>
      <c r="H154" s="132">
        <v>57679</v>
      </c>
      <c r="I154" s="132">
        <v>48468</v>
      </c>
      <c r="J154" s="132">
        <v>23759</v>
      </c>
      <c r="K154" s="132">
        <v>49873</v>
      </c>
      <c r="L154" s="132">
        <v>39788</v>
      </c>
      <c r="M154" s="132">
        <v>25198</v>
      </c>
    </row>
    <row r="155" spans="1:13" x14ac:dyDescent="0.3">
      <c r="A155" s="71" t="s">
        <v>392</v>
      </c>
      <c r="B155" s="135">
        <v>6505</v>
      </c>
      <c r="C155" s="132">
        <v>14165</v>
      </c>
      <c r="D155" s="132">
        <v>15094</v>
      </c>
      <c r="E155" s="132">
        <v>13511</v>
      </c>
      <c r="F155" s="132">
        <v>15782</v>
      </c>
      <c r="G155" s="132">
        <v>15865</v>
      </c>
      <c r="H155" s="132">
        <v>17172</v>
      </c>
      <c r="I155" s="132">
        <v>6294</v>
      </c>
      <c r="J155" s="132">
        <v>7343</v>
      </c>
      <c r="K155" s="132">
        <v>1247</v>
      </c>
      <c r="L155" s="132">
        <v>850</v>
      </c>
      <c r="M155" s="132">
        <v>744</v>
      </c>
    </row>
    <row r="156" spans="1:13" x14ac:dyDescent="0.3">
      <c r="A156" s="71" t="s">
        <v>393</v>
      </c>
      <c r="B156" s="135">
        <v>8100</v>
      </c>
      <c r="C156" s="132">
        <v>12593</v>
      </c>
      <c r="D156" s="132">
        <v>13595</v>
      </c>
      <c r="E156" s="132">
        <v>12169</v>
      </c>
      <c r="F156" s="132">
        <v>14215</v>
      </c>
      <c r="G156" s="132">
        <v>14290</v>
      </c>
      <c r="H156" s="132">
        <v>14817</v>
      </c>
      <c r="I156" s="132">
        <v>5431</v>
      </c>
      <c r="J156" s="132">
        <v>6336</v>
      </c>
      <c r="K156" s="132">
        <v>1247</v>
      </c>
      <c r="L156" s="132">
        <v>850</v>
      </c>
      <c r="M156" s="132">
        <v>744</v>
      </c>
    </row>
    <row r="157" spans="1:13" x14ac:dyDescent="0.3">
      <c r="A157" s="71" t="s">
        <v>394</v>
      </c>
      <c r="B157" s="135">
        <v>10902</v>
      </c>
      <c r="C157" s="132">
        <v>0</v>
      </c>
      <c r="D157" s="132">
        <v>33509</v>
      </c>
      <c r="E157" s="132">
        <v>29995</v>
      </c>
      <c r="F157" s="132">
        <v>35038</v>
      </c>
      <c r="G157" s="132">
        <v>35222</v>
      </c>
      <c r="H157" s="132">
        <v>36423</v>
      </c>
      <c r="I157" s="132">
        <v>13350</v>
      </c>
      <c r="J157" s="132">
        <v>15575</v>
      </c>
      <c r="K157" s="132">
        <v>4379</v>
      </c>
      <c r="L157" s="132">
        <v>2986</v>
      </c>
      <c r="M157" s="132">
        <v>2613</v>
      </c>
    </row>
    <row r="158" spans="1:13" x14ac:dyDescent="0.3">
      <c r="A158" s="71" t="s">
        <v>395</v>
      </c>
      <c r="B158" s="135">
        <v>11332</v>
      </c>
      <c r="C158" s="132">
        <v>28163</v>
      </c>
      <c r="D158" s="132">
        <v>33166</v>
      </c>
      <c r="E158" s="132">
        <v>29688</v>
      </c>
      <c r="F158" s="132">
        <v>34679</v>
      </c>
      <c r="G158" s="132">
        <v>34861</v>
      </c>
      <c r="H158" s="132">
        <v>36051</v>
      </c>
      <c r="I158" s="132">
        <v>13213</v>
      </c>
      <c r="J158" s="132">
        <v>15416</v>
      </c>
      <c r="K158" s="132">
        <v>4379</v>
      </c>
      <c r="L158" s="132">
        <v>2986</v>
      </c>
      <c r="M158" s="132">
        <v>2613</v>
      </c>
    </row>
    <row r="159" spans="1:13" x14ac:dyDescent="0.3">
      <c r="A159" s="71" t="s">
        <v>396</v>
      </c>
      <c r="B159" s="135">
        <v>151426</v>
      </c>
      <c r="C159" s="132">
        <v>154079</v>
      </c>
      <c r="D159" s="132">
        <v>187967</v>
      </c>
      <c r="E159" s="132">
        <v>168251</v>
      </c>
      <c r="F159" s="132">
        <v>196749</v>
      </c>
      <c r="G159" s="132">
        <v>197439</v>
      </c>
      <c r="H159" s="132">
        <v>213929</v>
      </c>
      <c r="I159" s="132">
        <v>78409</v>
      </c>
      <c r="J159" s="132">
        <v>91478</v>
      </c>
      <c r="K159" s="132">
        <v>12509</v>
      </c>
      <c r="L159" s="132">
        <v>8529</v>
      </c>
      <c r="M159" s="132">
        <v>7463</v>
      </c>
    </row>
    <row r="160" spans="1:13" x14ac:dyDescent="0.3">
      <c r="A160" s="71" t="s">
        <v>397</v>
      </c>
    </row>
    <row r="161" spans="1:1" x14ac:dyDescent="0.3">
      <c r="A161" s="71" t="s">
        <v>398</v>
      </c>
    </row>
    <row r="162" spans="1:1" x14ac:dyDescent="0.3">
      <c r="A162" s="71" t="s">
        <v>399</v>
      </c>
    </row>
    <row r="163" spans="1:1" x14ac:dyDescent="0.3">
      <c r="A163" s="71" t="s">
        <v>400</v>
      </c>
    </row>
    <row r="164" spans="1:1" x14ac:dyDescent="0.3">
      <c r="A164" s="71" t="s">
        <v>401</v>
      </c>
    </row>
    <row r="165" spans="1:1" x14ac:dyDescent="0.3">
      <c r="A165" s="71" t="s">
        <v>402</v>
      </c>
    </row>
    <row r="166" spans="1:1" x14ac:dyDescent="0.3">
      <c r="A166" s="71" t="s">
        <v>403</v>
      </c>
    </row>
    <row r="167" spans="1:1" x14ac:dyDescent="0.3">
      <c r="A167" s="71" t="s">
        <v>404</v>
      </c>
    </row>
    <row r="168" spans="1:1" x14ac:dyDescent="0.3">
      <c r="A168" s="71" t="s">
        <v>405</v>
      </c>
    </row>
    <row r="169" spans="1:1" x14ac:dyDescent="0.3">
      <c r="A169" s="71" t="s">
        <v>406</v>
      </c>
    </row>
    <row r="170" spans="1:1" x14ac:dyDescent="0.3">
      <c r="A170" s="71" t="s">
        <v>407</v>
      </c>
    </row>
    <row r="171" spans="1:1" x14ac:dyDescent="0.3">
      <c r="A171" s="71" t="s">
        <v>408</v>
      </c>
    </row>
    <row r="172" spans="1:1" x14ac:dyDescent="0.3">
      <c r="A172" s="71" t="s">
        <v>409</v>
      </c>
    </row>
    <row r="173" spans="1:1" x14ac:dyDescent="0.3">
      <c r="A173" s="71" t="s">
        <v>410</v>
      </c>
    </row>
    <row r="174" spans="1:1" x14ac:dyDescent="0.3">
      <c r="A174" s="71" t="s">
        <v>411</v>
      </c>
    </row>
    <row r="175" spans="1:1" x14ac:dyDescent="0.3">
      <c r="A175" s="71" t="s">
        <v>412</v>
      </c>
    </row>
    <row r="176" spans="1:1" x14ac:dyDescent="0.3">
      <c r="A176" s="71" t="s">
        <v>413</v>
      </c>
    </row>
    <row r="177" spans="1:1" x14ac:dyDescent="0.3">
      <c r="A177" s="71" t="s">
        <v>414</v>
      </c>
    </row>
    <row r="178" spans="1:1" x14ac:dyDescent="0.3">
      <c r="A178" s="71" t="s">
        <v>415</v>
      </c>
    </row>
    <row r="179" spans="1:1" x14ac:dyDescent="0.3">
      <c r="A179" s="71" t="s">
        <v>416</v>
      </c>
    </row>
    <row r="180" spans="1:1" x14ac:dyDescent="0.3">
      <c r="A180" s="71" t="s">
        <v>417</v>
      </c>
    </row>
    <row r="181" spans="1:1" x14ac:dyDescent="0.3">
      <c r="A181" s="71" t="s">
        <v>418</v>
      </c>
    </row>
    <row r="182" spans="1:1" x14ac:dyDescent="0.3">
      <c r="A182" s="71" t="s">
        <v>419</v>
      </c>
    </row>
    <row r="183" spans="1:1" x14ac:dyDescent="0.3">
      <c r="A183" s="71" t="s">
        <v>420</v>
      </c>
    </row>
    <row r="184" spans="1:1" x14ac:dyDescent="0.3">
      <c r="A184" s="71" t="s">
        <v>421</v>
      </c>
    </row>
    <row r="185" spans="1:1" x14ac:dyDescent="0.3">
      <c r="A185" s="71" t="s">
        <v>422</v>
      </c>
    </row>
    <row r="186" spans="1:1" x14ac:dyDescent="0.3">
      <c r="A186" s="71" t="s">
        <v>423</v>
      </c>
    </row>
    <row r="187" spans="1:1" x14ac:dyDescent="0.3">
      <c r="A187" s="71" t="s">
        <v>424</v>
      </c>
    </row>
    <row r="188" spans="1:1" x14ac:dyDescent="0.3">
      <c r="A188" s="71" t="s">
        <v>425</v>
      </c>
    </row>
    <row r="189" spans="1:1" x14ac:dyDescent="0.3">
      <c r="A189" s="71" t="s">
        <v>426</v>
      </c>
    </row>
    <row r="190" spans="1:1" x14ac:dyDescent="0.3">
      <c r="A190" s="71" t="s">
        <v>427</v>
      </c>
    </row>
    <row r="191" spans="1:1" x14ac:dyDescent="0.3">
      <c r="A191" s="71" t="s">
        <v>428</v>
      </c>
    </row>
    <row r="192" spans="1:1" x14ac:dyDescent="0.3">
      <c r="A192" s="71" t="s">
        <v>429</v>
      </c>
    </row>
    <row r="193" spans="1:1" x14ac:dyDescent="0.3">
      <c r="A193" s="71" t="s">
        <v>430</v>
      </c>
    </row>
    <row r="194" spans="1:1" x14ac:dyDescent="0.3">
      <c r="A194" s="71" t="s">
        <v>431</v>
      </c>
    </row>
    <row r="195" spans="1:1" x14ac:dyDescent="0.3">
      <c r="A195" s="71" t="s">
        <v>432</v>
      </c>
    </row>
    <row r="196" spans="1:1" x14ac:dyDescent="0.3">
      <c r="A196" s="71" t="s">
        <v>433</v>
      </c>
    </row>
    <row r="197" spans="1:1" x14ac:dyDescent="0.3">
      <c r="A197" s="71" t="s">
        <v>434</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59"/>
  <sheetViews>
    <sheetView workbookViewId="0">
      <selection activeCell="N26" sqref="N26"/>
    </sheetView>
  </sheetViews>
  <sheetFormatPr defaultRowHeight="14.4" x14ac:dyDescent="0.3"/>
  <cols>
    <col min="1" max="1" width="13" style="135" customWidth="1"/>
    <col min="2" max="13" width="8.88671875" style="132"/>
    <col min="14" max="14" width="8.88671875" style="93"/>
  </cols>
  <sheetData>
    <row r="1" spans="1:13" x14ac:dyDescent="0.3">
      <c r="A1" s="134" t="s">
        <v>9</v>
      </c>
      <c r="B1" s="133" t="s">
        <v>149</v>
      </c>
      <c r="C1" s="133" t="s">
        <v>150</v>
      </c>
      <c r="D1" s="133" t="s">
        <v>151</v>
      </c>
      <c r="E1" s="133" t="s">
        <v>152</v>
      </c>
      <c r="F1" s="133" t="s">
        <v>153</v>
      </c>
      <c r="G1" s="133" t="s">
        <v>154</v>
      </c>
      <c r="H1" s="133" t="s">
        <v>155</v>
      </c>
      <c r="I1" s="133" t="s">
        <v>156</v>
      </c>
      <c r="J1" s="133" t="s">
        <v>157</v>
      </c>
      <c r="K1" s="133" t="s">
        <v>158</v>
      </c>
      <c r="L1" s="133" t="s">
        <v>159</v>
      </c>
      <c r="M1" s="133" t="s">
        <v>160</v>
      </c>
    </row>
    <row r="2" spans="1:13" x14ac:dyDescent="0.3">
      <c r="A2" s="135" t="s">
        <v>213</v>
      </c>
      <c r="B2" s="132">
        <v>149825</v>
      </c>
      <c r="C2" s="132">
        <v>66806</v>
      </c>
      <c r="D2" s="132">
        <v>66911</v>
      </c>
      <c r="E2" s="132">
        <v>0</v>
      </c>
      <c r="F2" s="132">
        <v>0</v>
      </c>
      <c r="G2" s="132">
        <v>0</v>
      </c>
      <c r="H2" s="132">
        <v>0</v>
      </c>
      <c r="I2" s="132">
        <v>0</v>
      </c>
      <c r="J2" s="132">
        <v>0</v>
      </c>
      <c r="K2" s="132">
        <v>0</v>
      </c>
      <c r="L2" s="132">
        <v>0</v>
      </c>
      <c r="M2" s="132">
        <v>0</v>
      </c>
    </row>
    <row r="3" spans="1:13" x14ac:dyDescent="0.3">
      <c r="A3" s="135" t="s">
        <v>214</v>
      </c>
      <c r="B3" s="132">
        <v>149825</v>
      </c>
      <c r="C3" s="132">
        <v>66806</v>
      </c>
      <c r="D3" s="132">
        <v>66911</v>
      </c>
      <c r="E3" s="132">
        <v>0</v>
      </c>
      <c r="F3" s="132">
        <v>0</v>
      </c>
      <c r="G3" s="132">
        <v>0</v>
      </c>
      <c r="H3" s="132">
        <v>0</v>
      </c>
      <c r="I3" s="132">
        <v>0</v>
      </c>
      <c r="J3" s="132">
        <v>0</v>
      </c>
      <c r="K3" s="132">
        <v>0</v>
      </c>
      <c r="L3" s="132">
        <v>0</v>
      </c>
      <c r="M3" s="132">
        <v>0</v>
      </c>
    </row>
    <row r="4" spans="1:13" x14ac:dyDescent="0.3">
      <c r="A4" s="135" t="s">
        <v>215</v>
      </c>
      <c r="B4" s="132">
        <v>683202</v>
      </c>
      <c r="C4" s="132">
        <v>667394</v>
      </c>
      <c r="D4" s="132">
        <v>652384</v>
      </c>
      <c r="E4" s="132">
        <v>743928</v>
      </c>
      <c r="F4" s="132">
        <v>811604</v>
      </c>
      <c r="G4" s="132">
        <v>811660</v>
      </c>
      <c r="H4" s="132">
        <v>845291</v>
      </c>
      <c r="I4" s="132">
        <v>777804</v>
      </c>
      <c r="J4" s="132">
        <v>845376</v>
      </c>
      <c r="K4" s="132">
        <v>879191</v>
      </c>
      <c r="L4" s="132">
        <v>811677</v>
      </c>
      <c r="M4" s="132">
        <v>568675</v>
      </c>
    </row>
    <row r="5" spans="1:13" x14ac:dyDescent="0.3">
      <c r="A5" s="135" t="s">
        <v>216</v>
      </c>
      <c r="B5" s="132">
        <v>713167</v>
      </c>
      <c r="C5" s="132">
        <v>603260</v>
      </c>
      <c r="D5" s="132">
        <v>650377</v>
      </c>
      <c r="E5" s="132">
        <v>741072</v>
      </c>
      <c r="F5" s="132">
        <v>808396</v>
      </c>
      <c r="G5" s="132">
        <v>808340</v>
      </c>
      <c r="H5" s="132">
        <v>842209</v>
      </c>
      <c r="I5" s="132">
        <v>774696</v>
      </c>
      <c r="J5" s="132">
        <v>842124</v>
      </c>
      <c r="K5" s="132">
        <v>875809</v>
      </c>
      <c r="L5" s="132">
        <v>808323</v>
      </c>
      <c r="M5" s="132">
        <v>566675</v>
      </c>
    </row>
    <row r="6" spans="1:13" x14ac:dyDescent="0.3">
      <c r="A6" s="135" t="s">
        <v>217</v>
      </c>
      <c r="B6" s="132">
        <v>0</v>
      </c>
      <c r="C6" s="132">
        <v>75157</v>
      </c>
      <c r="D6" s="132">
        <v>75275</v>
      </c>
      <c r="E6" s="132">
        <v>0</v>
      </c>
      <c r="F6" s="132">
        <v>0</v>
      </c>
      <c r="G6" s="132">
        <v>0</v>
      </c>
      <c r="H6" s="132">
        <v>0</v>
      </c>
      <c r="I6" s="132">
        <v>0</v>
      </c>
      <c r="J6" s="132">
        <v>0</v>
      </c>
      <c r="K6" s="132">
        <v>0</v>
      </c>
      <c r="L6" s="132">
        <v>0</v>
      </c>
      <c r="M6" s="132">
        <v>0</v>
      </c>
    </row>
    <row r="7" spans="1:13" x14ac:dyDescent="0.3">
      <c r="A7" s="135" t="s">
        <v>218</v>
      </c>
      <c r="B7" s="132">
        <v>0</v>
      </c>
      <c r="C7" s="132">
        <v>75157</v>
      </c>
      <c r="D7" s="132">
        <v>75275</v>
      </c>
      <c r="E7" s="132">
        <v>0</v>
      </c>
      <c r="F7" s="132">
        <v>0</v>
      </c>
      <c r="G7" s="132">
        <v>0</v>
      </c>
      <c r="H7" s="132">
        <v>0</v>
      </c>
      <c r="I7" s="132">
        <v>0</v>
      </c>
      <c r="J7" s="132">
        <v>0</v>
      </c>
      <c r="K7" s="132">
        <v>0</v>
      </c>
      <c r="L7" s="132">
        <v>0</v>
      </c>
      <c r="M7" s="132">
        <v>0</v>
      </c>
    </row>
    <row r="8" spans="1:13" x14ac:dyDescent="0.3">
      <c r="A8" s="135" t="s">
        <v>219</v>
      </c>
      <c r="B8" s="132">
        <v>0</v>
      </c>
      <c r="C8" s="132">
        <v>33412</v>
      </c>
      <c r="D8" s="132">
        <v>0</v>
      </c>
      <c r="E8" s="132">
        <v>15689</v>
      </c>
      <c r="F8" s="132">
        <v>18199</v>
      </c>
      <c r="G8" s="132">
        <v>17572</v>
      </c>
      <c r="H8" s="132">
        <v>23726</v>
      </c>
      <c r="I8" s="132">
        <v>22908</v>
      </c>
      <c r="J8" s="132">
        <v>23726</v>
      </c>
      <c r="K8" s="132">
        <v>24983</v>
      </c>
      <c r="L8" s="132">
        <v>22565</v>
      </c>
      <c r="M8" s="132">
        <v>20148</v>
      </c>
    </row>
    <row r="9" spans="1:13" x14ac:dyDescent="0.3">
      <c r="A9" s="135" t="s">
        <v>220</v>
      </c>
      <c r="B9" s="132">
        <v>0</v>
      </c>
      <c r="C9" s="132">
        <v>8127</v>
      </c>
      <c r="D9" s="132">
        <v>0</v>
      </c>
      <c r="E9" s="132">
        <v>13412</v>
      </c>
      <c r="F9" s="132">
        <v>15558</v>
      </c>
      <c r="G9" s="132">
        <v>15022</v>
      </c>
      <c r="H9" s="132">
        <v>17880</v>
      </c>
      <c r="I9" s="132">
        <v>17263</v>
      </c>
      <c r="J9" s="132">
        <v>17880</v>
      </c>
      <c r="K9" s="132">
        <v>8739</v>
      </c>
      <c r="L9" s="132">
        <v>7893</v>
      </c>
      <c r="M9" s="132">
        <v>7047</v>
      </c>
    </row>
    <row r="10" spans="1:13" x14ac:dyDescent="0.3">
      <c r="A10" s="135" t="s">
        <v>221</v>
      </c>
      <c r="B10" s="132">
        <v>92359</v>
      </c>
      <c r="C10" s="132">
        <v>73146</v>
      </c>
      <c r="D10" s="132">
        <v>33673</v>
      </c>
      <c r="E10" s="132">
        <v>69903</v>
      </c>
      <c r="F10" s="132">
        <v>81087</v>
      </c>
      <c r="G10" s="132">
        <v>78291</v>
      </c>
      <c r="H10" s="132">
        <v>82850</v>
      </c>
      <c r="I10" s="132">
        <v>79993</v>
      </c>
      <c r="J10" s="132">
        <v>82850</v>
      </c>
      <c r="K10" s="132">
        <v>89636</v>
      </c>
      <c r="L10" s="132">
        <v>80962</v>
      </c>
      <c r="M10" s="132">
        <v>72287</v>
      </c>
    </row>
    <row r="11" spans="1:13" x14ac:dyDescent="0.3">
      <c r="A11" s="135" t="s">
        <v>222</v>
      </c>
      <c r="B11" s="132">
        <v>52278</v>
      </c>
      <c r="C11" s="132">
        <v>65922</v>
      </c>
      <c r="D11" s="132">
        <v>150797</v>
      </c>
      <c r="E11" s="132">
        <v>67044</v>
      </c>
      <c r="F11" s="132">
        <v>77771</v>
      </c>
      <c r="G11" s="132">
        <v>75090</v>
      </c>
      <c r="H11" s="132">
        <v>78471</v>
      </c>
      <c r="I11" s="132">
        <v>75765</v>
      </c>
      <c r="J11" s="132">
        <v>78471</v>
      </c>
      <c r="K11" s="132">
        <v>84644</v>
      </c>
      <c r="L11" s="132">
        <v>76453</v>
      </c>
      <c r="M11" s="132">
        <v>68262</v>
      </c>
    </row>
    <row r="12" spans="1:13" x14ac:dyDescent="0.3">
      <c r="A12" s="135" t="s">
        <v>223</v>
      </c>
      <c r="B12" s="132">
        <v>169905</v>
      </c>
      <c r="C12" s="132">
        <v>97528</v>
      </c>
      <c r="D12" s="132">
        <v>178614</v>
      </c>
      <c r="E12" s="132">
        <v>136091</v>
      </c>
      <c r="F12" s="132">
        <v>157866</v>
      </c>
      <c r="G12" s="132">
        <v>152422</v>
      </c>
      <c r="H12" s="132">
        <v>150000</v>
      </c>
      <c r="I12" s="132">
        <v>144828</v>
      </c>
      <c r="J12" s="132">
        <v>150000</v>
      </c>
      <c r="K12" s="132">
        <v>160250</v>
      </c>
      <c r="L12" s="132">
        <v>144742</v>
      </c>
      <c r="M12" s="132">
        <v>129234</v>
      </c>
    </row>
    <row r="13" spans="1:13" x14ac:dyDescent="0.3">
      <c r="A13" s="135" t="s">
        <v>224</v>
      </c>
      <c r="B13" s="132">
        <v>139409</v>
      </c>
      <c r="C13" s="132">
        <v>155323</v>
      </c>
      <c r="D13" s="132">
        <v>224000</v>
      </c>
      <c r="E13" s="132">
        <v>134379</v>
      </c>
      <c r="F13" s="132">
        <v>155880</v>
      </c>
      <c r="G13" s="132">
        <v>150505</v>
      </c>
      <c r="H13" s="132">
        <v>147449</v>
      </c>
      <c r="I13" s="132">
        <v>142364</v>
      </c>
      <c r="J13" s="132">
        <v>147449</v>
      </c>
      <c r="K13" s="132">
        <v>157749</v>
      </c>
      <c r="L13" s="132">
        <v>142483</v>
      </c>
      <c r="M13" s="132">
        <v>127217</v>
      </c>
    </row>
    <row r="14" spans="1:13" x14ac:dyDescent="0.3">
      <c r="A14" s="135" t="s">
        <v>225</v>
      </c>
      <c r="B14" s="132">
        <v>78418</v>
      </c>
      <c r="C14" s="132">
        <v>51473</v>
      </c>
      <c r="D14" s="132">
        <v>67346</v>
      </c>
      <c r="E14" s="132">
        <v>67044</v>
      </c>
      <c r="F14" s="132">
        <v>77771</v>
      </c>
      <c r="G14" s="132">
        <v>75090</v>
      </c>
      <c r="H14" s="132">
        <v>79193</v>
      </c>
      <c r="I14" s="132">
        <v>76463</v>
      </c>
      <c r="J14" s="132">
        <v>79193</v>
      </c>
      <c r="K14" s="132">
        <v>84644</v>
      </c>
      <c r="L14" s="132">
        <v>76453</v>
      </c>
      <c r="M14" s="132">
        <v>68262</v>
      </c>
    </row>
    <row r="15" spans="1:13" x14ac:dyDescent="0.3">
      <c r="A15" s="135" t="s">
        <v>226</v>
      </c>
      <c r="B15" s="132">
        <v>90616</v>
      </c>
      <c r="C15" s="132">
        <v>113783</v>
      </c>
      <c r="D15" s="132">
        <v>0</v>
      </c>
      <c r="E15" s="132">
        <v>65623</v>
      </c>
      <c r="F15" s="132">
        <v>76123</v>
      </c>
      <c r="G15" s="132">
        <v>73498</v>
      </c>
      <c r="H15" s="132">
        <v>77376</v>
      </c>
      <c r="I15" s="132">
        <v>74708</v>
      </c>
      <c r="J15" s="132">
        <v>77376</v>
      </c>
      <c r="K15" s="132">
        <v>83388</v>
      </c>
      <c r="L15" s="132">
        <v>75318</v>
      </c>
      <c r="M15" s="132">
        <v>67248</v>
      </c>
    </row>
    <row r="16" spans="1:13" x14ac:dyDescent="0.3">
      <c r="A16" s="135" t="s">
        <v>227</v>
      </c>
      <c r="B16" s="132">
        <v>13070</v>
      </c>
      <c r="C16" s="132">
        <v>5418</v>
      </c>
      <c r="D16" s="132">
        <v>8784</v>
      </c>
      <c r="E16" s="132">
        <v>14551</v>
      </c>
      <c r="F16" s="132">
        <v>16879</v>
      </c>
      <c r="G16" s="132">
        <v>16297</v>
      </c>
      <c r="H16" s="132">
        <v>21898</v>
      </c>
      <c r="I16" s="132">
        <v>21143</v>
      </c>
      <c r="J16" s="132">
        <v>21898</v>
      </c>
      <c r="K16" s="132">
        <v>21236</v>
      </c>
      <c r="L16" s="132">
        <v>19181</v>
      </c>
      <c r="M16" s="132">
        <v>17126</v>
      </c>
    </row>
    <row r="17" spans="1:13" x14ac:dyDescent="0.3">
      <c r="A17" s="135" t="s">
        <v>228</v>
      </c>
      <c r="B17" s="132">
        <v>13941</v>
      </c>
      <c r="C17" s="132">
        <v>19867</v>
      </c>
      <c r="D17" s="132">
        <v>8784</v>
      </c>
      <c r="E17" s="132">
        <v>16262</v>
      </c>
      <c r="F17" s="132">
        <v>18864</v>
      </c>
      <c r="G17" s="132">
        <v>18214</v>
      </c>
      <c r="H17" s="132">
        <v>17157</v>
      </c>
      <c r="I17" s="132">
        <v>16565</v>
      </c>
      <c r="J17" s="132">
        <v>17157</v>
      </c>
      <c r="K17" s="132">
        <v>28730</v>
      </c>
      <c r="L17" s="132">
        <v>25949</v>
      </c>
      <c r="M17" s="132">
        <v>23169</v>
      </c>
    </row>
    <row r="18" spans="1:13" x14ac:dyDescent="0.3">
      <c r="A18" s="135" t="s">
        <v>229</v>
      </c>
      <c r="B18" s="132">
        <v>17378</v>
      </c>
      <c r="C18" s="132">
        <v>13642</v>
      </c>
      <c r="D18" s="132">
        <v>8383</v>
      </c>
      <c r="E18" s="132">
        <v>12018</v>
      </c>
      <c r="F18" s="132">
        <v>13941</v>
      </c>
      <c r="G18" s="132">
        <v>13460</v>
      </c>
      <c r="H18" s="132">
        <v>12749</v>
      </c>
      <c r="I18" s="132">
        <v>12309</v>
      </c>
      <c r="J18" s="132">
        <v>12749</v>
      </c>
      <c r="K18" s="132">
        <v>15081</v>
      </c>
      <c r="L18" s="132">
        <v>13621</v>
      </c>
      <c r="M18" s="132">
        <v>12162</v>
      </c>
    </row>
    <row r="19" spans="1:13" x14ac:dyDescent="0.3">
      <c r="A19" s="135" t="s">
        <v>230</v>
      </c>
      <c r="B19" s="132">
        <v>6319</v>
      </c>
      <c r="C19" s="132">
        <v>7692</v>
      </c>
      <c r="D19" s="132">
        <v>20120</v>
      </c>
      <c r="E19" s="132">
        <v>8276</v>
      </c>
      <c r="F19" s="132">
        <v>9601</v>
      </c>
      <c r="G19" s="132">
        <v>9270</v>
      </c>
      <c r="H19" s="132">
        <v>8690</v>
      </c>
      <c r="I19" s="132">
        <v>8391</v>
      </c>
      <c r="J19" s="132">
        <v>8690</v>
      </c>
      <c r="K19" s="132">
        <v>11062</v>
      </c>
      <c r="L19" s="132">
        <v>9992</v>
      </c>
      <c r="M19" s="132">
        <v>8921</v>
      </c>
    </row>
    <row r="20" spans="1:13" x14ac:dyDescent="0.3">
      <c r="A20" s="135" t="s">
        <v>231</v>
      </c>
      <c r="B20" s="132">
        <v>45815</v>
      </c>
      <c r="C20" s="132">
        <v>35678</v>
      </c>
      <c r="D20" s="132">
        <v>25150</v>
      </c>
      <c r="E20" s="132">
        <v>37921</v>
      </c>
      <c r="F20" s="132">
        <v>43988</v>
      </c>
      <c r="G20" s="132">
        <v>42471</v>
      </c>
      <c r="H20" s="132">
        <v>43165</v>
      </c>
      <c r="I20" s="132">
        <v>41676</v>
      </c>
      <c r="J20" s="132">
        <v>43165</v>
      </c>
      <c r="K20" s="132">
        <v>45242</v>
      </c>
      <c r="L20" s="132">
        <v>40864</v>
      </c>
      <c r="M20" s="132">
        <v>36486</v>
      </c>
    </row>
    <row r="21" spans="1:13" x14ac:dyDescent="0.3">
      <c r="A21" s="135" t="s">
        <v>232</v>
      </c>
      <c r="B21" s="132">
        <v>45815</v>
      </c>
      <c r="C21" s="132">
        <v>31827</v>
      </c>
      <c r="D21" s="132">
        <v>50854</v>
      </c>
      <c r="E21" s="132">
        <v>37656</v>
      </c>
      <c r="F21" s="132">
        <v>43681</v>
      </c>
      <c r="G21" s="132">
        <v>42175</v>
      </c>
      <c r="H21" s="132">
        <v>42869</v>
      </c>
      <c r="I21" s="132">
        <v>41391</v>
      </c>
      <c r="J21" s="132">
        <v>42869</v>
      </c>
      <c r="K21" s="132">
        <v>46245</v>
      </c>
      <c r="L21" s="132">
        <v>41769</v>
      </c>
      <c r="M21" s="132">
        <v>37294</v>
      </c>
    </row>
    <row r="22" spans="1:13" x14ac:dyDescent="0.3">
      <c r="A22" s="135" t="s">
        <v>233</v>
      </c>
      <c r="B22" s="132">
        <v>20538</v>
      </c>
      <c r="C22" s="132">
        <v>119280</v>
      </c>
      <c r="D22" s="132">
        <v>125751</v>
      </c>
      <c r="E22" s="132">
        <v>103619</v>
      </c>
      <c r="F22" s="132">
        <v>120198</v>
      </c>
      <c r="G22" s="132">
        <v>116053</v>
      </c>
      <c r="H22" s="132">
        <v>118188</v>
      </c>
      <c r="I22" s="132">
        <v>114113</v>
      </c>
      <c r="J22" s="132">
        <v>118188</v>
      </c>
      <c r="K22" s="132">
        <v>128693</v>
      </c>
      <c r="L22" s="132">
        <v>116239</v>
      </c>
      <c r="M22" s="132">
        <v>103785</v>
      </c>
    </row>
    <row r="23" spans="1:13" x14ac:dyDescent="0.3">
      <c r="A23" s="135" t="s">
        <v>234</v>
      </c>
      <c r="B23" s="132">
        <v>153243</v>
      </c>
      <c r="C23" s="132">
        <v>102836</v>
      </c>
      <c r="D23" s="132">
        <v>134134</v>
      </c>
      <c r="E23" s="132">
        <v>102553</v>
      </c>
      <c r="F23" s="132">
        <v>118962</v>
      </c>
      <c r="G23" s="132">
        <v>114860</v>
      </c>
      <c r="H23" s="132">
        <v>119639</v>
      </c>
      <c r="I23" s="132">
        <v>115514</v>
      </c>
      <c r="J23" s="132">
        <v>119639</v>
      </c>
      <c r="K23" s="132">
        <v>126679</v>
      </c>
      <c r="L23" s="132">
        <v>114420</v>
      </c>
      <c r="M23" s="132">
        <v>102160</v>
      </c>
    </row>
    <row r="24" spans="1:13" x14ac:dyDescent="0.3">
      <c r="A24" s="135" t="s">
        <v>235</v>
      </c>
      <c r="B24" s="132">
        <v>123226</v>
      </c>
      <c r="C24" s="132">
        <v>61209</v>
      </c>
      <c r="D24" s="132">
        <v>67067</v>
      </c>
      <c r="E24" s="132">
        <v>54217</v>
      </c>
      <c r="F24" s="132">
        <v>62892</v>
      </c>
      <c r="G24" s="132">
        <v>60723</v>
      </c>
      <c r="H24" s="132">
        <v>68071</v>
      </c>
      <c r="I24" s="132">
        <v>65724</v>
      </c>
      <c r="J24" s="132">
        <v>68071</v>
      </c>
      <c r="K24" s="132">
        <v>71386</v>
      </c>
      <c r="L24" s="132">
        <v>64477</v>
      </c>
      <c r="M24" s="132">
        <v>57569</v>
      </c>
    </row>
    <row r="25" spans="1:13" x14ac:dyDescent="0.3">
      <c r="A25" s="135" t="s">
        <v>236</v>
      </c>
      <c r="B25" s="132">
        <v>69512</v>
      </c>
      <c r="C25" s="132">
        <v>65060</v>
      </c>
      <c r="D25" s="132">
        <v>58684</v>
      </c>
      <c r="E25" s="132">
        <v>57951</v>
      </c>
      <c r="F25" s="132">
        <v>67223</v>
      </c>
      <c r="G25" s="132">
        <v>64905</v>
      </c>
      <c r="H25" s="132">
        <v>66046</v>
      </c>
      <c r="I25" s="132">
        <v>63769</v>
      </c>
      <c r="J25" s="132">
        <v>66046</v>
      </c>
      <c r="K25" s="132">
        <v>69372</v>
      </c>
      <c r="L25" s="132">
        <v>62658</v>
      </c>
      <c r="M25" s="132">
        <v>55945</v>
      </c>
    </row>
    <row r="26" spans="1:13" x14ac:dyDescent="0.3">
      <c r="A26" s="135" t="s">
        <v>237</v>
      </c>
      <c r="B26" s="132">
        <v>0</v>
      </c>
      <c r="C26" s="132">
        <v>18185</v>
      </c>
      <c r="D26" s="132">
        <v>11737</v>
      </c>
      <c r="E26" s="132">
        <v>18964</v>
      </c>
      <c r="F26" s="132">
        <v>21999</v>
      </c>
      <c r="G26" s="132">
        <v>21240</v>
      </c>
      <c r="H26" s="132">
        <v>22882</v>
      </c>
      <c r="I26" s="132">
        <v>22093</v>
      </c>
      <c r="J26" s="132">
        <v>22882</v>
      </c>
      <c r="K26" s="132">
        <v>23127</v>
      </c>
      <c r="L26" s="132">
        <v>20889</v>
      </c>
      <c r="M26" s="132">
        <v>18651</v>
      </c>
    </row>
    <row r="27" spans="1:13" x14ac:dyDescent="0.3">
      <c r="A27" s="135" t="s">
        <v>238</v>
      </c>
      <c r="B27" s="132">
        <v>4739</v>
      </c>
      <c r="C27" s="132">
        <v>12592</v>
      </c>
      <c r="D27" s="132">
        <v>20120</v>
      </c>
      <c r="E27" s="132">
        <v>16825</v>
      </c>
      <c r="F27" s="132">
        <v>19517</v>
      </c>
      <c r="G27" s="132">
        <v>18844</v>
      </c>
      <c r="H27" s="132">
        <v>19701</v>
      </c>
      <c r="I27" s="132">
        <v>19022</v>
      </c>
      <c r="J27" s="132">
        <v>19701</v>
      </c>
      <c r="K27" s="132">
        <v>21113</v>
      </c>
      <c r="L27" s="132">
        <v>19070</v>
      </c>
      <c r="M27" s="132">
        <v>17027</v>
      </c>
    </row>
    <row r="28" spans="1:13" x14ac:dyDescent="0.3">
      <c r="B28" s="132">
        <v>0</v>
      </c>
      <c r="C28" s="132">
        <v>0</v>
      </c>
      <c r="D28" s="132">
        <v>0</v>
      </c>
      <c r="E28" s="132">
        <v>0</v>
      </c>
      <c r="F28" s="132">
        <v>0</v>
      </c>
      <c r="G28" s="132">
        <v>0</v>
      </c>
      <c r="H28" s="132">
        <v>0</v>
      </c>
      <c r="I28" s="132">
        <v>0</v>
      </c>
      <c r="J28" s="132">
        <v>0</v>
      </c>
      <c r="K28" s="132">
        <v>0</v>
      </c>
      <c r="L28" s="132">
        <v>0</v>
      </c>
      <c r="M28" s="132">
        <v>0</v>
      </c>
    </row>
    <row r="29" spans="1:13" x14ac:dyDescent="0.3">
      <c r="B29" s="132">
        <v>0</v>
      </c>
      <c r="C29" s="132">
        <v>0</v>
      </c>
      <c r="D29" s="132">
        <v>0</v>
      </c>
      <c r="E29" s="132">
        <v>0</v>
      </c>
      <c r="F29" s="132">
        <v>0</v>
      </c>
      <c r="G29" s="132">
        <v>0</v>
      </c>
      <c r="H29" s="132">
        <v>0</v>
      </c>
      <c r="I29" s="132">
        <v>0</v>
      </c>
      <c r="J29" s="132">
        <v>0</v>
      </c>
      <c r="K29" s="132">
        <v>0</v>
      </c>
      <c r="L29" s="132">
        <v>0</v>
      </c>
      <c r="M29" s="132">
        <v>0</v>
      </c>
    </row>
    <row r="30" spans="1:13" x14ac:dyDescent="0.3">
      <c r="B30" s="132">
        <v>0</v>
      </c>
      <c r="C30" s="132">
        <v>0</v>
      </c>
      <c r="D30" s="132">
        <v>0</v>
      </c>
      <c r="E30" s="132">
        <v>0</v>
      </c>
      <c r="F30" s="132">
        <v>0</v>
      </c>
      <c r="G30" s="132">
        <v>0</v>
      </c>
      <c r="H30" s="132">
        <v>0</v>
      </c>
      <c r="I30" s="132">
        <v>0</v>
      </c>
      <c r="J30" s="132">
        <v>0</v>
      </c>
      <c r="K30" s="132">
        <v>0</v>
      </c>
      <c r="L30" s="132">
        <v>0</v>
      </c>
      <c r="M30" s="132">
        <v>0</v>
      </c>
    </row>
    <row r="31" spans="1:13" x14ac:dyDescent="0.3">
      <c r="B31" s="132">
        <v>0</v>
      </c>
      <c r="C31" s="132">
        <v>0</v>
      </c>
      <c r="D31" s="132">
        <v>0</v>
      </c>
      <c r="E31" s="132">
        <v>0</v>
      </c>
      <c r="F31" s="132">
        <v>0</v>
      </c>
      <c r="G31" s="132">
        <v>0</v>
      </c>
      <c r="H31" s="132">
        <v>0</v>
      </c>
      <c r="I31" s="132">
        <v>0</v>
      </c>
      <c r="J31" s="132">
        <v>0</v>
      </c>
      <c r="K31" s="132">
        <v>0</v>
      </c>
      <c r="L31" s="132">
        <v>0</v>
      </c>
      <c r="M31" s="132">
        <v>0</v>
      </c>
    </row>
    <row r="32" spans="1:13" x14ac:dyDescent="0.3">
      <c r="B32" s="132">
        <v>0</v>
      </c>
      <c r="C32" s="132">
        <v>0</v>
      </c>
      <c r="D32" s="132">
        <v>0</v>
      </c>
      <c r="E32" s="132">
        <v>0</v>
      </c>
      <c r="F32" s="132">
        <v>0</v>
      </c>
      <c r="G32" s="132">
        <v>0</v>
      </c>
      <c r="H32" s="132">
        <v>0</v>
      </c>
      <c r="I32" s="132">
        <v>0</v>
      </c>
      <c r="J32" s="132">
        <v>0</v>
      </c>
      <c r="K32" s="132">
        <v>0</v>
      </c>
      <c r="L32" s="132">
        <v>0</v>
      </c>
      <c r="M32" s="132">
        <v>0</v>
      </c>
    </row>
    <row r="33" spans="2:13" x14ac:dyDescent="0.3">
      <c r="B33" s="132">
        <v>0</v>
      </c>
      <c r="C33" s="132">
        <v>0</v>
      </c>
      <c r="D33" s="132">
        <v>0</v>
      </c>
      <c r="E33" s="132">
        <v>0</v>
      </c>
      <c r="F33" s="132">
        <v>0</v>
      </c>
      <c r="G33" s="132">
        <v>0</v>
      </c>
      <c r="H33" s="132">
        <v>0</v>
      </c>
      <c r="I33" s="132">
        <v>0</v>
      </c>
      <c r="J33" s="132">
        <v>0</v>
      </c>
      <c r="K33" s="132">
        <v>0</v>
      </c>
      <c r="L33" s="132">
        <v>0</v>
      </c>
      <c r="M33" s="132">
        <v>0</v>
      </c>
    </row>
    <row r="34" spans="2:13" x14ac:dyDescent="0.3">
      <c r="B34" s="132">
        <v>0</v>
      </c>
      <c r="C34" s="132">
        <v>0</v>
      </c>
      <c r="D34" s="132">
        <v>0</v>
      </c>
      <c r="E34" s="132">
        <v>0</v>
      </c>
      <c r="F34" s="132">
        <v>0</v>
      </c>
      <c r="G34" s="132">
        <v>0</v>
      </c>
      <c r="H34" s="132">
        <v>0</v>
      </c>
      <c r="I34" s="132">
        <v>0</v>
      </c>
      <c r="J34" s="132">
        <v>0</v>
      </c>
      <c r="K34" s="132">
        <v>0</v>
      </c>
      <c r="L34" s="132">
        <v>0</v>
      </c>
      <c r="M34" s="132">
        <v>0</v>
      </c>
    </row>
    <row r="35" spans="2:13" x14ac:dyDescent="0.3">
      <c r="B35" s="132">
        <v>0</v>
      </c>
      <c r="C35" s="132">
        <v>0</v>
      </c>
      <c r="D35" s="132">
        <v>0</v>
      </c>
      <c r="E35" s="132">
        <v>0</v>
      </c>
      <c r="F35" s="132">
        <v>0</v>
      </c>
      <c r="G35" s="132">
        <v>0</v>
      </c>
      <c r="H35" s="132">
        <v>0</v>
      </c>
      <c r="I35" s="132">
        <v>0</v>
      </c>
      <c r="J35" s="132">
        <v>0</v>
      </c>
      <c r="K35" s="132">
        <v>0</v>
      </c>
      <c r="L35" s="132">
        <v>0</v>
      </c>
      <c r="M35" s="132">
        <v>0</v>
      </c>
    </row>
    <row r="36" spans="2:13" x14ac:dyDescent="0.3">
      <c r="B36" s="132">
        <v>0</v>
      </c>
      <c r="C36" s="132">
        <v>0</v>
      </c>
      <c r="D36" s="132">
        <v>0</v>
      </c>
      <c r="E36" s="132">
        <v>0</v>
      </c>
      <c r="F36" s="132">
        <v>0</v>
      </c>
      <c r="G36" s="132">
        <v>0</v>
      </c>
      <c r="H36" s="132">
        <v>0</v>
      </c>
      <c r="I36" s="132">
        <v>0</v>
      </c>
      <c r="J36" s="132">
        <v>0</v>
      </c>
      <c r="K36" s="132">
        <v>0</v>
      </c>
      <c r="L36" s="132">
        <v>0</v>
      </c>
      <c r="M36" s="132">
        <v>0</v>
      </c>
    </row>
    <row r="37" spans="2:13" x14ac:dyDescent="0.3">
      <c r="B37" s="132">
        <v>0</v>
      </c>
      <c r="C37" s="132">
        <v>0</v>
      </c>
      <c r="D37" s="132">
        <v>0</v>
      </c>
      <c r="E37" s="132">
        <v>0</v>
      </c>
      <c r="F37" s="132">
        <v>0</v>
      </c>
      <c r="G37" s="132">
        <v>0</v>
      </c>
      <c r="H37" s="132">
        <v>0</v>
      </c>
      <c r="I37" s="132">
        <v>0</v>
      </c>
      <c r="J37" s="132">
        <v>0</v>
      </c>
      <c r="K37" s="132">
        <v>0</v>
      </c>
      <c r="L37" s="132">
        <v>0</v>
      </c>
      <c r="M37" s="132">
        <v>0</v>
      </c>
    </row>
    <row r="38" spans="2:13" x14ac:dyDescent="0.3">
      <c r="B38" s="132">
        <v>0</v>
      </c>
      <c r="C38" s="132">
        <v>0</v>
      </c>
      <c r="D38" s="132">
        <v>0</v>
      </c>
      <c r="E38" s="132">
        <v>0</v>
      </c>
      <c r="F38" s="132">
        <v>0</v>
      </c>
      <c r="G38" s="132">
        <v>0</v>
      </c>
      <c r="H38" s="132">
        <v>0</v>
      </c>
      <c r="I38" s="132">
        <v>0</v>
      </c>
      <c r="J38" s="132">
        <v>0</v>
      </c>
      <c r="K38" s="132">
        <v>0</v>
      </c>
      <c r="L38" s="132">
        <v>0</v>
      </c>
      <c r="M38" s="132">
        <v>0</v>
      </c>
    </row>
    <row r="39" spans="2:13" x14ac:dyDescent="0.3">
      <c r="B39" s="132">
        <v>0</v>
      </c>
      <c r="C39" s="132">
        <v>0</v>
      </c>
      <c r="D39" s="132">
        <v>0</v>
      </c>
      <c r="E39" s="132">
        <v>0</v>
      </c>
      <c r="F39" s="132">
        <v>0</v>
      </c>
      <c r="G39" s="132">
        <v>0</v>
      </c>
      <c r="H39" s="132">
        <v>0</v>
      </c>
      <c r="I39" s="132">
        <v>0</v>
      </c>
      <c r="J39" s="132">
        <v>0</v>
      </c>
      <c r="K39" s="132">
        <v>0</v>
      </c>
      <c r="L39" s="132">
        <v>0</v>
      </c>
      <c r="M39" s="132">
        <v>0</v>
      </c>
    </row>
    <row r="40" spans="2:13" x14ac:dyDescent="0.3">
      <c r="B40" s="132">
        <v>0</v>
      </c>
      <c r="C40" s="132">
        <v>0</v>
      </c>
      <c r="D40" s="132">
        <v>0</v>
      </c>
      <c r="E40" s="132">
        <v>0</v>
      </c>
      <c r="F40" s="132">
        <v>0</v>
      </c>
      <c r="G40" s="132">
        <v>0</v>
      </c>
      <c r="H40" s="132">
        <v>0</v>
      </c>
      <c r="I40" s="132">
        <v>0</v>
      </c>
      <c r="J40" s="132">
        <v>0</v>
      </c>
      <c r="K40" s="132">
        <v>0</v>
      </c>
      <c r="L40" s="132">
        <v>0</v>
      </c>
      <c r="M40" s="132">
        <v>0</v>
      </c>
    </row>
    <row r="41" spans="2:13" x14ac:dyDescent="0.3">
      <c r="B41" s="132">
        <v>0</v>
      </c>
      <c r="C41" s="132">
        <v>0</v>
      </c>
      <c r="D41" s="132">
        <v>0</v>
      </c>
      <c r="E41" s="132">
        <v>0</v>
      </c>
      <c r="F41" s="132">
        <v>0</v>
      </c>
      <c r="G41" s="132">
        <v>0</v>
      </c>
      <c r="H41" s="132">
        <v>0</v>
      </c>
      <c r="I41" s="132">
        <v>0</v>
      </c>
      <c r="J41" s="132">
        <v>0</v>
      </c>
      <c r="K41" s="132">
        <v>0</v>
      </c>
      <c r="L41" s="132">
        <v>0</v>
      </c>
      <c r="M41" s="132">
        <v>0</v>
      </c>
    </row>
    <row r="42" spans="2:13" x14ac:dyDescent="0.3">
      <c r="B42" s="132">
        <v>0</v>
      </c>
      <c r="C42" s="132">
        <v>0</v>
      </c>
      <c r="D42" s="132">
        <v>0</v>
      </c>
      <c r="E42" s="132">
        <v>0</v>
      </c>
      <c r="F42" s="132">
        <v>0</v>
      </c>
      <c r="G42" s="132">
        <v>0</v>
      </c>
      <c r="H42" s="132">
        <v>0</v>
      </c>
      <c r="I42" s="132">
        <v>0</v>
      </c>
      <c r="J42" s="132">
        <v>0</v>
      </c>
      <c r="K42" s="132">
        <v>0</v>
      </c>
      <c r="L42" s="132">
        <v>0</v>
      </c>
      <c r="M42" s="132">
        <v>0</v>
      </c>
    </row>
    <row r="43" spans="2:13" x14ac:dyDescent="0.3">
      <c r="B43" s="132">
        <v>0</v>
      </c>
      <c r="C43" s="132">
        <v>0</v>
      </c>
      <c r="D43" s="132">
        <v>0</v>
      </c>
      <c r="E43" s="132">
        <v>0</v>
      </c>
      <c r="F43" s="132">
        <v>0</v>
      </c>
      <c r="G43" s="132">
        <v>0</v>
      </c>
      <c r="H43" s="132">
        <v>0</v>
      </c>
      <c r="I43" s="132">
        <v>0</v>
      </c>
      <c r="J43" s="132">
        <v>0</v>
      </c>
      <c r="K43" s="132">
        <v>0</v>
      </c>
      <c r="L43" s="132">
        <v>0</v>
      </c>
      <c r="M43" s="132">
        <v>0</v>
      </c>
    </row>
    <row r="44" spans="2:13" x14ac:dyDescent="0.3">
      <c r="B44" s="132">
        <v>0</v>
      </c>
      <c r="C44" s="132">
        <v>0</v>
      </c>
      <c r="D44" s="132">
        <v>0</v>
      </c>
      <c r="E44" s="132">
        <v>0</v>
      </c>
      <c r="F44" s="132">
        <v>0</v>
      </c>
      <c r="G44" s="132">
        <v>0</v>
      </c>
      <c r="H44" s="132">
        <v>0</v>
      </c>
      <c r="I44" s="132">
        <v>0</v>
      </c>
      <c r="J44" s="132">
        <v>0</v>
      </c>
      <c r="K44" s="132">
        <v>0</v>
      </c>
      <c r="L44" s="132">
        <v>0</v>
      </c>
      <c r="M44" s="132">
        <v>0</v>
      </c>
    </row>
    <row r="45" spans="2:13" x14ac:dyDescent="0.3">
      <c r="B45" s="132">
        <v>0</v>
      </c>
      <c r="C45" s="132">
        <v>0</v>
      </c>
      <c r="D45" s="132">
        <v>0</v>
      </c>
      <c r="E45" s="132">
        <v>0</v>
      </c>
      <c r="F45" s="132">
        <v>0</v>
      </c>
      <c r="G45" s="132">
        <v>0</v>
      </c>
      <c r="H45" s="132">
        <v>0</v>
      </c>
      <c r="I45" s="132">
        <v>0</v>
      </c>
      <c r="J45" s="132">
        <v>0</v>
      </c>
      <c r="K45" s="132">
        <v>0</v>
      </c>
      <c r="L45" s="132">
        <v>0</v>
      </c>
      <c r="M45" s="132">
        <v>0</v>
      </c>
    </row>
    <row r="46" spans="2:13" x14ac:dyDescent="0.3">
      <c r="B46" s="132">
        <v>0</v>
      </c>
      <c r="C46" s="132">
        <v>0</v>
      </c>
      <c r="D46" s="132">
        <v>0</v>
      </c>
      <c r="E46" s="132">
        <v>0</v>
      </c>
      <c r="F46" s="132">
        <v>0</v>
      </c>
      <c r="G46" s="132">
        <v>0</v>
      </c>
      <c r="H46" s="132">
        <v>0</v>
      </c>
      <c r="I46" s="132">
        <v>0</v>
      </c>
      <c r="J46" s="132">
        <v>0</v>
      </c>
      <c r="K46" s="132">
        <v>0</v>
      </c>
      <c r="L46" s="132">
        <v>0</v>
      </c>
      <c r="M46" s="132">
        <v>0</v>
      </c>
    </row>
    <row r="47" spans="2:13" x14ac:dyDescent="0.3">
      <c r="B47" s="132">
        <v>0</v>
      </c>
      <c r="C47" s="132">
        <v>0</v>
      </c>
      <c r="D47" s="132">
        <v>0</v>
      </c>
      <c r="E47" s="132">
        <v>0</v>
      </c>
      <c r="F47" s="132">
        <v>0</v>
      </c>
      <c r="G47" s="132">
        <v>0</v>
      </c>
      <c r="H47" s="132">
        <v>0</v>
      </c>
      <c r="I47" s="132">
        <v>0</v>
      </c>
      <c r="J47" s="132">
        <v>0</v>
      </c>
      <c r="K47" s="132">
        <v>0</v>
      </c>
      <c r="L47" s="132">
        <v>0</v>
      </c>
      <c r="M47" s="132">
        <v>0</v>
      </c>
    </row>
    <row r="48" spans="2:13" x14ac:dyDescent="0.3">
      <c r="B48" s="132">
        <v>0</v>
      </c>
      <c r="C48" s="132">
        <v>0</v>
      </c>
      <c r="D48" s="132">
        <v>0</v>
      </c>
      <c r="E48" s="132">
        <v>0</v>
      </c>
      <c r="F48" s="132">
        <v>0</v>
      </c>
      <c r="G48" s="132">
        <v>0</v>
      </c>
      <c r="H48" s="132">
        <v>0</v>
      </c>
      <c r="I48" s="132">
        <v>0</v>
      </c>
      <c r="J48" s="132">
        <v>0</v>
      </c>
      <c r="K48" s="132">
        <v>0</v>
      </c>
      <c r="L48" s="132">
        <v>0</v>
      </c>
      <c r="M48" s="132">
        <v>0</v>
      </c>
    </row>
    <row r="49" spans="2:13" x14ac:dyDescent="0.3">
      <c r="B49" s="132">
        <v>0</v>
      </c>
      <c r="C49" s="132">
        <v>0</v>
      </c>
      <c r="D49" s="132">
        <v>0</v>
      </c>
      <c r="E49" s="132">
        <v>0</v>
      </c>
      <c r="F49" s="132">
        <v>0</v>
      </c>
      <c r="G49" s="132">
        <v>0</v>
      </c>
      <c r="H49" s="132">
        <v>0</v>
      </c>
      <c r="I49" s="132">
        <v>0</v>
      </c>
      <c r="J49" s="132">
        <v>0</v>
      </c>
      <c r="K49" s="132">
        <v>0</v>
      </c>
      <c r="L49" s="132">
        <v>0</v>
      </c>
      <c r="M49" s="132">
        <v>0</v>
      </c>
    </row>
    <row r="50" spans="2:13" x14ac:dyDescent="0.3">
      <c r="B50" s="132">
        <v>0</v>
      </c>
      <c r="C50" s="132">
        <v>0</v>
      </c>
      <c r="D50" s="132">
        <v>0</v>
      </c>
      <c r="E50" s="132">
        <v>0</v>
      </c>
      <c r="F50" s="132">
        <v>0</v>
      </c>
      <c r="G50" s="132">
        <v>0</v>
      </c>
      <c r="H50" s="132">
        <v>0</v>
      </c>
      <c r="I50" s="132">
        <v>0</v>
      </c>
      <c r="J50" s="132">
        <v>0</v>
      </c>
      <c r="K50" s="132">
        <v>0</v>
      </c>
      <c r="L50" s="132">
        <v>0</v>
      </c>
      <c r="M50" s="132">
        <v>0</v>
      </c>
    </row>
    <row r="51" spans="2:13" x14ac:dyDescent="0.3">
      <c r="B51" s="132">
        <v>0</v>
      </c>
      <c r="C51" s="132">
        <v>0</v>
      </c>
      <c r="D51" s="132">
        <v>0</v>
      </c>
      <c r="E51" s="132">
        <v>0</v>
      </c>
      <c r="F51" s="132">
        <v>0</v>
      </c>
      <c r="G51" s="132">
        <v>0</v>
      </c>
      <c r="H51" s="132">
        <v>0</v>
      </c>
      <c r="I51" s="132">
        <v>0</v>
      </c>
      <c r="J51" s="132">
        <v>0</v>
      </c>
      <c r="K51" s="132">
        <v>0</v>
      </c>
      <c r="L51" s="132">
        <v>0</v>
      </c>
      <c r="M51" s="132">
        <v>0</v>
      </c>
    </row>
    <row r="52" spans="2:13" x14ac:dyDescent="0.3">
      <c r="B52" s="132">
        <v>0</v>
      </c>
      <c r="C52" s="132">
        <v>0</v>
      </c>
      <c r="D52" s="132">
        <v>0</v>
      </c>
      <c r="E52" s="132">
        <v>0</v>
      </c>
      <c r="F52" s="132">
        <v>0</v>
      </c>
      <c r="G52" s="132">
        <v>0</v>
      </c>
      <c r="H52" s="132">
        <v>0</v>
      </c>
      <c r="I52" s="132">
        <v>0</v>
      </c>
      <c r="J52" s="132">
        <v>0</v>
      </c>
      <c r="K52" s="132">
        <v>0</v>
      </c>
      <c r="L52" s="132">
        <v>0</v>
      </c>
      <c r="M52" s="132">
        <v>0</v>
      </c>
    </row>
    <row r="53" spans="2:13" x14ac:dyDescent="0.3">
      <c r="B53" s="132">
        <v>0</v>
      </c>
      <c r="C53" s="132">
        <v>0</v>
      </c>
      <c r="D53" s="132">
        <v>0</v>
      </c>
      <c r="E53" s="132">
        <v>0</v>
      </c>
      <c r="F53" s="132">
        <v>0</v>
      </c>
      <c r="G53" s="132">
        <v>0</v>
      </c>
      <c r="H53" s="132">
        <v>0</v>
      </c>
      <c r="I53" s="132">
        <v>0</v>
      </c>
      <c r="J53" s="132">
        <v>0</v>
      </c>
      <c r="K53" s="132">
        <v>0</v>
      </c>
      <c r="L53" s="132">
        <v>0</v>
      </c>
      <c r="M53" s="132">
        <v>0</v>
      </c>
    </row>
    <row r="54" spans="2:13" x14ac:dyDescent="0.3">
      <c r="B54" s="132">
        <v>0</v>
      </c>
      <c r="C54" s="132">
        <v>0</v>
      </c>
      <c r="D54" s="132">
        <v>0</v>
      </c>
      <c r="E54" s="132">
        <v>0</v>
      </c>
      <c r="F54" s="132">
        <v>0</v>
      </c>
      <c r="G54" s="132">
        <v>0</v>
      </c>
      <c r="H54" s="132">
        <v>0</v>
      </c>
      <c r="I54" s="132">
        <v>0</v>
      </c>
      <c r="J54" s="132">
        <v>0</v>
      </c>
      <c r="K54" s="132">
        <v>0</v>
      </c>
      <c r="L54" s="132">
        <v>0</v>
      </c>
      <c r="M54" s="132">
        <v>0</v>
      </c>
    </row>
    <row r="55" spans="2:13" x14ac:dyDescent="0.3">
      <c r="B55" s="132">
        <v>0</v>
      </c>
      <c r="C55" s="132">
        <v>0</v>
      </c>
      <c r="D55" s="132">
        <v>0</v>
      </c>
      <c r="E55" s="132">
        <v>0</v>
      </c>
      <c r="F55" s="132">
        <v>0</v>
      </c>
      <c r="G55" s="132">
        <v>0</v>
      </c>
      <c r="H55" s="132">
        <v>0</v>
      </c>
      <c r="I55" s="132">
        <v>0</v>
      </c>
      <c r="J55" s="132">
        <v>0</v>
      </c>
      <c r="K55" s="132">
        <v>0</v>
      </c>
      <c r="L55" s="132">
        <v>0</v>
      </c>
      <c r="M55" s="132">
        <v>0</v>
      </c>
    </row>
    <row r="56" spans="2:13" x14ac:dyDescent="0.3">
      <c r="B56" s="132">
        <v>0</v>
      </c>
      <c r="C56" s="132">
        <v>0</v>
      </c>
      <c r="D56" s="132">
        <v>0</v>
      </c>
      <c r="E56" s="132">
        <v>0</v>
      </c>
      <c r="F56" s="132">
        <v>0</v>
      </c>
      <c r="G56" s="132">
        <v>0</v>
      </c>
      <c r="H56" s="132">
        <v>0</v>
      </c>
      <c r="I56" s="132">
        <v>0</v>
      </c>
      <c r="J56" s="132">
        <v>0</v>
      </c>
      <c r="K56" s="132">
        <v>0</v>
      </c>
      <c r="L56" s="132">
        <v>0</v>
      </c>
      <c r="M56" s="132">
        <v>0</v>
      </c>
    </row>
    <row r="57" spans="2:13" x14ac:dyDescent="0.3">
      <c r="B57" s="132">
        <v>0</v>
      </c>
      <c r="C57" s="132">
        <v>0</v>
      </c>
      <c r="D57" s="132">
        <v>0</v>
      </c>
      <c r="E57" s="132">
        <v>0</v>
      </c>
      <c r="F57" s="132">
        <v>0</v>
      </c>
      <c r="G57" s="132">
        <v>0</v>
      </c>
      <c r="H57" s="132">
        <v>0</v>
      </c>
      <c r="I57" s="132">
        <v>0</v>
      </c>
      <c r="J57" s="132">
        <v>0</v>
      </c>
      <c r="K57" s="132">
        <v>0</v>
      </c>
      <c r="L57" s="132">
        <v>0</v>
      </c>
      <c r="M57" s="132">
        <v>0</v>
      </c>
    </row>
    <row r="58" spans="2:13" x14ac:dyDescent="0.3">
      <c r="B58" s="132">
        <v>0</v>
      </c>
      <c r="C58" s="132">
        <v>0</v>
      </c>
      <c r="D58" s="132">
        <v>0</v>
      </c>
      <c r="E58" s="132">
        <v>0</v>
      </c>
      <c r="F58" s="132">
        <v>0</v>
      </c>
      <c r="G58" s="132">
        <v>0</v>
      </c>
      <c r="H58" s="132">
        <v>0</v>
      </c>
      <c r="I58" s="132">
        <v>0</v>
      </c>
      <c r="J58" s="132">
        <v>0</v>
      </c>
      <c r="K58" s="132">
        <v>0</v>
      </c>
      <c r="L58" s="132">
        <v>0</v>
      </c>
      <c r="M58" s="132">
        <v>0</v>
      </c>
    </row>
    <row r="59" spans="2:13" x14ac:dyDescent="0.3">
      <c r="B59" s="132">
        <v>0</v>
      </c>
      <c r="C59" s="132">
        <v>0</v>
      </c>
      <c r="D59" s="132">
        <v>0</v>
      </c>
      <c r="E59" s="132">
        <v>0</v>
      </c>
      <c r="F59" s="132">
        <v>0</v>
      </c>
      <c r="G59" s="132">
        <v>0</v>
      </c>
      <c r="H59" s="132">
        <v>0</v>
      </c>
      <c r="I59" s="132">
        <v>0</v>
      </c>
      <c r="J59" s="132">
        <v>0</v>
      </c>
      <c r="K59" s="132">
        <v>0</v>
      </c>
      <c r="L59" s="132">
        <v>0</v>
      </c>
      <c r="M59" s="132">
        <v>0</v>
      </c>
    </row>
    <row r="60" spans="2:13" x14ac:dyDescent="0.3">
      <c r="B60" s="132">
        <v>0</v>
      </c>
      <c r="C60" s="132">
        <v>0</v>
      </c>
      <c r="D60" s="132">
        <v>0</v>
      </c>
      <c r="E60" s="132">
        <v>0</v>
      </c>
      <c r="F60" s="132">
        <v>0</v>
      </c>
      <c r="G60" s="132">
        <v>0</v>
      </c>
      <c r="H60" s="132">
        <v>0</v>
      </c>
      <c r="I60" s="132">
        <v>0</v>
      </c>
      <c r="J60" s="132">
        <v>0</v>
      </c>
      <c r="K60" s="132">
        <v>0</v>
      </c>
      <c r="L60" s="132">
        <v>0</v>
      </c>
      <c r="M60" s="132">
        <v>0</v>
      </c>
    </row>
    <row r="61" spans="2:13" x14ac:dyDescent="0.3">
      <c r="B61" s="132">
        <v>0</v>
      </c>
      <c r="C61" s="132">
        <v>0</v>
      </c>
      <c r="D61" s="132">
        <v>0</v>
      </c>
      <c r="E61" s="132">
        <v>0</v>
      </c>
      <c r="F61" s="132">
        <v>0</v>
      </c>
      <c r="G61" s="132">
        <v>0</v>
      </c>
      <c r="H61" s="132">
        <v>0</v>
      </c>
      <c r="I61" s="132">
        <v>0</v>
      </c>
      <c r="J61" s="132">
        <v>0</v>
      </c>
      <c r="K61" s="132">
        <v>0</v>
      </c>
      <c r="L61" s="132">
        <v>0</v>
      </c>
      <c r="M61" s="132">
        <v>0</v>
      </c>
    </row>
    <row r="62" spans="2:13" x14ac:dyDescent="0.3">
      <c r="B62" s="132">
        <v>0</v>
      </c>
      <c r="C62" s="132">
        <v>0</v>
      </c>
      <c r="D62" s="132">
        <v>0</v>
      </c>
      <c r="E62" s="132">
        <v>0</v>
      </c>
      <c r="F62" s="132">
        <v>0</v>
      </c>
      <c r="G62" s="132">
        <v>0</v>
      </c>
      <c r="H62" s="132">
        <v>0</v>
      </c>
      <c r="I62" s="132">
        <v>0</v>
      </c>
      <c r="J62" s="132">
        <v>0</v>
      </c>
      <c r="K62" s="132">
        <v>0</v>
      </c>
      <c r="L62" s="132">
        <v>0</v>
      </c>
      <c r="M62" s="132">
        <v>0</v>
      </c>
    </row>
    <row r="63" spans="2:13" x14ac:dyDescent="0.3">
      <c r="B63" s="132">
        <v>0</v>
      </c>
      <c r="C63" s="132">
        <v>0</v>
      </c>
      <c r="D63" s="132">
        <v>0</v>
      </c>
      <c r="E63" s="132">
        <v>0</v>
      </c>
      <c r="F63" s="132">
        <v>0</v>
      </c>
      <c r="G63" s="132">
        <v>0</v>
      </c>
      <c r="H63" s="132">
        <v>0</v>
      </c>
      <c r="I63" s="132">
        <v>0</v>
      </c>
      <c r="J63" s="132">
        <v>0</v>
      </c>
      <c r="K63" s="132">
        <v>0</v>
      </c>
      <c r="L63" s="132">
        <v>0</v>
      </c>
      <c r="M63" s="132">
        <v>0</v>
      </c>
    </row>
    <row r="64" spans="2:13" x14ac:dyDescent="0.3">
      <c r="B64" s="132">
        <v>0</v>
      </c>
      <c r="C64" s="132">
        <v>0</v>
      </c>
      <c r="D64" s="132">
        <v>0</v>
      </c>
      <c r="E64" s="132">
        <v>0</v>
      </c>
      <c r="F64" s="132">
        <v>0</v>
      </c>
      <c r="G64" s="132">
        <v>0</v>
      </c>
      <c r="H64" s="132">
        <v>0</v>
      </c>
      <c r="I64" s="132">
        <v>0</v>
      </c>
      <c r="J64" s="132">
        <v>0</v>
      </c>
      <c r="K64" s="132">
        <v>0</v>
      </c>
      <c r="L64" s="132">
        <v>0</v>
      </c>
      <c r="M64" s="132">
        <v>0</v>
      </c>
    </row>
    <row r="65" spans="2:13" x14ac:dyDescent="0.3">
      <c r="B65" s="132">
        <v>0</v>
      </c>
      <c r="C65" s="132">
        <v>0</v>
      </c>
      <c r="D65" s="132">
        <v>0</v>
      </c>
      <c r="E65" s="132">
        <v>0</v>
      </c>
      <c r="F65" s="132">
        <v>0</v>
      </c>
      <c r="G65" s="132">
        <v>0</v>
      </c>
      <c r="H65" s="132">
        <v>0</v>
      </c>
      <c r="I65" s="132">
        <v>0</v>
      </c>
      <c r="J65" s="132">
        <v>0</v>
      </c>
      <c r="K65" s="132">
        <v>0</v>
      </c>
      <c r="L65" s="132">
        <v>0</v>
      </c>
      <c r="M65" s="132">
        <v>0</v>
      </c>
    </row>
    <row r="66" spans="2:13" x14ac:dyDescent="0.3">
      <c r="B66" s="132">
        <v>0</v>
      </c>
      <c r="C66" s="132">
        <v>0</v>
      </c>
      <c r="D66" s="132">
        <v>0</v>
      </c>
      <c r="E66" s="132">
        <v>0</v>
      </c>
      <c r="F66" s="132">
        <v>0</v>
      </c>
      <c r="G66" s="132">
        <v>0</v>
      </c>
      <c r="H66" s="132">
        <v>0</v>
      </c>
      <c r="I66" s="132">
        <v>0</v>
      </c>
      <c r="J66" s="132">
        <v>0</v>
      </c>
      <c r="K66" s="132">
        <v>0</v>
      </c>
      <c r="L66" s="132">
        <v>0</v>
      </c>
      <c r="M66" s="132">
        <v>0</v>
      </c>
    </row>
    <row r="67" spans="2:13" x14ac:dyDescent="0.3">
      <c r="B67" s="132">
        <v>0</v>
      </c>
      <c r="C67" s="132">
        <v>0</v>
      </c>
      <c r="D67" s="132">
        <v>0</v>
      </c>
      <c r="E67" s="132">
        <v>0</v>
      </c>
      <c r="F67" s="132">
        <v>0</v>
      </c>
      <c r="G67" s="132">
        <v>0</v>
      </c>
      <c r="H67" s="132">
        <v>0</v>
      </c>
      <c r="I67" s="132">
        <v>0</v>
      </c>
      <c r="J67" s="132">
        <v>0</v>
      </c>
      <c r="K67" s="132">
        <v>0</v>
      </c>
      <c r="L67" s="132">
        <v>0</v>
      </c>
      <c r="M67" s="132">
        <v>0</v>
      </c>
    </row>
    <row r="68" spans="2:13" x14ac:dyDescent="0.3">
      <c r="B68" s="132">
        <v>0</v>
      </c>
      <c r="C68" s="132">
        <v>0</v>
      </c>
      <c r="D68" s="132">
        <v>0</v>
      </c>
      <c r="E68" s="132">
        <v>0</v>
      </c>
      <c r="F68" s="132">
        <v>0</v>
      </c>
      <c r="G68" s="132">
        <v>0</v>
      </c>
      <c r="H68" s="132">
        <v>0</v>
      </c>
      <c r="I68" s="132">
        <v>0</v>
      </c>
      <c r="J68" s="132">
        <v>0</v>
      </c>
      <c r="K68" s="132">
        <v>0</v>
      </c>
      <c r="L68" s="132">
        <v>0</v>
      </c>
      <c r="M68" s="132">
        <v>0</v>
      </c>
    </row>
    <row r="69" spans="2:13" x14ac:dyDescent="0.3">
      <c r="B69" s="132">
        <v>0</v>
      </c>
      <c r="C69" s="132">
        <v>0</v>
      </c>
      <c r="D69" s="132">
        <v>0</v>
      </c>
      <c r="E69" s="132">
        <v>0</v>
      </c>
      <c r="F69" s="132">
        <v>0</v>
      </c>
      <c r="G69" s="132">
        <v>0</v>
      </c>
      <c r="H69" s="132">
        <v>0</v>
      </c>
      <c r="I69" s="132">
        <v>0</v>
      </c>
      <c r="J69" s="132">
        <v>0</v>
      </c>
      <c r="K69" s="132">
        <v>0</v>
      </c>
      <c r="L69" s="132">
        <v>0</v>
      </c>
      <c r="M69" s="132">
        <v>0</v>
      </c>
    </row>
    <row r="70" spans="2:13" x14ac:dyDescent="0.3">
      <c r="B70" s="132">
        <v>0</v>
      </c>
      <c r="C70" s="132">
        <v>0</v>
      </c>
      <c r="D70" s="132">
        <v>0</v>
      </c>
      <c r="E70" s="132">
        <v>0</v>
      </c>
      <c r="F70" s="132">
        <v>0</v>
      </c>
      <c r="G70" s="132">
        <v>0</v>
      </c>
      <c r="H70" s="132">
        <v>0</v>
      </c>
      <c r="I70" s="132">
        <v>0</v>
      </c>
      <c r="J70" s="132">
        <v>0</v>
      </c>
      <c r="K70" s="132">
        <v>0</v>
      </c>
      <c r="L70" s="132">
        <v>0</v>
      </c>
      <c r="M70" s="132">
        <v>0</v>
      </c>
    </row>
    <row r="71" spans="2:13" x14ac:dyDescent="0.3">
      <c r="B71" s="132">
        <v>0</v>
      </c>
      <c r="C71" s="132">
        <v>0</v>
      </c>
      <c r="D71" s="132">
        <v>0</v>
      </c>
      <c r="E71" s="132">
        <v>0</v>
      </c>
      <c r="F71" s="132">
        <v>0</v>
      </c>
      <c r="G71" s="132">
        <v>0</v>
      </c>
      <c r="H71" s="132">
        <v>0</v>
      </c>
      <c r="I71" s="132">
        <v>0</v>
      </c>
      <c r="J71" s="132">
        <v>0</v>
      </c>
      <c r="K71" s="132">
        <v>0</v>
      </c>
      <c r="L71" s="132">
        <v>0</v>
      </c>
      <c r="M71" s="132">
        <v>0</v>
      </c>
    </row>
    <row r="72" spans="2:13" x14ac:dyDescent="0.3">
      <c r="B72" s="132">
        <v>0</v>
      </c>
      <c r="C72" s="132">
        <v>0</v>
      </c>
      <c r="D72" s="132">
        <v>0</v>
      </c>
      <c r="E72" s="132">
        <v>0</v>
      </c>
      <c r="F72" s="132">
        <v>0</v>
      </c>
      <c r="G72" s="132">
        <v>0</v>
      </c>
      <c r="H72" s="132">
        <v>0</v>
      </c>
      <c r="I72" s="132">
        <v>0</v>
      </c>
      <c r="J72" s="132">
        <v>0</v>
      </c>
      <c r="K72" s="132">
        <v>0</v>
      </c>
      <c r="L72" s="132">
        <v>0</v>
      </c>
      <c r="M72" s="132">
        <v>0</v>
      </c>
    </row>
    <row r="73" spans="2:13" x14ac:dyDescent="0.3">
      <c r="B73" s="132">
        <v>0</v>
      </c>
      <c r="C73" s="132">
        <v>0</v>
      </c>
      <c r="D73" s="132">
        <v>0</v>
      </c>
      <c r="E73" s="132">
        <v>0</v>
      </c>
      <c r="F73" s="132">
        <v>0</v>
      </c>
      <c r="G73" s="132">
        <v>0</v>
      </c>
      <c r="H73" s="132">
        <v>0</v>
      </c>
      <c r="I73" s="132">
        <v>0</v>
      </c>
      <c r="J73" s="132">
        <v>0</v>
      </c>
      <c r="K73" s="132">
        <v>0</v>
      </c>
      <c r="L73" s="132">
        <v>0</v>
      </c>
      <c r="M73" s="132">
        <v>0</v>
      </c>
    </row>
    <row r="74" spans="2:13" x14ac:dyDescent="0.3">
      <c r="B74" s="132">
        <v>0</v>
      </c>
      <c r="C74" s="132">
        <v>0</v>
      </c>
      <c r="D74" s="132">
        <v>0</v>
      </c>
      <c r="E74" s="132">
        <v>0</v>
      </c>
      <c r="F74" s="132">
        <v>0</v>
      </c>
      <c r="G74" s="132">
        <v>0</v>
      </c>
      <c r="H74" s="132">
        <v>0</v>
      </c>
      <c r="I74" s="132">
        <v>0</v>
      </c>
      <c r="J74" s="132">
        <v>0</v>
      </c>
      <c r="K74" s="132">
        <v>0</v>
      </c>
      <c r="L74" s="132">
        <v>0</v>
      </c>
      <c r="M74" s="132">
        <v>0</v>
      </c>
    </row>
    <row r="75" spans="2:13" x14ac:dyDescent="0.3">
      <c r="B75" s="132">
        <v>0</v>
      </c>
      <c r="C75" s="132">
        <v>0</v>
      </c>
      <c r="D75" s="132">
        <v>0</v>
      </c>
      <c r="E75" s="132">
        <v>0</v>
      </c>
      <c r="F75" s="132">
        <v>0</v>
      </c>
      <c r="G75" s="132">
        <v>0</v>
      </c>
      <c r="H75" s="132">
        <v>0</v>
      </c>
      <c r="I75" s="132">
        <v>0</v>
      </c>
      <c r="J75" s="132">
        <v>0</v>
      </c>
      <c r="K75" s="132">
        <v>0</v>
      </c>
      <c r="L75" s="132">
        <v>0</v>
      </c>
      <c r="M75" s="132">
        <v>0</v>
      </c>
    </row>
    <row r="76" spans="2:13" x14ac:dyDescent="0.3">
      <c r="B76" s="132">
        <v>0</v>
      </c>
      <c r="C76" s="132">
        <v>0</v>
      </c>
      <c r="D76" s="132">
        <v>0</v>
      </c>
      <c r="E76" s="132">
        <v>0</v>
      </c>
      <c r="F76" s="132">
        <v>0</v>
      </c>
      <c r="G76" s="132">
        <v>0</v>
      </c>
      <c r="H76" s="132">
        <v>0</v>
      </c>
      <c r="I76" s="132">
        <v>0</v>
      </c>
      <c r="J76" s="132">
        <v>0</v>
      </c>
      <c r="K76" s="132">
        <v>0</v>
      </c>
      <c r="L76" s="132">
        <v>0</v>
      </c>
      <c r="M76" s="132">
        <v>0</v>
      </c>
    </row>
    <row r="77" spans="2:13" x14ac:dyDescent="0.3">
      <c r="B77" s="132">
        <v>0</v>
      </c>
      <c r="C77" s="132">
        <v>0</v>
      </c>
      <c r="D77" s="132">
        <v>0</v>
      </c>
      <c r="E77" s="132">
        <v>0</v>
      </c>
      <c r="F77" s="132">
        <v>0</v>
      </c>
      <c r="G77" s="132">
        <v>0</v>
      </c>
      <c r="H77" s="132">
        <v>0</v>
      </c>
      <c r="I77" s="132">
        <v>0</v>
      </c>
      <c r="J77" s="132">
        <v>0</v>
      </c>
      <c r="K77" s="132">
        <v>0</v>
      </c>
      <c r="L77" s="132">
        <v>0</v>
      </c>
      <c r="M77" s="132">
        <v>0</v>
      </c>
    </row>
    <row r="78" spans="2:13" x14ac:dyDescent="0.3">
      <c r="B78" s="132">
        <v>0</v>
      </c>
      <c r="C78" s="132">
        <v>0</v>
      </c>
      <c r="D78" s="132">
        <v>0</v>
      </c>
      <c r="E78" s="132">
        <v>0</v>
      </c>
      <c r="F78" s="132">
        <v>0</v>
      </c>
      <c r="G78" s="132">
        <v>0</v>
      </c>
      <c r="H78" s="132">
        <v>0</v>
      </c>
      <c r="I78" s="132">
        <v>0</v>
      </c>
      <c r="J78" s="132">
        <v>0</v>
      </c>
      <c r="K78" s="132">
        <v>0</v>
      </c>
      <c r="L78" s="132">
        <v>0</v>
      </c>
      <c r="M78" s="132">
        <v>0</v>
      </c>
    </row>
    <row r="79" spans="2:13" x14ac:dyDescent="0.3">
      <c r="B79" s="132">
        <v>0</v>
      </c>
      <c r="C79" s="132">
        <v>0</v>
      </c>
      <c r="D79" s="132">
        <v>0</v>
      </c>
      <c r="E79" s="132">
        <v>0</v>
      </c>
      <c r="F79" s="132">
        <v>0</v>
      </c>
      <c r="G79" s="132">
        <v>0</v>
      </c>
      <c r="H79" s="132">
        <v>0</v>
      </c>
      <c r="I79" s="132">
        <v>0</v>
      </c>
      <c r="J79" s="132">
        <v>0</v>
      </c>
      <c r="K79" s="132">
        <v>0</v>
      </c>
      <c r="L79" s="132">
        <v>0</v>
      </c>
      <c r="M79" s="132">
        <v>0</v>
      </c>
    </row>
    <row r="80" spans="2:13" x14ac:dyDescent="0.3">
      <c r="B80" s="132">
        <v>0</v>
      </c>
      <c r="C80" s="132">
        <v>0</v>
      </c>
      <c r="D80" s="132">
        <v>0</v>
      </c>
      <c r="E80" s="132">
        <v>0</v>
      </c>
      <c r="F80" s="132">
        <v>0</v>
      </c>
      <c r="G80" s="132">
        <v>0</v>
      </c>
      <c r="H80" s="132">
        <v>0</v>
      </c>
      <c r="I80" s="132">
        <v>0</v>
      </c>
      <c r="J80" s="132">
        <v>0</v>
      </c>
      <c r="K80" s="132">
        <v>0</v>
      </c>
      <c r="L80" s="132">
        <v>0</v>
      </c>
      <c r="M80" s="132">
        <v>0</v>
      </c>
    </row>
    <row r="81" spans="2:13" x14ac:dyDescent="0.3">
      <c r="B81" s="132">
        <v>0</v>
      </c>
      <c r="C81" s="132">
        <v>0</v>
      </c>
      <c r="D81" s="132">
        <v>0</v>
      </c>
      <c r="E81" s="132">
        <v>0</v>
      </c>
      <c r="F81" s="132">
        <v>0</v>
      </c>
      <c r="G81" s="132">
        <v>0</v>
      </c>
      <c r="H81" s="132">
        <v>0</v>
      </c>
      <c r="I81" s="132">
        <v>0</v>
      </c>
      <c r="J81" s="132">
        <v>0</v>
      </c>
      <c r="K81" s="132">
        <v>0</v>
      </c>
      <c r="L81" s="132">
        <v>0</v>
      </c>
      <c r="M81" s="132">
        <v>0</v>
      </c>
    </row>
    <row r="82" spans="2:13" x14ac:dyDescent="0.3">
      <c r="B82" s="132">
        <v>0</v>
      </c>
      <c r="C82" s="132">
        <v>0</v>
      </c>
      <c r="D82" s="132">
        <v>0</v>
      </c>
      <c r="E82" s="132">
        <v>0</v>
      </c>
      <c r="F82" s="132">
        <v>0</v>
      </c>
      <c r="G82" s="132">
        <v>0</v>
      </c>
      <c r="H82" s="132">
        <v>0</v>
      </c>
      <c r="I82" s="132">
        <v>0</v>
      </c>
      <c r="J82" s="132">
        <v>0</v>
      </c>
      <c r="K82" s="132">
        <v>0</v>
      </c>
      <c r="L82" s="132">
        <v>0</v>
      </c>
      <c r="M82" s="132">
        <v>0</v>
      </c>
    </row>
    <row r="83" spans="2:13" x14ac:dyDescent="0.3">
      <c r="B83" s="132">
        <v>0</v>
      </c>
      <c r="C83" s="132">
        <v>0</v>
      </c>
      <c r="D83" s="132">
        <v>0</v>
      </c>
      <c r="E83" s="132">
        <v>0</v>
      </c>
      <c r="F83" s="132">
        <v>0</v>
      </c>
      <c r="G83" s="132">
        <v>0</v>
      </c>
      <c r="H83" s="132">
        <v>0</v>
      </c>
      <c r="I83" s="132">
        <v>0</v>
      </c>
      <c r="J83" s="132">
        <v>0</v>
      </c>
      <c r="K83" s="132">
        <v>0</v>
      </c>
      <c r="L83" s="132">
        <v>0</v>
      </c>
      <c r="M83" s="132">
        <v>0</v>
      </c>
    </row>
    <row r="84" spans="2:13" x14ac:dyDescent="0.3">
      <c r="B84" s="132">
        <v>0</v>
      </c>
      <c r="C84" s="132">
        <v>0</v>
      </c>
      <c r="D84" s="132">
        <v>0</v>
      </c>
      <c r="E84" s="132">
        <v>0</v>
      </c>
      <c r="F84" s="132">
        <v>0</v>
      </c>
      <c r="G84" s="132">
        <v>0</v>
      </c>
      <c r="H84" s="132">
        <v>0</v>
      </c>
      <c r="I84" s="132">
        <v>0</v>
      </c>
      <c r="J84" s="132">
        <v>0</v>
      </c>
      <c r="K84" s="132">
        <v>0</v>
      </c>
      <c r="L84" s="132">
        <v>0</v>
      </c>
      <c r="M84" s="132">
        <v>0</v>
      </c>
    </row>
    <row r="85" spans="2:13" x14ac:dyDescent="0.3">
      <c r="B85" s="132">
        <v>0</v>
      </c>
      <c r="C85" s="132">
        <v>0</v>
      </c>
      <c r="D85" s="132">
        <v>0</v>
      </c>
      <c r="E85" s="132">
        <v>0</v>
      </c>
      <c r="F85" s="132">
        <v>0</v>
      </c>
      <c r="G85" s="132">
        <v>0</v>
      </c>
      <c r="H85" s="132">
        <v>0</v>
      </c>
      <c r="I85" s="132">
        <v>0</v>
      </c>
      <c r="J85" s="132">
        <v>0</v>
      </c>
      <c r="K85" s="132">
        <v>0</v>
      </c>
      <c r="L85" s="132">
        <v>0</v>
      </c>
      <c r="M85" s="132">
        <v>0</v>
      </c>
    </row>
    <row r="86" spans="2:13" x14ac:dyDescent="0.3">
      <c r="B86" s="132">
        <v>0</v>
      </c>
      <c r="C86" s="132">
        <v>0</v>
      </c>
      <c r="D86" s="132">
        <v>0</v>
      </c>
      <c r="E86" s="132">
        <v>0</v>
      </c>
      <c r="F86" s="132">
        <v>0</v>
      </c>
      <c r="G86" s="132">
        <v>0</v>
      </c>
      <c r="H86" s="132">
        <v>0</v>
      </c>
      <c r="I86" s="132">
        <v>0</v>
      </c>
      <c r="J86" s="132">
        <v>0</v>
      </c>
      <c r="K86" s="132">
        <v>0</v>
      </c>
      <c r="L86" s="132">
        <v>0</v>
      </c>
      <c r="M86" s="132">
        <v>0</v>
      </c>
    </row>
    <row r="87" spans="2:13" x14ac:dyDescent="0.3">
      <c r="B87" s="132">
        <v>0</v>
      </c>
      <c r="C87" s="132">
        <v>0</v>
      </c>
      <c r="D87" s="132">
        <v>0</v>
      </c>
      <c r="E87" s="132">
        <v>0</v>
      </c>
      <c r="F87" s="132">
        <v>0</v>
      </c>
      <c r="G87" s="132">
        <v>0</v>
      </c>
      <c r="H87" s="132">
        <v>0</v>
      </c>
      <c r="I87" s="132">
        <v>0</v>
      </c>
      <c r="J87" s="132">
        <v>0</v>
      </c>
      <c r="K87" s="132">
        <v>0</v>
      </c>
      <c r="L87" s="132">
        <v>0</v>
      </c>
      <c r="M87" s="132">
        <v>0</v>
      </c>
    </row>
    <row r="88" spans="2:13" x14ac:dyDescent="0.3">
      <c r="B88" s="132">
        <v>0</v>
      </c>
      <c r="C88" s="132">
        <v>0</v>
      </c>
      <c r="D88" s="132">
        <v>0</v>
      </c>
      <c r="E88" s="132">
        <v>0</v>
      </c>
      <c r="F88" s="132">
        <v>0</v>
      </c>
      <c r="G88" s="132">
        <v>0</v>
      </c>
      <c r="H88" s="132">
        <v>0</v>
      </c>
      <c r="I88" s="132">
        <v>0</v>
      </c>
      <c r="J88" s="132">
        <v>0</v>
      </c>
      <c r="K88" s="132">
        <v>0</v>
      </c>
      <c r="L88" s="132">
        <v>0</v>
      </c>
      <c r="M88" s="132">
        <v>0</v>
      </c>
    </row>
    <row r="89" spans="2:13" x14ac:dyDescent="0.3">
      <c r="B89" s="132">
        <v>0</v>
      </c>
      <c r="C89" s="132">
        <v>0</v>
      </c>
      <c r="D89" s="132">
        <v>0</v>
      </c>
      <c r="E89" s="132">
        <v>0</v>
      </c>
      <c r="F89" s="132">
        <v>0</v>
      </c>
      <c r="G89" s="132">
        <v>0</v>
      </c>
      <c r="H89" s="132">
        <v>0</v>
      </c>
      <c r="I89" s="132">
        <v>0</v>
      </c>
      <c r="J89" s="132">
        <v>0</v>
      </c>
      <c r="K89" s="132">
        <v>0</v>
      </c>
      <c r="L89" s="132">
        <v>0</v>
      </c>
      <c r="M89" s="132">
        <v>0</v>
      </c>
    </row>
    <row r="90" spans="2:13" x14ac:dyDescent="0.3">
      <c r="B90" s="132">
        <v>0</v>
      </c>
      <c r="C90" s="132">
        <v>0</v>
      </c>
      <c r="D90" s="132">
        <v>0</v>
      </c>
      <c r="E90" s="132">
        <v>0</v>
      </c>
      <c r="F90" s="132">
        <v>0</v>
      </c>
      <c r="G90" s="132">
        <v>0</v>
      </c>
      <c r="H90" s="132">
        <v>0</v>
      </c>
      <c r="I90" s="132">
        <v>0</v>
      </c>
      <c r="J90" s="132">
        <v>0</v>
      </c>
      <c r="K90" s="132">
        <v>0</v>
      </c>
      <c r="L90" s="132">
        <v>0</v>
      </c>
      <c r="M90" s="132">
        <v>0</v>
      </c>
    </row>
    <row r="91" spans="2:13" x14ac:dyDescent="0.3">
      <c r="B91" s="132">
        <v>0</v>
      </c>
      <c r="C91" s="132">
        <v>0</v>
      </c>
      <c r="D91" s="132">
        <v>0</v>
      </c>
      <c r="E91" s="132">
        <v>0</v>
      </c>
      <c r="F91" s="132">
        <v>0</v>
      </c>
      <c r="G91" s="132">
        <v>0</v>
      </c>
      <c r="H91" s="132">
        <v>0</v>
      </c>
      <c r="I91" s="132">
        <v>0</v>
      </c>
      <c r="J91" s="132">
        <v>0</v>
      </c>
      <c r="K91" s="132">
        <v>0</v>
      </c>
      <c r="L91" s="132">
        <v>0</v>
      </c>
      <c r="M91" s="132">
        <v>0</v>
      </c>
    </row>
    <row r="92" spans="2:13" x14ac:dyDescent="0.3">
      <c r="B92" s="132">
        <v>0</v>
      </c>
      <c r="C92" s="132">
        <v>0</v>
      </c>
      <c r="D92" s="132">
        <v>0</v>
      </c>
      <c r="E92" s="132">
        <v>0</v>
      </c>
      <c r="F92" s="132">
        <v>0</v>
      </c>
      <c r="G92" s="132">
        <v>0</v>
      </c>
      <c r="H92" s="132">
        <v>0</v>
      </c>
      <c r="I92" s="132">
        <v>0</v>
      </c>
      <c r="J92" s="132">
        <v>0</v>
      </c>
      <c r="K92" s="132">
        <v>0</v>
      </c>
      <c r="L92" s="132">
        <v>0</v>
      </c>
      <c r="M92" s="132">
        <v>0</v>
      </c>
    </row>
    <row r="93" spans="2:13" x14ac:dyDescent="0.3">
      <c r="B93" s="132">
        <v>0</v>
      </c>
      <c r="C93" s="132">
        <v>0</v>
      </c>
      <c r="D93" s="132">
        <v>0</v>
      </c>
      <c r="E93" s="132">
        <v>0</v>
      </c>
      <c r="F93" s="132">
        <v>0</v>
      </c>
      <c r="G93" s="132">
        <v>0</v>
      </c>
      <c r="H93" s="132">
        <v>0</v>
      </c>
      <c r="I93" s="132">
        <v>0</v>
      </c>
      <c r="J93" s="132">
        <v>0</v>
      </c>
      <c r="K93" s="132">
        <v>0</v>
      </c>
      <c r="L93" s="132">
        <v>0</v>
      </c>
      <c r="M93" s="132">
        <v>0</v>
      </c>
    </row>
    <row r="94" spans="2:13" x14ac:dyDescent="0.3">
      <c r="B94" s="132">
        <v>0</v>
      </c>
      <c r="C94" s="132">
        <v>0</v>
      </c>
      <c r="D94" s="132">
        <v>0</v>
      </c>
      <c r="E94" s="132">
        <v>0</v>
      </c>
      <c r="F94" s="132">
        <v>0</v>
      </c>
      <c r="G94" s="132">
        <v>0</v>
      </c>
      <c r="H94" s="132">
        <v>0</v>
      </c>
      <c r="I94" s="132">
        <v>0</v>
      </c>
      <c r="J94" s="132">
        <v>0</v>
      </c>
      <c r="K94" s="132">
        <v>0</v>
      </c>
      <c r="L94" s="132">
        <v>0</v>
      </c>
      <c r="M94" s="132">
        <v>0</v>
      </c>
    </row>
    <row r="95" spans="2:13" x14ac:dyDescent="0.3">
      <c r="B95" s="132">
        <v>0</v>
      </c>
      <c r="C95" s="132">
        <v>0</v>
      </c>
      <c r="D95" s="132">
        <v>0</v>
      </c>
      <c r="E95" s="132">
        <v>0</v>
      </c>
      <c r="F95" s="132">
        <v>0</v>
      </c>
      <c r="G95" s="132">
        <v>0</v>
      </c>
      <c r="H95" s="132">
        <v>0</v>
      </c>
      <c r="I95" s="132">
        <v>0</v>
      </c>
      <c r="J95" s="132">
        <v>0</v>
      </c>
      <c r="K95" s="132">
        <v>0</v>
      </c>
      <c r="L95" s="132">
        <v>0</v>
      </c>
      <c r="M95" s="132">
        <v>0</v>
      </c>
    </row>
    <row r="96" spans="2:13" x14ac:dyDescent="0.3">
      <c r="B96" s="132">
        <v>0</v>
      </c>
      <c r="C96" s="132">
        <v>0</v>
      </c>
      <c r="D96" s="132">
        <v>0</v>
      </c>
      <c r="E96" s="132">
        <v>0</v>
      </c>
      <c r="F96" s="132">
        <v>0</v>
      </c>
      <c r="G96" s="132">
        <v>0</v>
      </c>
      <c r="H96" s="132">
        <v>0</v>
      </c>
      <c r="I96" s="132">
        <v>0</v>
      </c>
      <c r="J96" s="132">
        <v>0</v>
      </c>
      <c r="K96" s="132">
        <v>0</v>
      </c>
      <c r="L96" s="132">
        <v>0</v>
      </c>
      <c r="M96" s="132">
        <v>0</v>
      </c>
    </row>
    <row r="97" spans="2:13" x14ac:dyDescent="0.3">
      <c r="B97" s="132">
        <v>0</v>
      </c>
      <c r="C97" s="132">
        <v>0</v>
      </c>
      <c r="D97" s="132">
        <v>0</v>
      </c>
      <c r="E97" s="132">
        <v>0</v>
      </c>
      <c r="F97" s="132">
        <v>0</v>
      </c>
      <c r="G97" s="132">
        <v>0</v>
      </c>
      <c r="H97" s="132">
        <v>0</v>
      </c>
      <c r="I97" s="132">
        <v>0</v>
      </c>
      <c r="J97" s="132">
        <v>0</v>
      </c>
      <c r="K97" s="132">
        <v>0</v>
      </c>
      <c r="L97" s="132">
        <v>0</v>
      </c>
      <c r="M97" s="132">
        <v>0</v>
      </c>
    </row>
    <row r="98" spans="2:13" x14ac:dyDescent="0.3">
      <c r="B98" s="132">
        <v>0</v>
      </c>
      <c r="C98" s="132">
        <v>0</v>
      </c>
      <c r="D98" s="132">
        <v>0</v>
      </c>
      <c r="E98" s="132">
        <v>0</v>
      </c>
      <c r="F98" s="132">
        <v>0</v>
      </c>
      <c r="G98" s="132">
        <v>0</v>
      </c>
      <c r="H98" s="132">
        <v>0</v>
      </c>
      <c r="I98" s="132">
        <v>0</v>
      </c>
      <c r="J98" s="132">
        <v>0</v>
      </c>
      <c r="K98" s="132">
        <v>0</v>
      </c>
      <c r="L98" s="132">
        <v>0</v>
      </c>
      <c r="M98" s="132">
        <v>0</v>
      </c>
    </row>
    <row r="99" spans="2:13" x14ac:dyDescent="0.3">
      <c r="B99" s="132">
        <v>0</v>
      </c>
      <c r="C99" s="132">
        <v>0</v>
      </c>
      <c r="D99" s="132">
        <v>0</v>
      </c>
      <c r="E99" s="132">
        <v>0</v>
      </c>
      <c r="F99" s="132">
        <v>0</v>
      </c>
      <c r="G99" s="132">
        <v>0</v>
      </c>
      <c r="H99" s="132">
        <v>0</v>
      </c>
      <c r="I99" s="132">
        <v>0</v>
      </c>
      <c r="J99" s="132">
        <v>0</v>
      </c>
      <c r="K99" s="132">
        <v>0</v>
      </c>
      <c r="L99" s="132">
        <v>0</v>
      </c>
      <c r="M99" s="132">
        <v>0</v>
      </c>
    </row>
    <row r="100" spans="2:13" x14ac:dyDescent="0.3">
      <c r="B100" s="132">
        <v>0</v>
      </c>
      <c r="C100" s="132">
        <v>0</v>
      </c>
      <c r="D100" s="132">
        <v>0</v>
      </c>
      <c r="E100" s="132">
        <v>0</v>
      </c>
      <c r="F100" s="132">
        <v>0</v>
      </c>
      <c r="G100" s="132">
        <v>0</v>
      </c>
      <c r="H100" s="132">
        <v>0</v>
      </c>
      <c r="I100" s="132">
        <v>0</v>
      </c>
      <c r="J100" s="132">
        <v>0</v>
      </c>
      <c r="K100" s="132">
        <v>0</v>
      </c>
      <c r="L100" s="132">
        <v>0</v>
      </c>
      <c r="M100" s="132">
        <v>0</v>
      </c>
    </row>
    <row r="101" spans="2:13" x14ac:dyDescent="0.3">
      <c r="B101" s="132">
        <v>0</v>
      </c>
      <c r="C101" s="132">
        <v>0</v>
      </c>
      <c r="D101" s="132">
        <v>0</v>
      </c>
      <c r="E101" s="132">
        <v>0</v>
      </c>
      <c r="F101" s="132">
        <v>0</v>
      </c>
      <c r="G101" s="132">
        <v>0</v>
      </c>
      <c r="H101" s="132">
        <v>0</v>
      </c>
      <c r="I101" s="132">
        <v>0</v>
      </c>
      <c r="J101" s="132">
        <v>0</v>
      </c>
      <c r="K101" s="132">
        <v>0</v>
      </c>
      <c r="L101" s="132">
        <v>0</v>
      </c>
      <c r="M101" s="132">
        <v>0</v>
      </c>
    </row>
    <row r="102" spans="2:13" x14ac:dyDescent="0.3">
      <c r="B102" s="132">
        <v>0</v>
      </c>
      <c r="C102" s="132">
        <v>0</v>
      </c>
      <c r="D102" s="132">
        <v>0</v>
      </c>
      <c r="E102" s="132">
        <v>0</v>
      </c>
      <c r="F102" s="132">
        <v>0</v>
      </c>
      <c r="G102" s="132">
        <v>0</v>
      </c>
      <c r="H102" s="132">
        <v>0</v>
      </c>
      <c r="I102" s="132">
        <v>0</v>
      </c>
      <c r="J102" s="132">
        <v>0</v>
      </c>
      <c r="K102" s="132">
        <v>0</v>
      </c>
      <c r="L102" s="132">
        <v>0</v>
      </c>
      <c r="M102" s="132">
        <v>0</v>
      </c>
    </row>
    <row r="103" spans="2:13" x14ac:dyDescent="0.3">
      <c r="B103" s="132">
        <v>0</v>
      </c>
      <c r="C103" s="132">
        <v>0</v>
      </c>
      <c r="D103" s="132">
        <v>0</v>
      </c>
      <c r="E103" s="132">
        <v>0</v>
      </c>
      <c r="F103" s="132">
        <v>0</v>
      </c>
      <c r="G103" s="132">
        <v>0</v>
      </c>
      <c r="H103" s="132">
        <v>0</v>
      </c>
      <c r="I103" s="132">
        <v>0</v>
      </c>
      <c r="J103" s="132">
        <v>0</v>
      </c>
      <c r="K103" s="132">
        <v>0</v>
      </c>
      <c r="L103" s="132">
        <v>0</v>
      </c>
      <c r="M103" s="132">
        <v>0</v>
      </c>
    </row>
    <row r="104" spans="2:13" x14ac:dyDescent="0.3">
      <c r="B104" s="132">
        <v>0</v>
      </c>
      <c r="C104" s="132">
        <v>0</v>
      </c>
      <c r="D104" s="132">
        <v>0</v>
      </c>
      <c r="E104" s="132">
        <v>0</v>
      </c>
      <c r="F104" s="132">
        <v>0</v>
      </c>
      <c r="G104" s="132">
        <v>0</v>
      </c>
      <c r="H104" s="132">
        <v>0</v>
      </c>
      <c r="I104" s="132">
        <v>0</v>
      </c>
      <c r="J104" s="132">
        <v>0</v>
      </c>
      <c r="K104" s="132">
        <v>0</v>
      </c>
      <c r="L104" s="132">
        <v>0</v>
      </c>
      <c r="M104" s="132">
        <v>0</v>
      </c>
    </row>
    <row r="105" spans="2:13" x14ac:dyDescent="0.3">
      <c r="B105" s="132">
        <v>0</v>
      </c>
      <c r="C105" s="132">
        <v>0</v>
      </c>
      <c r="D105" s="132">
        <v>0</v>
      </c>
      <c r="E105" s="132">
        <v>0</v>
      </c>
      <c r="F105" s="132">
        <v>0</v>
      </c>
      <c r="G105" s="132">
        <v>0</v>
      </c>
      <c r="H105" s="132">
        <v>0</v>
      </c>
      <c r="I105" s="132">
        <v>0</v>
      </c>
      <c r="J105" s="132">
        <v>0</v>
      </c>
      <c r="K105" s="132">
        <v>0</v>
      </c>
      <c r="L105" s="132">
        <v>0</v>
      </c>
      <c r="M105" s="132">
        <v>0</v>
      </c>
    </row>
    <row r="106" spans="2:13" x14ac:dyDescent="0.3">
      <c r="B106" s="132">
        <v>0</v>
      </c>
      <c r="C106" s="132">
        <v>0</v>
      </c>
      <c r="D106" s="132">
        <v>0</v>
      </c>
      <c r="E106" s="132">
        <v>0</v>
      </c>
      <c r="F106" s="132">
        <v>0</v>
      </c>
      <c r="G106" s="132">
        <v>0</v>
      </c>
      <c r="H106" s="132">
        <v>0</v>
      </c>
      <c r="I106" s="132">
        <v>0</v>
      </c>
      <c r="J106" s="132">
        <v>0</v>
      </c>
      <c r="K106" s="132">
        <v>0</v>
      </c>
      <c r="L106" s="132">
        <v>0</v>
      </c>
      <c r="M106" s="132">
        <v>0</v>
      </c>
    </row>
    <row r="107" spans="2:13" x14ac:dyDescent="0.3">
      <c r="B107" s="132">
        <v>0</v>
      </c>
      <c r="C107" s="132">
        <v>0</v>
      </c>
      <c r="D107" s="132">
        <v>0</v>
      </c>
      <c r="E107" s="132">
        <v>0</v>
      </c>
      <c r="F107" s="132">
        <v>0</v>
      </c>
      <c r="G107" s="132">
        <v>0</v>
      </c>
      <c r="H107" s="132">
        <v>0</v>
      </c>
      <c r="I107" s="132">
        <v>0</v>
      </c>
      <c r="J107" s="132">
        <v>0</v>
      </c>
      <c r="K107" s="132">
        <v>0</v>
      </c>
      <c r="L107" s="132">
        <v>0</v>
      </c>
      <c r="M107" s="132">
        <v>0</v>
      </c>
    </row>
    <row r="108" spans="2:13" x14ac:dyDescent="0.3">
      <c r="B108" s="132">
        <v>0</v>
      </c>
      <c r="C108" s="132">
        <v>0</v>
      </c>
      <c r="D108" s="132">
        <v>0</v>
      </c>
      <c r="E108" s="132">
        <v>0</v>
      </c>
      <c r="F108" s="132">
        <v>0</v>
      </c>
      <c r="G108" s="132">
        <v>0</v>
      </c>
      <c r="H108" s="132">
        <v>0</v>
      </c>
      <c r="I108" s="132">
        <v>0</v>
      </c>
      <c r="J108" s="132">
        <v>0</v>
      </c>
      <c r="K108" s="132">
        <v>0</v>
      </c>
      <c r="L108" s="132">
        <v>0</v>
      </c>
      <c r="M108" s="132">
        <v>0</v>
      </c>
    </row>
    <row r="109" spans="2:13" x14ac:dyDescent="0.3">
      <c r="B109" s="132">
        <v>0</v>
      </c>
      <c r="C109" s="132">
        <v>0</v>
      </c>
      <c r="D109" s="132">
        <v>0</v>
      </c>
      <c r="E109" s="132">
        <v>0</v>
      </c>
      <c r="F109" s="132">
        <v>0</v>
      </c>
      <c r="G109" s="132">
        <v>0</v>
      </c>
      <c r="H109" s="132">
        <v>0</v>
      </c>
      <c r="I109" s="132">
        <v>0</v>
      </c>
      <c r="J109" s="132">
        <v>0</v>
      </c>
      <c r="K109" s="132">
        <v>0</v>
      </c>
      <c r="L109" s="132">
        <v>0</v>
      </c>
      <c r="M109" s="132">
        <v>0</v>
      </c>
    </row>
    <row r="110" spans="2:13" x14ac:dyDescent="0.3">
      <c r="B110" s="132">
        <v>0</v>
      </c>
      <c r="C110" s="132">
        <v>0</v>
      </c>
      <c r="D110" s="132">
        <v>0</v>
      </c>
      <c r="E110" s="132">
        <v>0</v>
      </c>
      <c r="F110" s="132">
        <v>0</v>
      </c>
      <c r="G110" s="132">
        <v>0</v>
      </c>
      <c r="H110" s="132">
        <v>0</v>
      </c>
      <c r="I110" s="132">
        <v>0</v>
      </c>
      <c r="J110" s="132">
        <v>0</v>
      </c>
      <c r="K110" s="132">
        <v>0</v>
      </c>
      <c r="L110" s="132">
        <v>0</v>
      </c>
      <c r="M110" s="132">
        <v>0</v>
      </c>
    </row>
    <row r="111" spans="2:13" x14ac:dyDescent="0.3">
      <c r="B111" s="132">
        <v>0</v>
      </c>
      <c r="C111" s="132">
        <v>0</v>
      </c>
      <c r="D111" s="132">
        <v>0</v>
      </c>
      <c r="E111" s="132">
        <v>0</v>
      </c>
      <c r="F111" s="132">
        <v>0</v>
      </c>
      <c r="G111" s="132">
        <v>0</v>
      </c>
      <c r="H111" s="132">
        <v>0</v>
      </c>
      <c r="I111" s="132">
        <v>0</v>
      </c>
      <c r="J111" s="132">
        <v>0</v>
      </c>
      <c r="K111" s="132">
        <v>0</v>
      </c>
      <c r="L111" s="132">
        <v>0</v>
      </c>
      <c r="M111" s="132">
        <v>0</v>
      </c>
    </row>
    <row r="112" spans="2:13" x14ac:dyDescent="0.3">
      <c r="B112" s="132">
        <v>0</v>
      </c>
      <c r="C112" s="132">
        <v>0</v>
      </c>
      <c r="D112" s="132">
        <v>0</v>
      </c>
      <c r="E112" s="132">
        <v>0</v>
      </c>
      <c r="F112" s="132">
        <v>0</v>
      </c>
      <c r="G112" s="132">
        <v>0</v>
      </c>
      <c r="H112" s="132">
        <v>0</v>
      </c>
      <c r="I112" s="132">
        <v>0</v>
      </c>
      <c r="J112" s="132">
        <v>0</v>
      </c>
      <c r="K112" s="132">
        <v>0</v>
      </c>
      <c r="L112" s="132">
        <v>0</v>
      </c>
      <c r="M112" s="132">
        <v>0</v>
      </c>
    </row>
    <row r="113" spans="2:13" x14ac:dyDescent="0.3">
      <c r="B113" s="132">
        <v>0</v>
      </c>
      <c r="C113" s="132">
        <v>0</v>
      </c>
      <c r="D113" s="132">
        <v>0</v>
      </c>
      <c r="E113" s="132">
        <v>0</v>
      </c>
      <c r="F113" s="132">
        <v>0</v>
      </c>
      <c r="G113" s="132">
        <v>0</v>
      </c>
      <c r="H113" s="132">
        <v>0</v>
      </c>
      <c r="I113" s="132">
        <v>0</v>
      </c>
      <c r="J113" s="132">
        <v>0</v>
      </c>
      <c r="K113" s="132">
        <v>0</v>
      </c>
      <c r="L113" s="132">
        <v>0</v>
      </c>
      <c r="M113" s="132">
        <v>0</v>
      </c>
    </row>
    <row r="114" spans="2:13" x14ac:dyDescent="0.3">
      <c r="B114" s="132">
        <v>0</v>
      </c>
      <c r="C114" s="132">
        <v>0</v>
      </c>
      <c r="D114" s="132">
        <v>0</v>
      </c>
      <c r="E114" s="132">
        <v>0</v>
      </c>
      <c r="F114" s="132">
        <v>0</v>
      </c>
      <c r="G114" s="132">
        <v>0</v>
      </c>
      <c r="H114" s="132">
        <v>0</v>
      </c>
      <c r="I114" s="132">
        <v>0</v>
      </c>
      <c r="J114" s="132">
        <v>0</v>
      </c>
      <c r="K114" s="132">
        <v>0</v>
      </c>
      <c r="L114" s="132">
        <v>0</v>
      </c>
      <c r="M114" s="132">
        <v>0</v>
      </c>
    </row>
    <row r="115" spans="2:13" x14ac:dyDescent="0.3">
      <c r="B115" s="132">
        <v>0</v>
      </c>
      <c r="C115" s="132">
        <v>0</v>
      </c>
      <c r="D115" s="132">
        <v>0</v>
      </c>
      <c r="E115" s="132">
        <v>0</v>
      </c>
      <c r="F115" s="132">
        <v>0</v>
      </c>
      <c r="G115" s="132">
        <v>0</v>
      </c>
      <c r="H115" s="132">
        <v>0</v>
      </c>
      <c r="I115" s="132">
        <v>0</v>
      </c>
      <c r="J115" s="132">
        <v>0</v>
      </c>
      <c r="K115" s="132">
        <v>0</v>
      </c>
      <c r="L115" s="132">
        <v>0</v>
      </c>
      <c r="M115" s="132">
        <v>0</v>
      </c>
    </row>
    <row r="116" spans="2:13" x14ac:dyDescent="0.3">
      <c r="B116" s="132">
        <v>0</v>
      </c>
      <c r="C116" s="132">
        <v>0</v>
      </c>
      <c r="D116" s="132">
        <v>0</v>
      </c>
      <c r="E116" s="132">
        <v>0</v>
      </c>
      <c r="F116" s="132">
        <v>0</v>
      </c>
      <c r="G116" s="132">
        <v>0</v>
      </c>
      <c r="H116" s="132">
        <v>0</v>
      </c>
      <c r="I116" s="132">
        <v>0</v>
      </c>
      <c r="J116" s="132">
        <v>0</v>
      </c>
      <c r="K116" s="132">
        <v>0</v>
      </c>
      <c r="L116" s="132">
        <v>0</v>
      </c>
      <c r="M116" s="132">
        <v>0</v>
      </c>
    </row>
    <row r="117" spans="2:13" x14ac:dyDescent="0.3">
      <c r="B117" s="132">
        <v>0</v>
      </c>
      <c r="C117" s="132">
        <v>0</v>
      </c>
      <c r="D117" s="132">
        <v>0</v>
      </c>
      <c r="E117" s="132">
        <v>0</v>
      </c>
      <c r="F117" s="132">
        <v>0</v>
      </c>
      <c r="G117" s="132">
        <v>0</v>
      </c>
      <c r="H117" s="132">
        <v>0</v>
      </c>
      <c r="I117" s="132">
        <v>0</v>
      </c>
      <c r="J117" s="132">
        <v>0</v>
      </c>
      <c r="K117" s="132">
        <v>0</v>
      </c>
      <c r="L117" s="132">
        <v>0</v>
      </c>
      <c r="M117" s="132">
        <v>0</v>
      </c>
    </row>
    <row r="118" spans="2:13" x14ac:dyDescent="0.3">
      <c r="B118" s="132">
        <v>0</v>
      </c>
      <c r="C118" s="132">
        <v>0</v>
      </c>
      <c r="D118" s="132">
        <v>0</v>
      </c>
      <c r="E118" s="132">
        <v>0</v>
      </c>
      <c r="F118" s="132">
        <v>0</v>
      </c>
      <c r="G118" s="132">
        <v>0</v>
      </c>
      <c r="H118" s="132">
        <v>0</v>
      </c>
      <c r="I118" s="132">
        <v>0</v>
      </c>
      <c r="J118" s="132">
        <v>0</v>
      </c>
      <c r="K118" s="132">
        <v>0</v>
      </c>
      <c r="L118" s="132">
        <v>0</v>
      </c>
      <c r="M118" s="132">
        <v>0</v>
      </c>
    </row>
    <row r="119" spans="2:13" x14ac:dyDescent="0.3">
      <c r="B119" s="132">
        <v>0</v>
      </c>
      <c r="C119" s="132">
        <v>0</v>
      </c>
      <c r="D119" s="132">
        <v>0</v>
      </c>
      <c r="E119" s="132">
        <v>0</v>
      </c>
      <c r="F119" s="132">
        <v>0</v>
      </c>
      <c r="G119" s="132">
        <v>0</v>
      </c>
      <c r="H119" s="132">
        <v>0</v>
      </c>
      <c r="I119" s="132">
        <v>0</v>
      </c>
      <c r="J119" s="132">
        <v>0</v>
      </c>
      <c r="K119" s="132">
        <v>0</v>
      </c>
      <c r="L119" s="132">
        <v>0</v>
      </c>
      <c r="M119" s="132">
        <v>0</v>
      </c>
    </row>
    <row r="120" spans="2:13" x14ac:dyDescent="0.3">
      <c r="B120" s="132">
        <v>0</v>
      </c>
      <c r="C120" s="132">
        <v>0</v>
      </c>
      <c r="D120" s="132">
        <v>0</v>
      </c>
      <c r="E120" s="132">
        <v>0</v>
      </c>
      <c r="F120" s="132">
        <v>0</v>
      </c>
      <c r="G120" s="132">
        <v>0</v>
      </c>
      <c r="H120" s="132">
        <v>0</v>
      </c>
      <c r="I120" s="132">
        <v>0</v>
      </c>
      <c r="J120" s="132">
        <v>0</v>
      </c>
      <c r="K120" s="132">
        <v>0</v>
      </c>
      <c r="L120" s="132">
        <v>0</v>
      </c>
      <c r="M120" s="132">
        <v>0</v>
      </c>
    </row>
    <row r="121" spans="2:13" x14ac:dyDescent="0.3">
      <c r="B121" s="132">
        <v>0</v>
      </c>
      <c r="C121" s="132">
        <v>0</v>
      </c>
      <c r="D121" s="132">
        <v>0</v>
      </c>
      <c r="E121" s="132">
        <v>0</v>
      </c>
      <c r="F121" s="132">
        <v>0</v>
      </c>
      <c r="G121" s="132">
        <v>0</v>
      </c>
      <c r="H121" s="132">
        <v>0</v>
      </c>
      <c r="I121" s="132">
        <v>0</v>
      </c>
      <c r="J121" s="132">
        <v>0</v>
      </c>
      <c r="K121" s="132">
        <v>0</v>
      </c>
      <c r="L121" s="132">
        <v>0</v>
      </c>
      <c r="M121" s="132">
        <v>0</v>
      </c>
    </row>
    <row r="122" spans="2:13" x14ac:dyDescent="0.3">
      <c r="B122" s="132">
        <v>0</v>
      </c>
      <c r="C122" s="132">
        <v>0</v>
      </c>
      <c r="D122" s="132">
        <v>0</v>
      </c>
      <c r="E122" s="132">
        <v>0</v>
      </c>
      <c r="F122" s="132">
        <v>0</v>
      </c>
      <c r="G122" s="132">
        <v>0</v>
      </c>
      <c r="H122" s="132">
        <v>0</v>
      </c>
      <c r="I122" s="132">
        <v>0</v>
      </c>
      <c r="J122" s="132">
        <v>0</v>
      </c>
      <c r="K122" s="132">
        <v>0</v>
      </c>
      <c r="L122" s="132">
        <v>0</v>
      </c>
      <c r="M122" s="132">
        <v>0</v>
      </c>
    </row>
    <row r="123" spans="2:13" x14ac:dyDescent="0.3">
      <c r="B123" s="132">
        <v>0</v>
      </c>
      <c r="C123" s="132">
        <v>0</v>
      </c>
      <c r="D123" s="132">
        <v>0</v>
      </c>
      <c r="E123" s="132">
        <v>0</v>
      </c>
      <c r="F123" s="132">
        <v>0</v>
      </c>
      <c r="G123" s="132">
        <v>0</v>
      </c>
      <c r="H123" s="132">
        <v>0</v>
      </c>
      <c r="I123" s="132">
        <v>0</v>
      </c>
      <c r="J123" s="132">
        <v>0</v>
      </c>
      <c r="K123" s="132">
        <v>0</v>
      </c>
      <c r="L123" s="132">
        <v>0</v>
      </c>
      <c r="M123" s="132">
        <v>0</v>
      </c>
    </row>
    <row r="124" spans="2:13" x14ac:dyDescent="0.3">
      <c r="B124" s="132">
        <v>0</v>
      </c>
      <c r="C124" s="132">
        <v>0</v>
      </c>
      <c r="D124" s="132">
        <v>0</v>
      </c>
      <c r="E124" s="132">
        <v>0</v>
      </c>
      <c r="F124" s="132">
        <v>0</v>
      </c>
      <c r="G124" s="132">
        <v>0</v>
      </c>
      <c r="H124" s="132">
        <v>0</v>
      </c>
      <c r="I124" s="132">
        <v>0</v>
      </c>
      <c r="J124" s="132">
        <v>0</v>
      </c>
      <c r="K124" s="132">
        <v>0</v>
      </c>
      <c r="L124" s="132">
        <v>0</v>
      </c>
      <c r="M124" s="132">
        <v>0</v>
      </c>
    </row>
    <row r="125" spans="2:13" x14ac:dyDescent="0.3">
      <c r="B125" s="132">
        <v>0</v>
      </c>
      <c r="C125" s="132">
        <v>0</v>
      </c>
      <c r="D125" s="132">
        <v>0</v>
      </c>
      <c r="E125" s="132">
        <v>0</v>
      </c>
      <c r="F125" s="132">
        <v>0</v>
      </c>
      <c r="G125" s="132">
        <v>0</v>
      </c>
      <c r="H125" s="132">
        <v>0</v>
      </c>
      <c r="I125" s="132">
        <v>0</v>
      </c>
      <c r="J125" s="132">
        <v>0</v>
      </c>
      <c r="K125" s="132">
        <v>0</v>
      </c>
      <c r="L125" s="132">
        <v>0</v>
      </c>
      <c r="M125" s="132">
        <v>0</v>
      </c>
    </row>
    <row r="126" spans="2:13" x14ac:dyDescent="0.3">
      <c r="B126" s="132">
        <v>0</v>
      </c>
      <c r="C126" s="132">
        <v>0</v>
      </c>
      <c r="D126" s="132">
        <v>0</v>
      </c>
      <c r="E126" s="132">
        <v>0</v>
      </c>
      <c r="F126" s="132">
        <v>0</v>
      </c>
      <c r="G126" s="132">
        <v>0</v>
      </c>
      <c r="H126" s="132">
        <v>0</v>
      </c>
      <c r="I126" s="132">
        <v>0</v>
      </c>
      <c r="J126" s="132">
        <v>0</v>
      </c>
      <c r="K126" s="132">
        <v>0</v>
      </c>
      <c r="L126" s="132">
        <v>0</v>
      </c>
      <c r="M126" s="132">
        <v>0</v>
      </c>
    </row>
    <row r="127" spans="2:13" x14ac:dyDescent="0.3">
      <c r="B127" s="132">
        <v>0</v>
      </c>
      <c r="C127" s="132">
        <v>0</v>
      </c>
      <c r="D127" s="132">
        <v>0</v>
      </c>
      <c r="E127" s="132">
        <v>0</v>
      </c>
      <c r="F127" s="132">
        <v>0</v>
      </c>
      <c r="G127" s="132">
        <v>0</v>
      </c>
      <c r="H127" s="132">
        <v>0</v>
      </c>
      <c r="I127" s="132">
        <v>0</v>
      </c>
      <c r="J127" s="132">
        <v>0</v>
      </c>
      <c r="K127" s="132">
        <v>0</v>
      </c>
      <c r="L127" s="132">
        <v>0</v>
      </c>
      <c r="M127" s="132">
        <v>0</v>
      </c>
    </row>
    <row r="128" spans="2:13" x14ac:dyDescent="0.3">
      <c r="B128" s="132">
        <v>0</v>
      </c>
      <c r="C128" s="132">
        <v>0</v>
      </c>
      <c r="D128" s="132">
        <v>0</v>
      </c>
      <c r="E128" s="132">
        <v>0</v>
      </c>
      <c r="F128" s="132">
        <v>0</v>
      </c>
      <c r="G128" s="132">
        <v>0</v>
      </c>
      <c r="H128" s="132">
        <v>0</v>
      </c>
      <c r="I128" s="132">
        <v>0</v>
      </c>
      <c r="J128" s="132">
        <v>0</v>
      </c>
      <c r="K128" s="132">
        <v>0</v>
      </c>
      <c r="L128" s="132">
        <v>0</v>
      </c>
      <c r="M128" s="132">
        <v>0</v>
      </c>
    </row>
    <row r="129" spans="2:13" x14ac:dyDescent="0.3">
      <c r="B129" s="132">
        <v>0</v>
      </c>
      <c r="C129" s="132">
        <v>0</v>
      </c>
      <c r="D129" s="132">
        <v>0</v>
      </c>
      <c r="E129" s="132">
        <v>0</v>
      </c>
      <c r="F129" s="132">
        <v>0</v>
      </c>
      <c r="G129" s="132">
        <v>0</v>
      </c>
      <c r="H129" s="132">
        <v>0</v>
      </c>
      <c r="I129" s="132">
        <v>0</v>
      </c>
      <c r="J129" s="132">
        <v>0</v>
      </c>
      <c r="K129" s="132">
        <v>0</v>
      </c>
      <c r="L129" s="132">
        <v>0</v>
      </c>
      <c r="M129" s="132">
        <v>0</v>
      </c>
    </row>
    <row r="130" spans="2:13" x14ac:dyDescent="0.3">
      <c r="B130" s="132">
        <v>0</v>
      </c>
      <c r="C130" s="132">
        <v>0</v>
      </c>
      <c r="D130" s="132">
        <v>0</v>
      </c>
      <c r="E130" s="132">
        <v>0</v>
      </c>
      <c r="F130" s="132">
        <v>0</v>
      </c>
      <c r="G130" s="132">
        <v>0</v>
      </c>
      <c r="H130" s="132">
        <v>0</v>
      </c>
      <c r="I130" s="132">
        <v>0</v>
      </c>
      <c r="J130" s="132">
        <v>0</v>
      </c>
      <c r="K130" s="132">
        <v>0</v>
      </c>
      <c r="L130" s="132">
        <v>0</v>
      </c>
      <c r="M130" s="132">
        <v>0</v>
      </c>
    </row>
    <row r="131" spans="2:13" x14ac:dyDescent="0.3">
      <c r="B131" s="132">
        <v>0</v>
      </c>
      <c r="C131" s="132">
        <v>0</v>
      </c>
      <c r="D131" s="132">
        <v>0</v>
      </c>
      <c r="E131" s="132">
        <v>0</v>
      </c>
      <c r="F131" s="132">
        <v>0</v>
      </c>
      <c r="G131" s="132">
        <v>0</v>
      </c>
      <c r="H131" s="132">
        <v>0</v>
      </c>
      <c r="I131" s="132">
        <v>0</v>
      </c>
      <c r="J131" s="132">
        <v>0</v>
      </c>
      <c r="K131" s="132">
        <v>0</v>
      </c>
      <c r="L131" s="132">
        <v>0</v>
      </c>
      <c r="M131" s="132">
        <v>0</v>
      </c>
    </row>
    <row r="132" spans="2:13" x14ac:dyDescent="0.3">
      <c r="B132" s="132">
        <v>0</v>
      </c>
      <c r="C132" s="132">
        <v>0</v>
      </c>
      <c r="D132" s="132">
        <v>0</v>
      </c>
      <c r="E132" s="132">
        <v>0</v>
      </c>
      <c r="F132" s="132">
        <v>0</v>
      </c>
      <c r="G132" s="132">
        <v>0</v>
      </c>
      <c r="H132" s="132">
        <v>0</v>
      </c>
      <c r="I132" s="132">
        <v>0</v>
      </c>
      <c r="J132" s="132">
        <v>0</v>
      </c>
      <c r="K132" s="132">
        <v>0</v>
      </c>
      <c r="L132" s="132">
        <v>0</v>
      </c>
      <c r="M132" s="132">
        <v>0</v>
      </c>
    </row>
    <row r="133" spans="2:13" x14ac:dyDescent="0.3">
      <c r="B133" s="132">
        <v>0</v>
      </c>
      <c r="C133" s="132">
        <v>0</v>
      </c>
      <c r="D133" s="132">
        <v>0</v>
      </c>
      <c r="E133" s="132">
        <v>0</v>
      </c>
      <c r="F133" s="132">
        <v>0</v>
      </c>
      <c r="G133" s="132">
        <v>0</v>
      </c>
      <c r="H133" s="132">
        <v>0</v>
      </c>
      <c r="I133" s="132">
        <v>0</v>
      </c>
      <c r="J133" s="132">
        <v>0</v>
      </c>
      <c r="K133" s="132">
        <v>0</v>
      </c>
      <c r="L133" s="132">
        <v>0</v>
      </c>
      <c r="M133" s="132">
        <v>0</v>
      </c>
    </row>
    <row r="134" spans="2:13" x14ac:dyDescent="0.3">
      <c r="B134" s="132">
        <v>0</v>
      </c>
      <c r="C134" s="132">
        <v>0</v>
      </c>
      <c r="D134" s="132">
        <v>0</v>
      </c>
      <c r="E134" s="132">
        <v>0</v>
      </c>
      <c r="F134" s="132">
        <v>0</v>
      </c>
      <c r="G134" s="132">
        <v>0</v>
      </c>
      <c r="H134" s="132">
        <v>0</v>
      </c>
      <c r="I134" s="132">
        <v>0</v>
      </c>
      <c r="J134" s="132">
        <v>0</v>
      </c>
      <c r="K134" s="132">
        <v>0</v>
      </c>
      <c r="L134" s="132">
        <v>0</v>
      </c>
      <c r="M134" s="132">
        <v>0</v>
      </c>
    </row>
    <row r="135" spans="2:13" x14ac:dyDescent="0.3">
      <c r="B135" s="132">
        <v>0</v>
      </c>
      <c r="C135" s="132">
        <v>0</v>
      </c>
      <c r="D135" s="132">
        <v>0</v>
      </c>
      <c r="E135" s="132">
        <v>0</v>
      </c>
      <c r="F135" s="132">
        <v>0</v>
      </c>
      <c r="G135" s="132">
        <v>0</v>
      </c>
      <c r="H135" s="132">
        <v>0</v>
      </c>
      <c r="I135" s="132">
        <v>0</v>
      </c>
      <c r="J135" s="132">
        <v>0</v>
      </c>
      <c r="K135" s="132">
        <v>0</v>
      </c>
      <c r="L135" s="132">
        <v>0</v>
      </c>
      <c r="M135" s="132">
        <v>0</v>
      </c>
    </row>
    <row r="136" spans="2:13" x14ac:dyDescent="0.3">
      <c r="B136" s="132">
        <v>0</v>
      </c>
      <c r="C136" s="132">
        <v>0</v>
      </c>
      <c r="D136" s="132">
        <v>0</v>
      </c>
      <c r="E136" s="132">
        <v>0</v>
      </c>
      <c r="F136" s="132">
        <v>0</v>
      </c>
      <c r="G136" s="132">
        <v>0</v>
      </c>
      <c r="H136" s="132">
        <v>0</v>
      </c>
      <c r="I136" s="132">
        <v>0</v>
      </c>
      <c r="J136" s="132">
        <v>0</v>
      </c>
      <c r="K136" s="132">
        <v>0</v>
      </c>
      <c r="L136" s="132">
        <v>0</v>
      </c>
      <c r="M136" s="132">
        <v>0</v>
      </c>
    </row>
    <row r="137" spans="2:13" x14ac:dyDescent="0.3">
      <c r="B137" s="132">
        <v>0</v>
      </c>
      <c r="C137" s="132">
        <v>0</v>
      </c>
      <c r="D137" s="132">
        <v>0</v>
      </c>
      <c r="E137" s="132">
        <v>0</v>
      </c>
      <c r="F137" s="132">
        <v>0</v>
      </c>
      <c r="G137" s="132">
        <v>0</v>
      </c>
      <c r="H137" s="132">
        <v>0</v>
      </c>
      <c r="I137" s="132">
        <v>0</v>
      </c>
      <c r="J137" s="132">
        <v>0</v>
      </c>
      <c r="K137" s="132">
        <v>0</v>
      </c>
      <c r="L137" s="132">
        <v>0</v>
      </c>
      <c r="M137" s="132">
        <v>0</v>
      </c>
    </row>
    <row r="138" spans="2:13" x14ac:dyDescent="0.3">
      <c r="B138" s="132">
        <v>0</v>
      </c>
      <c r="C138" s="132">
        <v>0</v>
      </c>
      <c r="D138" s="132">
        <v>0</v>
      </c>
      <c r="E138" s="132">
        <v>0</v>
      </c>
      <c r="F138" s="132">
        <v>0</v>
      </c>
      <c r="G138" s="132">
        <v>0</v>
      </c>
      <c r="H138" s="132">
        <v>0</v>
      </c>
      <c r="I138" s="132">
        <v>0</v>
      </c>
      <c r="J138" s="132">
        <v>0</v>
      </c>
      <c r="K138" s="132">
        <v>0</v>
      </c>
      <c r="L138" s="132">
        <v>0</v>
      </c>
      <c r="M138" s="132">
        <v>0</v>
      </c>
    </row>
    <row r="139" spans="2:13" x14ac:dyDescent="0.3">
      <c r="B139" s="132">
        <v>0</v>
      </c>
      <c r="C139" s="132">
        <v>0</v>
      </c>
      <c r="D139" s="132">
        <v>0</v>
      </c>
      <c r="E139" s="132">
        <v>0</v>
      </c>
      <c r="F139" s="132">
        <v>0</v>
      </c>
      <c r="G139" s="132">
        <v>0</v>
      </c>
      <c r="H139" s="132">
        <v>0</v>
      </c>
      <c r="I139" s="132">
        <v>0</v>
      </c>
      <c r="J139" s="132">
        <v>0</v>
      </c>
      <c r="K139" s="132">
        <v>0</v>
      </c>
      <c r="L139" s="132">
        <v>0</v>
      </c>
      <c r="M139" s="132">
        <v>0</v>
      </c>
    </row>
    <row r="140" spans="2:13" x14ac:dyDescent="0.3">
      <c r="B140" s="132">
        <v>0</v>
      </c>
      <c r="C140" s="132">
        <v>0</v>
      </c>
      <c r="D140" s="132">
        <v>0</v>
      </c>
      <c r="E140" s="132">
        <v>0</v>
      </c>
      <c r="F140" s="132">
        <v>0</v>
      </c>
      <c r="G140" s="132">
        <v>0</v>
      </c>
      <c r="H140" s="132">
        <v>0</v>
      </c>
      <c r="I140" s="132">
        <v>0</v>
      </c>
      <c r="J140" s="132">
        <v>0</v>
      </c>
      <c r="K140" s="132">
        <v>0</v>
      </c>
      <c r="L140" s="132">
        <v>0</v>
      </c>
      <c r="M140" s="132">
        <v>0</v>
      </c>
    </row>
    <row r="141" spans="2:13" x14ac:dyDescent="0.3">
      <c r="B141" s="132">
        <v>0</v>
      </c>
      <c r="C141" s="132">
        <v>0</v>
      </c>
      <c r="D141" s="132">
        <v>0</v>
      </c>
      <c r="E141" s="132">
        <v>0</v>
      </c>
      <c r="F141" s="132">
        <v>0</v>
      </c>
      <c r="G141" s="132">
        <v>0</v>
      </c>
      <c r="H141" s="132">
        <v>0</v>
      </c>
      <c r="I141" s="132">
        <v>0</v>
      </c>
      <c r="J141" s="132">
        <v>0</v>
      </c>
      <c r="K141" s="132">
        <v>0</v>
      </c>
      <c r="L141" s="132">
        <v>0</v>
      </c>
      <c r="M141" s="132">
        <v>0</v>
      </c>
    </row>
    <row r="142" spans="2:13" x14ac:dyDescent="0.3">
      <c r="B142" s="132">
        <v>0</v>
      </c>
      <c r="C142" s="132">
        <v>0</v>
      </c>
      <c r="D142" s="132">
        <v>0</v>
      </c>
      <c r="E142" s="132">
        <v>0</v>
      </c>
      <c r="F142" s="132">
        <v>0</v>
      </c>
      <c r="G142" s="132">
        <v>0</v>
      </c>
      <c r="H142" s="132">
        <v>0</v>
      </c>
      <c r="I142" s="132">
        <v>0</v>
      </c>
      <c r="J142" s="132">
        <v>0</v>
      </c>
      <c r="K142" s="132">
        <v>0</v>
      </c>
      <c r="L142" s="132">
        <v>0</v>
      </c>
      <c r="M142" s="132">
        <v>0</v>
      </c>
    </row>
    <row r="143" spans="2:13" x14ac:dyDescent="0.3">
      <c r="B143" s="132">
        <v>0</v>
      </c>
      <c r="C143" s="132">
        <v>0</v>
      </c>
      <c r="D143" s="132">
        <v>0</v>
      </c>
      <c r="E143" s="132">
        <v>0</v>
      </c>
      <c r="F143" s="132">
        <v>0</v>
      </c>
      <c r="G143" s="132">
        <v>0</v>
      </c>
      <c r="H143" s="132">
        <v>0</v>
      </c>
      <c r="I143" s="132">
        <v>0</v>
      </c>
      <c r="J143" s="132">
        <v>0</v>
      </c>
      <c r="K143" s="132">
        <v>0</v>
      </c>
      <c r="L143" s="132">
        <v>0</v>
      </c>
      <c r="M143" s="132">
        <v>0</v>
      </c>
    </row>
    <row r="144" spans="2:13" x14ac:dyDescent="0.3">
      <c r="B144" s="132">
        <v>0</v>
      </c>
      <c r="C144" s="132">
        <v>0</v>
      </c>
      <c r="D144" s="132">
        <v>0</v>
      </c>
      <c r="E144" s="132">
        <v>0</v>
      </c>
      <c r="F144" s="132">
        <v>0</v>
      </c>
      <c r="G144" s="132">
        <v>0</v>
      </c>
      <c r="H144" s="132">
        <v>0</v>
      </c>
      <c r="I144" s="132">
        <v>0</v>
      </c>
      <c r="J144" s="132">
        <v>0</v>
      </c>
      <c r="K144" s="132">
        <v>0</v>
      </c>
      <c r="L144" s="132">
        <v>0</v>
      </c>
      <c r="M144" s="132">
        <v>0</v>
      </c>
    </row>
    <row r="145" spans="2:13" x14ac:dyDescent="0.3">
      <c r="B145" s="132">
        <v>0</v>
      </c>
      <c r="C145" s="132">
        <v>0</v>
      </c>
      <c r="D145" s="132">
        <v>0</v>
      </c>
      <c r="E145" s="132">
        <v>0</v>
      </c>
      <c r="F145" s="132">
        <v>0</v>
      </c>
      <c r="G145" s="132">
        <v>0</v>
      </c>
      <c r="H145" s="132">
        <v>0</v>
      </c>
      <c r="I145" s="132">
        <v>0</v>
      </c>
      <c r="J145" s="132">
        <v>0</v>
      </c>
      <c r="K145" s="132">
        <v>0</v>
      </c>
      <c r="L145" s="132">
        <v>0</v>
      </c>
      <c r="M145" s="132">
        <v>0</v>
      </c>
    </row>
    <row r="146" spans="2:13" x14ac:dyDescent="0.3">
      <c r="B146" s="132">
        <v>0</v>
      </c>
      <c r="C146" s="132">
        <v>0</v>
      </c>
      <c r="D146" s="132">
        <v>0</v>
      </c>
      <c r="E146" s="132">
        <v>0</v>
      </c>
      <c r="F146" s="132">
        <v>0</v>
      </c>
      <c r="G146" s="132">
        <v>0</v>
      </c>
      <c r="H146" s="132">
        <v>0</v>
      </c>
      <c r="I146" s="132">
        <v>0</v>
      </c>
      <c r="J146" s="132">
        <v>0</v>
      </c>
      <c r="K146" s="132">
        <v>0</v>
      </c>
      <c r="L146" s="132">
        <v>0</v>
      </c>
      <c r="M146" s="132">
        <v>0</v>
      </c>
    </row>
    <row r="147" spans="2:13" x14ac:dyDescent="0.3">
      <c r="B147" s="132">
        <v>0</v>
      </c>
      <c r="C147" s="132">
        <v>0</v>
      </c>
      <c r="D147" s="132">
        <v>0</v>
      </c>
      <c r="E147" s="132">
        <v>0</v>
      </c>
      <c r="F147" s="132">
        <v>0</v>
      </c>
      <c r="G147" s="132">
        <v>0</v>
      </c>
      <c r="H147" s="132">
        <v>0</v>
      </c>
      <c r="I147" s="132">
        <v>0</v>
      </c>
      <c r="J147" s="132">
        <v>0</v>
      </c>
      <c r="K147" s="132">
        <v>0</v>
      </c>
      <c r="L147" s="132">
        <v>0</v>
      </c>
      <c r="M147" s="132">
        <v>0</v>
      </c>
    </row>
    <row r="148" spans="2:13" x14ac:dyDescent="0.3">
      <c r="B148" s="132">
        <v>0</v>
      </c>
      <c r="C148" s="132">
        <v>0</v>
      </c>
      <c r="D148" s="132">
        <v>0</v>
      </c>
      <c r="E148" s="132">
        <v>0</v>
      </c>
      <c r="F148" s="132">
        <v>0</v>
      </c>
      <c r="G148" s="132">
        <v>0</v>
      </c>
      <c r="H148" s="132">
        <v>0</v>
      </c>
      <c r="I148" s="132">
        <v>0</v>
      </c>
      <c r="J148" s="132">
        <v>0</v>
      </c>
      <c r="K148" s="132">
        <v>0</v>
      </c>
      <c r="L148" s="132">
        <v>0</v>
      </c>
      <c r="M148" s="132">
        <v>0</v>
      </c>
    </row>
    <row r="149" spans="2:13" x14ac:dyDescent="0.3">
      <c r="B149" s="132">
        <v>0</v>
      </c>
      <c r="C149" s="132">
        <v>0</v>
      </c>
      <c r="D149" s="132">
        <v>0</v>
      </c>
      <c r="E149" s="132">
        <v>0</v>
      </c>
      <c r="F149" s="132">
        <v>0</v>
      </c>
      <c r="G149" s="132">
        <v>0</v>
      </c>
      <c r="H149" s="132">
        <v>0</v>
      </c>
      <c r="I149" s="132">
        <v>0</v>
      </c>
      <c r="J149" s="132">
        <v>0</v>
      </c>
      <c r="K149" s="132">
        <v>0</v>
      </c>
      <c r="L149" s="132">
        <v>0</v>
      </c>
      <c r="M149" s="132">
        <v>0</v>
      </c>
    </row>
    <row r="150" spans="2:13" x14ac:dyDescent="0.3">
      <c r="B150" s="132">
        <v>0</v>
      </c>
      <c r="C150" s="132">
        <v>0</v>
      </c>
      <c r="D150" s="132">
        <v>0</v>
      </c>
      <c r="E150" s="132">
        <v>0</v>
      </c>
      <c r="F150" s="132">
        <v>0</v>
      </c>
      <c r="G150" s="132">
        <v>0</v>
      </c>
      <c r="H150" s="132">
        <v>0</v>
      </c>
      <c r="I150" s="132">
        <v>0</v>
      </c>
      <c r="J150" s="132">
        <v>0</v>
      </c>
      <c r="K150" s="132">
        <v>0</v>
      </c>
      <c r="L150" s="132">
        <v>0</v>
      </c>
      <c r="M150" s="132">
        <v>0</v>
      </c>
    </row>
    <row r="151" spans="2:13" x14ac:dyDescent="0.3">
      <c r="B151" s="132">
        <v>0</v>
      </c>
      <c r="C151" s="132">
        <v>0</v>
      </c>
      <c r="D151" s="132">
        <v>0</v>
      </c>
      <c r="E151" s="132">
        <v>0</v>
      </c>
      <c r="F151" s="132">
        <v>0</v>
      </c>
      <c r="G151" s="132">
        <v>0</v>
      </c>
      <c r="H151" s="132">
        <v>0</v>
      </c>
      <c r="I151" s="132">
        <v>0</v>
      </c>
      <c r="J151" s="132">
        <v>0</v>
      </c>
      <c r="K151" s="132">
        <v>0</v>
      </c>
      <c r="L151" s="132">
        <v>0</v>
      </c>
      <c r="M151" s="132">
        <v>0</v>
      </c>
    </row>
    <row r="152" spans="2:13" x14ac:dyDescent="0.3">
      <c r="B152" s="132">
        <v>0</v>
      </c>
      <c r="C152" s="132">
        <v>0</v>
      </c>
      <c r="D152" s="132">
        <v>0</v>
      </c>
      <c r="E152" s="132">
        <v>0</v>
      </c>
      <c r="F152" s="132">
        <v>0</v>
      </c>
      <c r="G152" s="132">
        <v>0</v>
      </c>
      <c r="H152" s="132">
        <v>0</v>
      </c>
      <c r="I152" s="132">
        <v>0</v>
      </c>
      <c r="J152" s="132">
        <v>0</v>
      </c>
      <c r="K152" s="132">
        <v>0</v>
      </c>
      <c r="L152" s="132">
        <v>0</v>
      </c>
      <c r="M152" s="132">
        <v>0</v>
      </c>
    </row>
    <row r="153" spans="2:13" x14ac:dyDescent="0.3">
      <c r="B153" s="132">
        <v>0</v>
      </c>
      <c r="C153" s="132">
        <v>0</v>
      </c>
      <c r="D153" s="132">
        <v>0</v>
      </c>
      <c r="E153" s="132">
        <v>0</v>
      </c>
      <c r="F153" s="132">
        <v>0</v>
      </c>
      <c r="G153" s="132">
        <v>0</v>
      </c>
      <c r="H153" s="132">
        <v>0</v>
      </c>
      <c r="I153" s="132">
        <v>0</v>
      </c>
      <c r="J153" s="132">
        <v>0</v>
      </c>
      <c r="K153" s="132">
        <v>0</v>
      </c>
      <c r="L153" s="132">
        <v>0</v>
      </c>
      <c r="M153" s="132">
        <v>0</v>
      </c>
    </row>
    <row r="154" spans="2:13" x14ac:dyDescent="0.3">
      <c r="B154" s="132">
        <v>0</v>
      </c>
      <c r="C154" s="132">
        <v>0</v>
      </c>
      <c r="D154" s="132">
        <v>0</v>
      </c>
      <c r="E154" s="132">
        <v>0</v>
      </c>
      <c r="F154" s="132">
        <v>0</v>
      </c>
      <c r="G154" s="132">
        <v>0</v>
      </c>
      <c r="H154" s="132">
        <v>0</v>
      </c>
      <c r="I154" s="132">
        <v>0</v>
      </c>
      <c r="J154" s="132">
        <v>0</v>
      </c>
      <c r="K154" s="132">
        <v>0</v>
      </c>
      <c r="L154" s="132">
        <v>0</v>
      </c>
      <c r="M154" s="132">
        <v>0</v>
      </c>
    </row>
    <row r="155" spans="2:13" x14ac:dyDescent="0.3">
      <c r="B155" s="132">
        <v>0</v>
      </c>
      <c r="C155" s="132">
        <v>0</v>
      </c>
      <c r="D155" s="132">
        <v>0</v>
      </c>
      <c r="E155" s="132">
        <v>0</v>
      </c>
      <c r="F155" s="132">
        <v>0</v>
      </c>
      <c r="G155" s="132">
        <v>0</v>
      </c>
      <c r="H155" s="132">
        <v>0</v>
      </c>
      <c r="I155" s="132">
        <v>0</v>
      </c>
      <c r="J155" s="132">
        <v>0</v>
      </c>
      <c r="K155" s="132">
        <v>0</v>
      </c>
      <c r="L155" s="132">
        <v>0</v>
      </c>
      <c r="M155" s="132">
        <v>0</v>
      </c>
    </row>
    <row r="156" spans="2:13" x14ac:dyDescent="0.3">
      <c r="B156" s="132">
        <v>0</v>
      </c>
      <c r="C156" s="132">
        <v>0</v>
      </c>
      <c r="D156" s="132">
        <v>0</v>
      </c>
      <c r="E156" s="132">
        <v>0</v>
      </c>
      <c r="F156" s="132">
        <v>0</v>
      </c>
      <c r="G156" s="132">
        <v>0</v>
      </c>
      <c r="H156" s="132">
        <v>0</v>
      </c>
      <c r="I156" s="132">
        <v>0</v>
      </c>
      <c r="J156" s="132">
        <v>0</v>
      </c>
      <c r="K156" s="132">
        <v>0</v>
      </c>
      <c r="L156" s="132">
        <v>0</v>
      </c>
      <c r="M156" s="132">
        <v>0</v>
      </c>
    </row>
    <row r="157" spans="2:13" x14ac:dyDescent="0.3">
      <c r="B157" s="132">
        <v>0</v>
      </c>
      <c r="C157" s="132">
        <v>0</v>
      </c>
      <c r="D157" s="132">
        <v>0</v>
      </c>
      <c r="E157" s="132">
        <v>0</v>
      </c>
      <c r="F157" s="132">
        <v>0</v>
      </c>
      <c r="G157" s="132">
        <v>0</v>
      </c>
      <c r="H157" s="132">
        <v>0</v>
      </c>
      <c r="I157" s="132">
        <v>0</v>
      </c>
      <c r="J157" s="132">
        <v>0</v>
      </c>
      <c r="K157" s="132">
        <v>0</v>
      </c>
      <c r="L157" s="132">
        <v>0</v>
      </c>
      <c r="M157" s="132">
        <v>0</v>
      </c>
    </row>
    <row r="158" spans="2:13" x14ac:dyDescent="0.3">
      <c r="B158" s="132">
        <v>0</v>
      </c>
      <c r="C158" s="132">
        <v>0</v>
      </c>
      <c r="D158" s="132">
        <v>0</v>
      </c>
      <c r="E158" s="132">
        <v>0</v>
      </c>
      <c r="F158" s="132">
        <v>0</v>
      </c>
      <c r="G158" s="132">
        <v>0</v>
      </c>
      <c r="H158" s="132">
        <v>0</v>
      </c>
      <c r="I158" s="132">
        <v>0</v>
      </c>
      <c r="J158" s="132">
        <v>0</v>
      </c>
      <c r="K158" s="132">
        <v>0</v>
      </c>
      <c r="L158" s="132">
        <v>0</v>
      </c>
      <c r="M158" s="132">
        <v>0</v>
      </c>
    </row>
    <row r="159" spans="2:13" x14ac:dyDescent="0.3">
      <c r="B159" s="132">
        <v>0</v>
      </c>
      <c r="C159" s="132">
        <v>0</v>
      </c>
      <c r="D159" s="132">
        <v>0</v>
      </c>
      <c r="E159" s="132">
        <v>0</v>
      </c>
      <c r="F159" s="132">
        <v>0</v>
      </c>
      <c r="G159" s="132">
        <v>0</v>
      </c>
      <c r="H159" s="132">
        <v>0</v>
      </c>
      <c r="I159" s="132">
        <v>0</v>
      </c>
      <c r="J159" s="132">
        <v>0</v>
      </c>
      <c r="K159" s="132">
        <v>0</v>
      </c>
      <c r="L159" s="132">
        <v>0</v>
      </c>
      <c r="M159" s="13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Quaterly_DB</vt:lpstr>
      <vt:lpstr>Proj_Reg</vt:lpstr>
      <vt:lpstr>Data_Model</vt:lpstr>
      <vt:lpstr>DataTrans</vt:lpstr>
      <vt:lpstr>A_Type_Volume</vt:lpstr>
      <vt:lpstr>C_Type_Volume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Teves, Marlon</dc:creator>
  <cp:lastModifiedBy>Mewo</cp:lastModifiedBy>
  <dcterms:created xsi:type="dcterms:W3CDTF">2026-01-15T06:18:48Z</dcterms:created>
  <dcterms:modified xsi:type="dcterms:W3CDTF">2026-02-19T12:37:31Z</dcterms:modified>
</cp:coreProperties>
</file>